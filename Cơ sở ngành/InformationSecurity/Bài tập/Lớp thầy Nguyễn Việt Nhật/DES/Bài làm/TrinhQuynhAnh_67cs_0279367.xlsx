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178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77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án vị PC-1" sheetId="1" r:id="rId4"/>
    <sheet state="visible" name="Hoán vị IP(v1)" sheetId="2" r:id="rId5"/>
    <sheet state="visible" name="Vòng 2" sheetId="3" r:id="rId6"/>
    <sheet state="visible" name="Vòng 3" sheetId="4" r:id="rId7"/>
    <sheet state="visible" name="Vòng 4" sheetId="5" r:id="rId8"/>
    <sheet state="visible" name="Vòng 5" sheetId="6" r:id="rId9"/>
    <sheet state="visible" name="Vòng 6" sheetId="7" r:id="rId10"/>
    <sheet state="visible" name="Vòng 7" sheetId="8" r:id="rId11"/>
    <sheet state="visible" name="Vòng 8" sheetId="9" r:id="rId12"/>
    <sheet state="visible" name="Vòng 9" sheetId="10" r:id="rId13"/>
    <sheet state="visible" name="Vòng 10" sheetId="11" r:id="rId14"/>
    <sheet state="visible" name="Vòng 11" sheetId="12" r:id="rId15"/>
    <sheet state="visible" name="Vòng 12" sheetId="13" r:id="rId16"/>
    <sheet state="visible" name="Vòng 13" sheetId="14" r:id="rId17"/>
    <sheet state="visible" name="Vòng 14" sheetId="15" r:id="rId18"/>
    <sheet state="visible" name="Vòng 15" sheetId="16" r:id="rId19"/>
    <sheet state="visible" name="Vòng 16" sheetId="17" r:id="rId20"/>
    <sheet state="visible" name="Hoán vị IP ^-1" sheetId="18" r:id="rId21"/>
    <sheet state="visible" name="Khóa K1" sheetId="19" r:id="rId22"/>
    <sheet state="visible" name="Khóa K2" sheetId="20" r:id="rId23"/>
    <sheet state="visible" name="Khóa K3" sheetId="21" r:id="rId24"/>
    <sheet state="visible" name="Khóa K4" sheetId="22" r:id="rId25"/>
    <sheet state="visible" name="Khóa K5" sheetId="23" r:id="rId26"/>
    <sheet state="visible" name="Khóa K6" sheetId="24" r:id="rId27"/>
    <sheet state="visible" name="Khóa K7" sheetId="25" r:id="rId28"/>
    <sheet state="visible" name="Khóa K8" sheetId="26" r:id="rId29"/>
    <sheet state="visible" name="Khóa K9" sheetId="27" r:id="rId30"/>
    <sheet state="visible" name="Khóa K10" sheetId="28" r:id="rId31"/>
    <sheet state="visible" name="Khóa K11" sheetId="29" r:id="rId32"/>
    <sheet state="visible" name="Khóa K12" sheetId="30" r:id="rId33"/>
    <sheet state="visible" name="Khóa K13" sheetId="31" r:id="rId34"/>
    <sheet state="visible" name="Khóa K14" sheetId="32" r:id="rId35"/>
    <sheet state="visible" name="Khóa K15" sheetId="33" r:id="rId36"/>
    <sheet state="visible" name="Khóa K16" sheetId="34" r:id="rId37"/>
  </sheets>
  <definedNames/>
  <calcPr/>
</workbook>
</file>

<file path=xl/sharedStrings.xml><?xml version="1.0" encoding="utf-8"?>
<sst xmlns="http://schemas.openxmlformats.org/spreadsheetml/2006/main" count="1864" uniqueCount="203">
  <si>
    <t>Khóa K:</t>
  </si>
  <si>
    <t>0133457799bbcdff</t>
  </si>
  <si>
    <t>vị trí</t>
  </si>
  <si>
    <t>kí tự hexan</t>
  </si>
  <si>
    <t>binary</t>
  </si>
  <si>
    <t>Column 1</t>
  </si>
  <si>
    <t>Bảng PC-1</t>
  </si>
  <si>
    <t>PC1[K] =</t>
  </si>
  <si>
    <t>byte</t>
  </si>
  <si>
    <t>hexan</t>
  </si>
  <si>
    <t>stt</t>
  </si>
  <si>
    <t>bit i</t>
  </si>
  <si>
    <t>K1 = PC2(C1D1) =</t>
  </si>
  <si>
    <t>000110110000001011101111110110110100100110100101</t>
  </si>
  <si>
    <t>tra bảng s</t>
  </si>
  <si>
    <t xml:space="preserve">B = </t>
  </si>
  <si>
    <t>p</t>
  </si>
  <si>
    <t>IP(M) =</t>
  </si>
  <si>
    <t xml:space="preserve">Input M = </t>
  </si>
  <si>
    <t>00123456789abcde</t>
  </si>
  <si>
    <t>IP</t>
  </si>
  <si>
    <t>bit</t>
  </si>
  <si>
    <t xml:space="preserve">L0 = </t>
  </si>
  <si>
    <t>e</t>
  </si>
  <si>
    <t>E(R0)</t>
  </si>
  <si>
    <t xml:space="preserve">R0 = </t>
  </si>
  <si>
    <t>dec</t>
  </si>
  <si>
    <t xml:space="preserve">F = P(B) = </t>
  </si>
  <si>
    <t>R1 = F XOR L0</t>
  </si>
  <si>
    <t>L0 =</t>
  </si>
  <si>
    <t xml:space="preserve">E(R0) = </t>
  </si>
  <si>
    <t>E(R0) XOR K1</t>
  </si>
  <si>
    <t xml:space="preserve"> R1 =</t>
  </si>
  <si>
    <t>A = E(R0) XOR K1</t>
  </si>
  <si>
    <t>Byte</t>
  </si>
  <si>
    <t>XOR</t>
  </si>
  <si>
    <t>hex</t>
  </si>
  <si>
    <t>Phép thay thế sbox</t>
  </si>
  <si>
    <t>cặp 6 bit</t>
  </si>
  <si>
    <t>hàng</t>
  </si>
  <si>
    <t>cột</t>
  </si>
  <si>
    <t>chỉ số mảng</t>
  </si>
  <si>
    <t>Chỉ số</t>
  </si>
  <si>
    <t>S1</t>
  </si>
  <si>
    <t>S2</t>
  </si>
  <si>
    <t>S3</t>
  </si>
  <si>
    <t>S4</t>
  </si>
  <si>
    <t>S5</t>
  </si>
  <si>
    <t>S6</t>
  </si>
  <si>
    <t>S7</t>
  </si>
  <si>
    <t>S8</t>
  </si>
  <si>
    <t>011010011010111011011001001001011110101001100110</t>
  </si>
  <si>
    <t xml:space="preserve">L1 = </t>
  </si>
  <si>
    <t>11100000010101001111000010101010</t>
  </si>
  <si>
    <t xml:space="preserve">R1 = </t>
  </si>
  <si>
    <t>01010111001101011011110110011011</t>
  </si>
  <si>
    <t xml:space="preserve"> R2 =</t>
  </si>
  <si>
    <t>010101011111110010001010101101001010110011010010</t>
  </si>
  <si>
    <t xml:space="preserve">L2 = </t>
  </si>
  <si>
    <t xml:space="preserve">R2 = </t>
  </si>
  <si>
    <t>01001001110110101010000100101001</t>
  </si>
  <si>
    <t xml:space="preserve"> R3 =</t>
  </si>
  <si>
    <t>011100101010110111010010101011011000011001010111</t>
  </si>
  <si>
    <t xml:space="preserve">L3 = </t>
  </si>
  <si>
    <t xml:space="preserve">R3 = </t>
  </si>
  <si>
    <t>01111110010011010100000010100101</t>
  </si>
  <si>
    <t xml:space="preserve"> R4 =</t>
  </si>
  <si>
    <t>011111001110110000000111000111111110011011000010</t>
  </si>
  <si>
    <t xml:space="preserve">L4 = </t>
  </si>
  <si>
    <t xml:space="preserve">R4 = </t>
  </si>
  <si>
    <t>00010001011001011101001000001110</t>
  </si>
  <si>
    <t xml:space="preserve"> R5 =</t>
  </si>
  <si>
    <t>011000111010010100011110001111001100010101000101</t>
  </si>
  <si>
    <t xml:space="preserve">L5 = </t>
  </si>
  <si>
    <t xml:space="preserve">R5 = </t>
  </si>
  <si>
    <t>01110011010000110001101001010110</t>
  </si>
  <si>
    <t xml:space="preserve"> R6 =</t>
  </si>
  <si>
    <t>011011001000010010110111100010101110010011000110</t>
  </si>
  <si>
    <t xml:space="preserve">L6 = </t>
  </si>
  <si>
    <t xml:space="preserve">R6 = </t>
  </si>
  <si>
    <t>01001011101011100101011100011111</t>
  </si>
  <si>
    <t xml:space="preserve"> R7 =</t>
  </si>
  <si>
    <t>111101111000100000111010111011001110011110000001</t>
  </si>
  <si>
    <t xml:space="preserve">L7 = </t>
  </si>
  <si>
    <t xml:space="preserve">R7 = </t>
  </si>
  <si>
    <t>10110100010010011100100011101101</t>
  </si>
  <si>
    <t xml:space="preserve"> R8 =</t>
  </si>
  <si>
    <t>110000001101101111101011001001111011100000111001</t>
  </si>
  <si>
    <t xml:space="preserve">L8 = </t>
  </si>
  <si>
    <t xml:space="preserve">R8 = </t>
  </si>
  <si>
    <t>11011000101011101111110000011011</t>
  </si>
  <si>
    <t xml:space="preserve"> R9 =</t>
  </si>
  <si>
    <t>101100011111001101000111011000110001110101110110</t>
  </si>
  <si>
    <t xml:space="preserve">L9 = </t>
  </si>
  <si>
    <t xml:space="preserve">R9 = </t>
  </si>
  <si>
    <t>01101010010011010110101111010101</t>
  </si>
  <si>
    <t xml:space="preserve"> R10 =</t>
  </si>
  <si>
    <t>001000010101111111000011000011011000100110111110</t>
  </si>
  <si>
    <t xml:space="preserve">L10 = </t>
  </si>
  <si>
    <t xml:space="preserve">R10 = </t>
  </si>
  <si>
    <t>11001110110111000011110101011111</t>
  </si>
  <si>
    <t xml:space="preserve"> R11 =</t>
  </si>
  <si>
    <t>011100010111000111110101010001010101110011010101</t>
  </si>
  <si>
    <t xml:space="preserve">L11 = </t>
  </si>
  <si>
    <t xml:space="preserve">R11 = </t>
  </si>
  <si>
    <t>10011110011111001001000010010000</t>
  </si>
  <si>
    <t xml:space="preserve"> R12 =</t>
  </si>
  <si>
    <t>100101011100010111010001010010111000000011111101</t>
  </si>
  <si>
    <t xml:space="preserve">L12 = </t>
  </si>
  <si>
    <t xml:space="preserve">R12 = </t>
  </si>
  <si>
    <t>11001100011010110110010100011000</t>
  </si>
  <si>
    <t xml:space="preserve"> R13 =</t>
  </si>
  <si>
    <t>010101110100001110110111100000111101110110001101</t>
  </si>
  <si>
    <t xml:space="preserve">L13 = </t>
  </si>
  <si>
    <t xml:space="preserve">R13 = </t>
  </si>
  <si>
    <t>10111111011000010010000100111010</t>
  </si>
  <si>
    <t xml:space="preserve"> R14 =</t>
  </si>
  <si>
    <t>101111111001000110000101000010100001011110110101</t>
  </si>
  <si>
    <t xml:space="preserve">L14 = </t>
  </si>
  <si>
    <t xml:space="preserve">R14 = </t>
  </si>
  <si>
    <t>01111110011010001100000100101000</t>
  </si>
  <si>
    <t xml:space="preserve"> R15 =</t>
  </si>
  <si>
    <t>110010110011110100001011101111000111000001110010</t>
  </si>
  <si>
    <t xml:space="preserve">L15 = </t>
  </si>
  <si>
    <t xml:space="preserve">R15 = </t>
  </si>
  <si>
    <t>01100010111011011101111000010000</t>
  </si>
  <si>
    <t xml:space="preserve"> R16 =</t>
  </si>
  <si>
    <t>L16 =</t>
  </si>
  <si>
    <t>hoán vị 32-bit</t>
  </si>
  <si>
    <t>R16 =</t>
  </si>
  <si>
    <t>10110100011010001010101011101100</t>
  </si>
  <si>
    <t>11110000110011001010101010111010101011001100111100001010</t>
  </si>
  <si>
    <t>i</t>
  </si>
  <si>
    <t>si</t>
  </si>
  <si>
    <t xml:space="preserve">C0 = </t>
  </si>
  <si>
    <t xml:space="preserve">D0 = </t>
  </si>
  <si>
    <t>Dịch 1 bit sang trái</t>
  </si>
  <si>
    <t>C0 =</t>
  </si>
  <si>
    <t>1111000011001100101010101011</t>
  </si>
  <si>
    <t>D0 =</t>
  </si>
  <si>
    <t>1010101011001100111100001010</t>
  </si>
  <si>
    <t>C1 =</t>
  </si>
  <si>
    <t>1110000110011001010101010111</t>
  </si>
  <si>
    <t xml:space="preserve">D1 = </t>
  </si>
  <si>
    <t>0101010110011001111000010101</t>
  </si>
  <si>
    <t>Kiểm tra C1</t>
  </si>
  <si>
    <t>Kiểm tra D1</t>
  </si>
  <si>
    <t>C1D1 =</t>
  </si>
  <si>
    <t>PC-2</t>
  </si>
  <si>
    <t>h</t>
  </si>
  <si>
    <t>PC1[K1] =</t>
  </si>
  <si>
    <t>11100001100110010101010101110101010110011001111000010101</t>
  </si>
  <si>
    <t xml:space="preserve">C1 = </t>
  </si>
  <si>
    <t>D1 =</t>
  </si>
  <si>
    <t>C2 =</t>
  </si>
  <si>
    <t>1100001100110010101010101111</t>
  </si>
  <si>
    <t xml:space="preserve">D2 = </t>
  </si>
  <si>
    <t>1010101100110011110000101010</t>
  </si>
  <si>
    <t>Kiểm tra C2</t>
  </si>
  <si>
    <t>Kiểm tra D2</t>
  </si>
  <si>
    <t>K2 = PC2(C2D2) =</t>
  </si>
  <si>
    <t>C2D2 =</t>
  </si>
  <si>
    <t>PC1[K2] =</t>
  </si>
  <si>
    <t>11000011001100101010101011111010101100110011110000101010</t>
  </si>
  <si>
    <t>0000110011001010101010111111</t>
  </si>
  <si>
    <t>1010110011001111000010101010</t>
  </si>
  <si>
    <t>00001100110010101010101111111010110011001111000010101010</t>
  </si>
  <si>
    <t>0011001100101010101011111100</t>
  </si>
  <si>
    <t>1011001100111100001010101010</t>
  </si>
  <si>
    <t>00110011001010101010111111001011001100111100001010101010</t>
  </si>
  <si>
    <t>1100110010101010101111110000</t>
  </si>
  <si>
    <t>1100110011110000101010101010</t>
  </si>
  <si>
    <t>11001100101010101011111100001100110011110000101010101010</t>
  </si>
  <si>
    <t>0011001010101010111111000011</t>
  </si>
  <si>
    <t>0011001111000010101010101011</t>
  </si>
  <si>
    <t>00110010101010101111110000110011001111000010101010101011</t>
  </si>
  <si>
    <t>1100101010101011111100001100</t>
  </si>
  <si>
    <t>1100111100001010101010101100</t>
  </si>
  <si>
    <t>11001010101010111111000011001100111100001010101010101100</t>
  </si>
  <si>
    <t>0010101010101111110000110011</t>
  </si>
  <si>
    <t>0011110000101010101010110011</t>
  </si>
  <si>
    <t>00101010101011111100001100110011110000101010101010110011</t>
  </si>
  <si>
    <t>0101010101011111100001100110</t>
  </si>
  <si>
    <t>0111100001010101010101100110</t>
  </si>
  <si>
    <t>01010101010111111000011001100111100001010101010101100110</t>
  </si>
  <si>
    <t>0101010101111110000110011001</t>
  </si>
  <si>
    <t>1110000101010101010110011001</t>
  </si>
  <si>
    <t>01010101011111100001100110011110000101010101010110011001</t>
  </si>
  <si>
    <t>0101010111111000011001100101</t>
  </si>
  <si>
    <t>1000010101010101011001100111</t>
  </si>
  <si>
    <t>01010101111110000110011001011000010101010101011001100111</t>
  </si>
  <si>
    <t>0101011111100001100110010101</t>
  </si>
  <si>
    <t>0001010101010101100110011110</t>
  </si>
  <si>
    <t>01010111111000011001100101010001010101010101100110011110</t>
  </si>
  <si>
    <t>0101111110000110011001010101</t>
  </si>
  <si>
    <t>0101010101010110011001111000</t>
  </si>
  <si>
    <t>01011111100001100110010101010101010101010110011001111000</t>
  </si>
  <si>
    <t>0111111000011001100101010101</t>
  </si>
  <si>
    <t>0101010101011001100111100001</t>
  </si>
  <si>
    <t>01111110000110011001010101010101010101011001100111100001</t>
  </si>
  <si>
    <t>1111100001100110010101010101</t>
  </si>
  <si>
    <t>0101010101100110011110000101</t>
  </si>
  <si>
    <t>11111000011001100101010101010101010101100110011110000101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</si>
</sst>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79">
    <tableStyle count="3" pivot="0" name="Hoán vị PC-1-style">
      <tableStyleElement dxfId="1" type="headerRow"/>
      <tableStyleElement dxfId="2" type="firstRowStripe"/>
      <tableStyleElement dxfId="3" type="secondRowStripe"/>
    </tableStyle>
    <tableStyle count="3" pivot="0" name="Hoán vị PC-1-style 2">
      <tableStyleElement dxfId="4" type="headerRow"/>
      <tableStyleElement dxfId="2" type="firstRowStripe"/>
      <tableStyleElement dxfId="5" type="secondRowStripe"/>
    </tableStyle>
    <tableStyle count="3" pivot="0" name="Hoán vị IP(v1)-style">
      <tableStyleElement dxfId="4" type="headerRow"/>
      <tableStyleElement dxfId="2" type="firstRowStripe"/>
      <tableStyleElement dxfId="5" type="secondRowStripe"/>
    </tableStyle>
    <tableStyle count="3" pivot="0" name="Hoán vị IP(v1)-style 2">
      <tableStyleElement dxfId="4" type="headerRow"/>
      <tableStyleElement dxfId="2" type="firstRowStripe"/>
      <tableStyleElement dxfId="5" type="secondRowStripe"/>
    </tableStyle>
    <tableStyle count="2" pivot="0" name="Hoán vị IP(v1)-style 3">
      <tableStyleElement dxfId="2" type="firstRowStripe"/>
      <tableStyleElement dxfId="3" type="secondRowStripe"/>
    </tableStyle>
    <tableStyle count="3" pivot="0" name="Hoán vị IP(v1)-style 4">
      <tableStyleElement dxfId="4" type="headerRow"/>
      <tableStyleElement dxfId="2" type="firstRowStripe"/>
      <tableStyleElement dxfId="5" type="secondRowStripe"/>
    </tableStyle>
    <tableStyle count="3" pivot="0" name="Hoán vị IP(v1)-style 5">
      <tableStyleElement dxfId="4" type="headerRow"/>
      <tableStyleElement dxfId="2" type="firstRowStripe"/>
      <tableStyleElement dxfId="5" type="secondRowStripe"/>
    </tableStyle>
    <tableStyle count="3" pivot="0" name="Hoán vị IP(v1)-style 6">
      <tableStyleElement dxfId="4" type="headerRow"/>
      <tableStyleElement dxfId="2" type="firstRowStripe"/>
      <tableStyleElement dxfId="5" type="secondRowStripe"/>
    </tableStyle>
    <tableStyle count="3" pivot="0" name="Hoán vị IP(v1)-style 7">
      <tableStyleElement dxfId="4" type="headerRow"/>
      <tableStyleElement dxfId="2" type="firstRowStripe"/>
      <tableStyleElement dxfId="5" type="secondRowStripe"/>
    </tableStyle>
    <tableStyle count="3" pivot="0" name="Hoán vị IP(v1)-style 8">
      <tableStyleElement dxfId="4" type="headerRow"/>
      <tableStyleElement dxfId="2" type="firstRowStripe"/>
      <tableStyleElement dxfId="5" type="secondRowStripe"/>
    </tableStyle>
    <tableStyle count="3" pivot="0" name="Vòng 2-style">
      <tableStyleElement dxfId="4" type="headerRow"/>
      <tableStyleElement dxfId="2" type="firstRowStripe"/>
      <tableStyleElement dxfId="5" type="secondRowStripe"/>
    </tableStyle>
    <tableStyle count="3" pivot="0" name="Vòng 2-style 2">
      <tableStyleElement dxfId="4" type="headerRow"/>
      <tableStyleElement dxfId="2" type="firstRowStripe"/>
      <tableStyleElement dxfId="5" type="secondRowStripe"/>
    </tableStyle>
    <tableStyle count="2" pivot="0" name="Vòng 2-style 3">
      <tableStyleElement dxfId="2" type="firstRowStripe"/>
      <tableStyleElement dxfId="3" type="secondRowStripe"/>
    </tableStyle>
    <tableStyle count="3" pivot="0" name="Vòng 2-style 4">
      <tableStyleElement dxfId="4" type="headerRow"/>
      <tableStyleElement dxfId="2" type="firstRowStripe"/>
      <tableStyleElement dxfId="5" type="secondRowStripe"/>
    </tableStyle>
    <tableStyle count="3" pivot="0" name="Vòng 2-style 5">
      <tableStyleElement dxfId="4" type="headerRow"/>
      <tableStyleElement dxfId="2" type="firstRowStripe"/>
      <tableStyleElement dxfId="5" type="secondRowStripe"/>
    </tableStyle>
    <tableStyle count="3" pivot="0" name="Vòng 2-style 6">
      <tableStyleElement dxfId="4" type="headerRow"/>
      <tableStyleElement dxfId="2" type="firstRowStripe"/>
      <tableStyleElement dxfId="5" type="secondRowStripe"/>
    </tableStyle>
    <tableStyle count="3" pivot="0" name="Vòng 2-style 7">
      <tableStyleElement dxfId="4" type="headerRow"/>
      <tableStyleElement dxfId="2" type="firstRowStripe"/>
      <tableStyleElement dxfId="5" type="secondRowStripe"/>
    </tableStyle>
    <tableStyle count="3" pivot="0" name="Vòng 2-style 8">
      <tableStyleElement dxfId="4" type="headerRow"/>
      <tableStyleElement dxfId="2" type="firstRowStripe"/>
      <tableStyleElement dxfId="5" type="secondRowStripe"/>
    </tableStyle>
    <tableStyle count="3" pivot="0" name="Vòng 3-style">
      <tableStyleElement dxfId="4" type="headerRow"/>
      <tableStyleElement dxfId="2" type="firstRowStripe"/>
      <tableStyleElement dxfId="5" type="secondRowStripe"/>
    </tableStyle>
    <tableStyle count="3" pivot="0" name="Vòng 3-style 2">
      <tableStyleElement dxfId="4" type="headerRow"/>
      <tableStyleElement dxfId="2" type="firstRowStripe"/>
      <tableStyleElement dxfId="5" type="secondRowStripe"/>
    </tableStyle>
    <tableStyle count="2" pivot="0" name="Vòng 3-style 3">
      <tableStyleElement dxfId="2" type="firstRowStripe"/>
      <tableStyleElement dxfId="3" type="secondRowStripe"/>
    </tableStyle>
    <tableStyle count="3" pivot="0" name="Vòng 3-style 4">
      <tableStyleElement dxfId="4" type="headerRow"/>
      <tableStyleElement dxfId="2" type="firstRowStripe"/>
      <tableStyleElement dxfId="5" type="secondRowStripe"/>
    </tableStyle>
    <tableStyle count="3" pivot="0" name="Vòng 3-style 5">
      <tableStyleElement dxfId="4" type="headerRow"/>
      <tableStyleElement dxfId="2" type="firstRowStripe"/>
      <tableStyleElement dxfId="5" type="secondRowStripe"/>
    </tableStyle>
    <tableStyle count="3" pivot="0" name="Vòng 3-style 6">
      <tableStyleElement dxfId="4" type="headerRow"/>
      <tableStyleElement dxfId="2" type="firstRowStripe"/>
      <tableStyleElement dxfId="5" type="secondRowStripe"/>
    </tableStyle>
    <tableStyle count="3" pivot="0" name="Vòng 3-style 7">
      <tableStyleElement dxfId="4" type="headerRow"/>
      <tableStyleElement dxfId="2" type="firstRowStripe"/>
      <tableStyleElement dxfId="5" type="secondRowStripe"/>
    </tableStyle>
    <tableStyle count="3" pivot="0" name="Vòng 3-style 8">
      <tableStyleElement dxfId="4" type="headerRow"/>
      <tableStyleElement dxfId="2" type="firstRowStripe"/>
      <tableStyleElement dxfId="5" type="secondRowStripe"/>
    </tableStyle>
    <tableStyle count="3" pivot="0" name="Vòng 4-style">
      <tableStyleElement dxfId="4" type="headerRow"/>
      <tableStyleElement dxfId="2" type="firstRowStripe"/>
      <tableStyleElement dxfId="5" type="secondRowStripe"/>
    </tableStyle>
    <tableStyle count="3" pivot="0" name="Vòng 4-style 2">
      <tableStyleElement dxfId="4" type="headerRow"/>
      <tableStyleElement dxfId="2" type="firstRowStripe"/>
      <tableStyleElement dxfId="5" type="secondRowStripe"/>
    </tableStyle>
    <tableStyle count="2" pivot="0" name="Vòng 4-style 3">
      <tableStyleElement dxfId="2" type="firstRowStripe"/>
      <tableStyleElement dxfId="3" type="secondRowStripe"/>
    </tableStyle>
    <tableStyle count="3" pivot="0" name="Vòng 4-style 4">
      <tableStyleElement dxfId="4" type="headerRow"/>
      <tableStyleElement dxfId="2" type="firstRowStripe"/>
      <tableStyleElement dxfId="5" type="secondRowStripe"/>
    </tableStyle>
    <tableStyle count="3" pivot="0" name="Vòng 4-style 5">
      <tableStyleElement dxfId="4" type="headerRow"/>
      <tableStyleElement dxfId="2" type="firstRowStripe"/>
      <tableStyleElement dxfId="5" type="secondRowStripe"/>
    </tableStyle>
    <tableStyle count="3" pivot="0" name="Vòng 4-style 6">
      <tableStyleElement dxfId="4" type="headerRow"/>
      <tableStyleElement dxfId="2" type="firstRowStripe"/>
      <tableStyleElement dxfId="5" type="secondRowStripe"/>
    </tableStyle>
    <tableStyle count="3" pivot="0" name="Vòng 4-style 7">
      <tableStyleElement dxfId="4" type="headerRow"/>
      <tableStyleElement dxfId="2" type="firstRowStripe"/>
      <tableStyleElement dxfId="5" type="secondRowStripe"/>
    </tableStyle>
    <tableStyle count="3" pivot="0" name="Vòng 4-style 8">
      <tableStyleElement dxfId="4" type="headerRow"/>
      <tableStyleElement dxfId="2" type="firstRowStripe"/>
      <tableStyleElement dxfId="5" type="secondRowStripe"/>
    </tableStyle>
    <tableStyle count="3" pivot="0" name="Vòng 5-style">
      <tableStyleElement dxfId="4" type="headerRow"/>
      <tableStyleElement dxfId="2" type="firstRowStripe"/>
      <tableStyleElement dxfId="5" type="secondRowStripe"/>
    </tableStyle>
    <tableStyle count="3" pivot="0" name="Vòng 5-style 2">
      <tableStyleElement dxfId="4" type="headerRow"/>
      <tableStyleElement dxfId="2" type="firstRowStripe"/>
      <tableStyleElement dxfId="5" type="secondRowStripe"/>
    </tableStyle>
    <tableStyle count="2" pivot="0" name="Vòng 5-style 3">
      <tableStyleElement dxfId="2" type="firstRowStripe"/>
      <tableStyleElement dxfId="3" type="secondRowStripe"/>
    </tableStyle>
    <tableStyle count="3" pivot="0" name="Vòng 5-style 4">
      <tableStyleElement dxfId="4" type="headerRow"/>
      <tableStyleElement dxfId="2" type="firstRowStripe"/>
      <tableStyleElement dxfId="5" type="secondRowStripe"/>
    </tableStyle>
    <tableStyle count="3" pivot="0" name="Vòng 5-style 5">
      <tableStyleElement dxfId="4" type="headerRow"/>
      <tableStyleElement dxfId="2" type="firstRowStripe"/>
      <tableStyleElement dxfId="5" type="secondRowStripe"/>
    </tableStyle>
    <tableStyle count="3" pivot="0" name="Vòng 5-style 6">
      <tableStyleElement dxfId="4" type="headerRow"/>
      <tableStyleElement dxfId="2" type="firstRowStripe"/>
      <tableStyleElement dxfId="5" type="secondRowStripe"/>
    </tableStyle>
    <tableStyle count="3" pivot="0" name="Vòng 5-style 7">
      <tableStyleElement dxfId="4" type="headerRow"/>
      <tableStyleElement dxfId="2" type="firstRowStripe"/>
      <tableStyleElement dxfId="5" type="secondRowStripe"/>
    </tableStyle>
    <tableStyle count="3" pivot="0" name="Vòng 5-style 8">
      <tableStyleElement dxfId="4" type="headerRow"/>
      <tableStyleElement dxfId="2" type="firstRowStripe"/>
      <tableStyleElement dxfId="5" type="secondRowStripe"/>
    </tableStyle>
    <tableStyle count="3" pivot="0" name="Vòng 6-style">
      <tableStyleElement dxfId="4" type="headerRow"/>
      <tableStyleElement dxfId="2" type="firstRowStripe"/>
      <tableStyleElement dxfId="5" type="secondRowStripe"/>
    </tableStyle>
    <tableStyle count="3" pivot="0" name="Vòng 6-style 2">
      <tableStyleElement dxfId="4" type="headerRow"/>
      <tableStyleElement dxfId="2" type="firstRowStripe"/>
      <tableStyleElement dxfId="5" type="secondRowStripe"/>
    </tableStyle>
    <tableStyle count="2" pivot="0" name="Vòng 6-style 3">
      <tableStyleElement dxfId="2" type="firstRowStripe"/>
      <tableStyleElement dxfId="3" type="secondRowStripe"/>
    </tableStyle>
    <tableStyle count="3" pivot="0" name="Vòng 6-style 4">
      <tableStyleElement dxfId="4" type="headerRow"/>
      <tableStyleElement dxfId="2" type="firstRowStripe"/>
      <tableStyleElement dxfId="5" type="secondRowStripe"/>
    </tableStyle>
    <tableStyle count="3" pivot="0" name="Vòng 6-style 5">
      <tableStyleElement dxfId="4" type="headerRow"/>
      <tableStyleElement dxfId="2" type="firstRowStripe"/>
      <tableStyleElement dxfId="5" type="secondRowStripe"/>
    </tableStyle>
    <tableStyle count="3" pivot="0" name="Vòng 6-style 6">
      <tableStyleElement dxfId="4" type="headerRow"/>
      <tableStyleElement dxfId="2" type="firstRowStripe"/>
      <tableStyleElement dxfId="5" type="secondRowStripe"/>
    </tableStyle>
    <tableStyle count="3" pivot="0" name="Vòng 6-style 7">
      <tableStyleElement dxfId="4" type="headerRow"/>
      <tableStyleElement dxfId="2" type="firstRowStripe"/>
      <tableStyleElement dxfId="5" type="secondRowStripe"/>
    </tableStyle>
    <tableStyle count="3" pivot="0" name="Vòng 6-style 8">
      <tableStyleElement dxfId="4" type="headerRow"/>
      <tableStyleElement dxfId="2" type="firstRowStripe"/>
      <tableStyleElement dxfId="5" type="secondRowStripe"/>
    </tableStyle>
    <tableStyle count="3" pivot="0" name="Vòng 7-style">
      <tableStyleElement dxfId="4" type="headerRow"/>
      <tableStyleElement dxfId="2" type="firstRowStripe"/>
      <tableStyleElement dxfId="5" type="secondRowStripe"/>
    </tableStyle>
    <tableStyle count="3" pivot="0" name="Vòng 7-style 2">
      <tableStyleElement dxfId="4" type="headerRow"/>
      <tableStyleElement dxfId="2" type="firstRowStripe"/>
      <tableStyleElement dxfId="5" type="secondRowStripe"/>
    </tableStyle>
    <tableStyle count="2" pivot="0" name="Vòng 7-style 3">
      <tableStyleElement dxfId="2" type="firstRowStripe"/>
      <tableStyleElement dxfId="3" type="secondRowStripe"/>
    </tableStyle>
    <tableStyle count="3" pivot="0" name="Vòng 7-style 4">
      <tableStyleElement dxfId="4" type="headerRow"/>
      <tableStyleElement dxfId="2" type="firstRowStripe"/>
      <tableStyleElement dxfId="5" type="secondRowStripe"/>
    </tableStyle>
    <tableStyle count="3" pivot="0" name="Vòng 7-style 5">
      <tableStyleElement dxfId="4" type="headerRow"/>
      <tableStyleElement dxfId="2" type="firstRowStripe"/>
      <tableStyleElement dxfId="5" type="secondRowStripe"/>
    </tableStyle>
    <tableStyle count="3" pivot="0" name="Vòng 7-style 6">
      <tableStyleElement dxfId="4" type="headerRow"/>
      <tableStyleElement dxfId="2" type="firstRowStripe"/>
      <tableStyleElement dxfId="5" type="secondRowStripe"/>
    </tableStyle>
    <tableStyle count="3" pivot="0" name="Vòng 7-style 7">
      <tableStyleElement dxfId="4" type="headerRow"/>
      <tableStyleElement dxfId="2" type="firstRowStripe"/>
      <tableStyleElement dxfId="5" type="secondRowStripe"/>
    </tableStyle>
    <tableStyle count="3" pivot="0" name="Vòng 7-style 8">
      <tableStyleElement dxfId="4" type="headerRow"/>
      <tableStyleElement dxfId="2" type="firstRowStripe"/>
      <tableStyleElement dxfId="5" type="secondRowStripe"/>
    </tableStyle>
    <tableStyle count="3" pivot="0" name="Vòng 8-style">
      <tableStyleElement dxfId="4" type="headerRow"/>
      <tableStyleElement dxfId="2" type="firstRowStripe"/>
      <tableStyleElement dxfId="5" type="secondRowStripe"/>
    </tableStyle>
    <tableStyle count="3" pivot="0" name="Vòng 8-style 2">
      <tableStyleElement dxfId="4" type="headerRow"/>
      <tableStyleElement dxfId="2" type="firstRowStripe"/>
      <tableStyleElement dxfId="5" type="secondRowStripe"/>
    </tableStyle>
    <tableStyle count="2" pivot="0" name="Vòng 8-style 3">
      <tableStyleElement dxfId="2" type="firstRowStripe"/>
      <tableStyleElement dxfId="3" type="secondRowStripe"/>
    </tableStyle>
    <tableStyle count="3" pivot="0" name="Vòng 8-style 4">
      <tableStyleElement dxfId="4" type="headerRow"/>
      <tableStyleElement dxfId="2" type="firstRowStripe"/>
      <tableStyleElement dxfId="5" type="secondRowStripe"/>
    </tableStyle>
    <tableStyle count="3" pivot="0" name="Vòng 8-style 5">
      <tableStyleElement dxfId="4" type="headerRow"/>
      <tableStyleElement dxfId="2" type="firstRowStripe"/>
      <tableStyleElement dxfId="5" type="secondRowStripe"/>
    </tableStyle>
    <tableStyle count="3" pivot="0" name="Vòng 8-style 6">
      <tableStyleElement dxfId="4" type="headerRow"/>
      <tableStyleElement dxfId="2" type="firstRowStripe"/>
      <tableStyleElement dxfId="5" type="secondRowStripe"/>
    </tableStyle>
    <tableStyle count="3" pivot="0" name="Vòng 8-style 7">
      <tableStyleElement dxfId="4" type="headerRow"/>
      <tableStyleElement dxfId="2" type="firstRowStripe"/>
      <tableStyleElement dxfId="5" type="secondRowStripe"/>
    </tableStyle>
    <tableStyle count="3" pivot="0" name="Vòng 8-style 8">
      <tableStyleElement dxfId="4" type="headerRow"/>
      <tableStyleElement dxfId="2" type="firstRowStripe"/>
      <tableStyleElement dxfId="5" type="secondRowStripe"/>
    </tableStyle>
    <tableStyle count="3" pivot="0" name="Vòng 9-style">
      <tableStyleElement dxfId="4" type="headerRow"/>
      <tableStyleElement dxfId="2" type="firstRowStripe"/>
      <tableStyleElement dxfId="5" type="secondRowStripe"/>
    </tableStyle>
    <tableStyle count="3" pivot="0" name="Vòng 9-style 2">
      <tableStyleElement dxfId="4" type="headerRow"/>
      <tableStyleElement dxfId="2" type="firstRowStripe"/>
      <tableStyleElement dxfId="5" type="secondRowStripe"/>
    </tableStyle>
    <tableStyle count="2" pivot="0" name="Vòng 9-style 3">
      <tableStyleElement dxfId="2" type="firstRowStripe"/>
      <tableStyleElement dxfId="3" type="secondRowStripe"/>
    </tableStyle>
    <tableStyle count="3" pivot="0" name="Vòng 9-style 4">
      <tableStyleElement dxfId="4" type="headerRow"/>
      <tableStyleElement dxfId="2" type="firstRowStripe"/>
      <tableStyleElement dxfId="5" type="secondRowStripe"/>
    </tableStyle>
    <tableStyle count="3" pivot="0" name="Vòng 9-style 5">
      <tableStyleElement dxfId="4" type="headerRow"/>
      <tableStyleElement dxfId="2" type="firstRowStripe"/>
      <tableStyleElement dxfId="5" type="secondRowStripe"/>
    </tableStyle>
    <tableStyle count="3" pivot="0" name="Vòng 9-style 6">
      <tableStyleElement dxfId="4" type="headerRow"/>
      <tableStyleElement dxfId="2" type="firstRowStripe"/>
      <tableStyleElement dxfId="5" type="secondRowStripe"/>
    </tableStyle>
    <tableStyle count="3" pivot="0" name="Vòng 9-style 7">
      <tableStyleElement dxfId="4" type="headerRow"/>
      <tableStyleElement dxfId="2" type="firstRowStripe"/>
      <tableStyleElement dxfId="5" type="secondRowStripe"/>
    </tableStyle>
    <tableStyle count="3" pivot="0" name="Vòng 9-style 8">
      <tableStyleElement dxfId="4" type="headerRow"/>
      <tableStyleElement dxfId="2" type="firstRowStripe"/>
      <tableStyleElement dxfId="5" type="secondRowStripe"/>
    </tableStyle>
    <tableStyle count="3" pivot="0" name="Vòng 10-style">
      <tableStyleElement dxfId="4" type="headerRow"/>
      <tableStyleElement dxfId="2" type="firstRowStripe"/>
      <tableStyleElement dxfId="5" type="secondRowStripe"/>
    </tableStyle>
    <tableStyle count="3" pivot="0" name="Vòng 10-style 2">
      <tableStyleElement dxfId="4" type="headerRow"/>
      <tableStyleElement dxfId="2" type="firstRowStripe"/>
      <tableStyleElement dxfId="5" type="secondRowStripe"/>
    </tableStyle>
    <tableStyle count="2" pivot="0" name="Vòng 10-style 3">
      <tableStyleElement dxfId="2" type="firstRowStripe"/>
      <tableStyleElement dxfId="3" type="secondRowStripe"/>
    </tableStyle>
    <tableStyle count="3" pivot="0" name="Vòng 10-style 4">
      <tableStyleElement dxfId="4" type="headerRow"/>
      <tableStyleElement dxfId="2" type="firstRowStripe"/>
      <tableStyleElement dxfId="5" type="secondRowStripe"/>
    </tableStyle>
    <tableStyle count="3" pivot="0" name="Vòng 10-style 5">
      <tableStyleElement dxfId="4" type="headerRow"/>
      <tableStyleElement dxfId="2" type="firstRowStripe"/>
      <tableStyleElement dxfId="5" type="secondRowStripe"/>
    </tableStyle>
    <tableStyle count="3" pivot="0" name="Vòng 10-style 6">
      <tableStyleElement dxfId="4" type="headerRow"/>
      <tableStyleElement dxfId="2" type="firstRowStripe"/>
      <tableStyleElement dxfId="5" type="secondRowStripe"/>
    </tableStyle>
    <tableStyle count="3" pivot="0" name="Vòng 10-style 7">
      <tableStyleElement dxfId="4" type="headerRow"/>
      <tableStyleElement dxfId="2" type="firstRowStripe"/>
      <tableStyleElement dxfId="5" type="secondRowStripe"/>
    </tableStyle>
    <tableStyle count="3" pivot="0" name="Vòng 10-style 8">
      <tableStyleElement dxfId="4" type="headerRow"/>
      <tableStyleElement dxfId="2" type="firstRowStripe"/>
      <tableStyleElement dxfId="5" type="secondRowStripe"/>
    </tableStyle>
    <tableStyle count="3" pivot="0" name="Vòng 11-style">
      <tableStyleElement dxfId="4" type="headerRow"/>
      <tableStyleElement dxfId="2" type="firstRowStripe"/>
      <tableStyleElement dxfId="5" type="secondRowStripe"/>
    </tableStyle>
    <tableStyle count="3" pivot="0" name="Vòng 11-style 2">
      <tableStyleElement dxfId="4" type="headerRow"/>
      <tableStyleElement dxfId="2" type="firstRowStripe"/>
      <tableStyleElement dxfId="5" type="secondRowStripe"/>
    </tableStyle>
    <tableStyle count="2" pivot="0" name="Vòng 11-style 3">
      <tableStyleElement dxfId="2" type="firstRowStripe"/>
      <tableStyleElement dxfId="3" type="secondRowStripe"/>
    </tableStyle>
    <tableStyle count="3" pivot="0" name="Vòng 11-style 4">
      <tableStyleElement dxfId="4" type="headerRow"/>
      <tableStyleElement dxfId="2" type="firstRowStripe"/>
      <tableStyleElement dxfId="5" type="secondRowStripe"/>
    </tableStyle>
    <tableStyle count="3" pivot="0" name="Vòng 11-style 5">
      <tableStyleElement dxfId="4" type="headerRow"/>
      <tableStyleElement dxfId="2" type="firstRowStripe"/>
      <tableStyleElement dxfId="5" type="secondRowStripe"/>
    </tableStyle>
    <tableStyle count="3" pivot="0" name="Vòng 11-style 6">
      <tableStyleElement dxfId="4" type="headerRow"/>
      <tableStyleElement dxfId="2" type="firstRowStripe"/>
      <tableStyleElement dxfId="5" type="secondRowStripe"/>
    </tableStyle>
    <tableStyle count="3" pivot="0" name="Vòng 11-style 7">
      <tableStyleElement dxfId="4" type="headerRow"/>
      <tableStyleElement dxfId="2" type="firstRowStripe"/>
      <tableStyleElement dxfId="5" type="secondRowStripe"/>
    </tableStyle>
    <tableStyle count="3" pivot="0" name="Vòng 11-style 8">
      <tableStyleElement dxfId="4" type="headerRow"/>
      <tableStyleElement dxfId="2" type="firstRowStripe"/>
      <tableStyleElement dxfId="5" type="secondRowStripe"/>
    </tableStyle>
    <tableStyle count="3" pivot="0" name="Vòng 12-style">
      <tableStyleElement dxfId="4" type="headerRow"/>
      <tableStyleElement dxfId="2" type="firstRowStripe"/>
      <tableStyleElement dxfId="5" type="secondRowStripe"/>
    </tableStyle>
    <tableStyle count="3" pivot="0" name="Vòng 12-style 2">
      <tableStyleElement dxfId="4" type="headerRow"/>
      <tableStyleElement dxfId="2" type="firstRowStripe"/>
      <tableStyleElement dxfId="5" type="secondRowStripe"/>
    </tableStyle>
    <tableStyle count="2" pivot="0" name="Vòng 12-style 3">
      <tableStyleElement dxfId="2" type="firstRowStripe"/>
      <tableStyleElement dxfId="3" type="secondRowStripe"/>
    </tableStyle>
    <tableStyle count="3" pivot="0" name="Vòng 12-style 4">
      <tableStyleElement dxfId="4" type="headerRow"/>
      <tableStyleElement dxfId="2" type="firstRowStripe"/>
      <tableStyleElement dxfId="5" type="secondRowStripe"/>
    </tableStyle>
    <tableStyle count="3" pivot="0" name="Vòng 12-style 5">
      <tableStyleElement dxfId="4" type="headerRow"/>
      <tableStyleElement dxfId="2" type="firstRowStripe"/>
      <tableStyleElement dxfId="5" type="secondRowStripe"/>
    </tableStyle>
    <tableStyle count="3" pivot="0" name="Vòng 12-style 6">
      <tableStyleElement dxfId="4" type="headerRow"/>
      <tableStyleElement dxfId="2" type="firstRowStripe"/>
      <tableStyleElement dxfId="5" type="secondRowStripe"/>
    </tableStyle>
    <tableStyle count="3" pivot="0" name="Vòng 12-style 7">
      <tableStyleElement dxfId="4" type="headerRow"/>
      <tableStyleElement dxfId="2" type="firstRowStripe"/>
      <tableStyleElement dxfId="5" type="secondRowStripe"/>
    </tableStyle>
    <tableStyle count="3" pivot="0" name="Vòng 12-style 8">
      <tableStyleElement dxfId="4" type="headerRow"/>
      <tableStyleElement dxfId="2" type="firstRowStripe"/>
      <tableStyleElement dxfId="5" type="secondRowStripe"/>
    </tableStyle>
    <tableStyle count="3" pivot="0" name="Vòng 13-style">
      <tableStyleElement dxfId="4" type="headerRow"/>
      <tableStyleElement dxfId="2" type="firstRowStripe"/>
      <tableStyleElement dxfId="5" type="secondRowStripe"/>
    </tableStyle>
    <tableStyle count="3" pivot="0" name="Vòng 13-style 2">
      <tableStyleElement dxfId="4" type="headerRow"/>
      <tableStyleElement dxfId="2" type="firstRowStripe"/>
      <tableStyleElement dxfId="5" type="secondRowStripe"/>
    </tableStyle>
    <tableStyle count="2" pivot="0" name="Vòng 13-style 3">
      <tableStyleElement dxfId="2" type="firstRowStripe"/>
      <tableStyleElement dxfId="3" type="secondRowStripe"/>
    </tableStyle>
    <tableStyle count="3" pivot="0" name="Vòng 13-style 4">
      <tableStyleElement dxfId="4" type="headerRow"/>
      <tableStyleElement dxfId="2" type="firstRowStripe"/>
      <tableStyleElement dxfId="5" type="secondRowStripe"/>
    </tableStyle>
    <tableStyle count="3" pivot="0" name="Vòng 13-style 5">
      <tableStyleElement dxfId="4" type="headerRow"/>
      <tableStyleElement dxfId="2" type="firstRowStripe"/>
      <tableStyleElement dxfId="5" type="secondRowStripe"/>
    </tableStyle>
    <tableStyle count="3" pivot="0" name="Vòng 13-style 6">
      <tableStyleElement dxfId="4" type="headerRow"/>
      <tableStyleElement dxfId="2" type="firstRowStripe"/>
      <tableStyleElement dxfId="5" type="secondRowStripe"/>
    </tableStyle>
    <tableStyle count="3" pivot="0" name="Vòng 13-style 7">
      <tableStyleElement dxfId="4" type="headerRow"/>
      <tableStyleElement dxfId="2" type="firstRowStripe"/>
      <tableStyleElement dxfId="5" type="secondRowStripe"/>
    </tableStyle>
    <tableStyle count="3" pivot="0" name="Vòng 13-style 8">
      <tableStyleElement dxfId="4" type="headerRow"/>
      <tableStyleElement dxfId="2" type="firstRowStripe"/>
      <tableStyleElement dxfId="5" type="secondRowStripe"/>
    </tableStyle>
    <tableStyle count="3" pivot="0" name="Vòng 14-style">
      <tableStyleElement dxfId="4" type="headerRow"/>
      <tableStyleElement dxfId="2" type="firstRowStripe"/>
      <tableStyleElement dxfId="5" type="secondRowStripe"/>
    </tableStyle>
    <tableStyle count="3" pivot="0" name="Vòng 14-style 2">
      <tableStyleElement dxfId="4" type="headerRow"/>
      <tableStyleElement dxfId="2" type="firstRowStripe"/>
      <tableStyleElement dxfId="5" type="secondRowStripe"/>
    </tableStyle>
    <tableStyle count="2" pivot="0" name="Vòng 14-style 3">
      <tableStyleElement dxfId="2" type="firstRowStripe"/>
      <tableStyleElement dxfId="3" type="secondRowStripe"/>
    </tableStyle>
    <tableStyle count="3" pivot="0" name="Vòng 14-style 4">
      <tableStyleElement dxfId="4" type="headerRow"/>
      <tableStyleElement dxfId="2" type="firstRowStripe"/>
      <tableStyleElement dxfId="5" type="secondRowStripe"/>
    </tableStyle>
    <tableStyle count="3" pivot="0" name="Vòng 14-style 5">
      <tableStyleElement dxfId="4" type="headerRow"/>
      <tableStyleElement dxfId="2" type="firstRowStripe"/>
      <tableStyleElement dxfId="5" type="secondRowStripe"/>
    </tableStyle>
    <tableStyle count="3" pivot="0" name="Vòng 14-style 6">
      <tableStyleElement dxfId="4" type="headerRow"/>
      <tableStyleElement dxfId="2" type="firstRowStripe"/>
      <tableStyleElement dxfId="5" type="secondRowStripe"/>
    </tableStyle>
    <tableStyle count="3" pivot="0" name="Vòng 14-style 7">
      <tableStyleElement dxfId="4" type="headerRow"/>
      <tableStyleElement dxfId="2" type="firstRowStripe"/>
      <tableStyleElement dxfId="5" type="secondRowStripe"/>
    </tableStyle>
    <tableStyle count="3" pivot="0" name="Vòng 14-style 8">
      <tableStyleElement dxfId="4" type="headerRow"/>
      <tableStyleElement dxfId="2" type="firstRowStripe"/>
      <tableStyleElement dxfId="5" type="secondRowStripe"/>
    </tableStyle>
    <tableStyle count="3" pivot="0" name="Vòng 15-style">
      <tableStyleElement dxfId="4" type="headerRow"/>
      <tableStyleElement dxfId="2" type="firstRowStripe"/>
      <tableStyleElement dxfId="5" type="secondRowStripe"/>
    </tableStyle>
    <tableStyle count="3" pivot="0" name="Vòng 15-style 2">
      <tableStyleElement dxfId="4" type="headerRow"/>
      <tableStyleElement dxfId="2" type="firstRowStripe"/>
      <tableStyleElement dxfId="5" type="secondRowStripe"/>
    </tableStyle>
    <tableStyle count="2" pivot="0" name="Vòng 15-style 3">
      <tableStyleElement dxfId="2" type="firstRowStripe"/>
      <tableStyleElement dxfId="3" type="secondRowStripe"/>
    </tableStyle>
    <tableStyle count="3" pivot="0" name="Vòng 15-style 4">
      <tableStyleElement dxfId="4" type="headerRow"/>
      <tableStyleElement dxfId="2" type="firstRowStripe"/>
      <tableStyleElement dxfId="5" type="secondRowStripe"/>
    </tableStyle>
    <tableStyle count="3" pivot="0" name="Vòng 15-style 5">
      <tableStyleElement dxfId="4" type="headerRow"/>
      <tableStyleElement dxfId="2" type="firstRowStripe"/>
      <tableStyleElement dxfId="5" type="secondRowStripe"/>
    </tableStyle>
    <tableStyle count="3" pivot="0" name="Vòng 15-style 6">
      <tableStyleElement dxfId="4" type="headerRow"/>
      <tableStyleElement dxfId="2" type="firstRowStripe"/>
      <tableStyleElement dxfId="5" type="secondRowStripe"/>
    </tableStyle>
    <tableStyle count="3" pivot="0" name="Vòng 15-style 7">
      <tableStyleElement dxfId="4" type="headerRow"/>
      <tableStyleElement dxfId="2" type="firstRowStripe"/>
      <tableStyleElement dxfId="5" type="secondRowStripe"/>
    </tableStyle>
    <tableStyle count="3" pivot="0" name="Vòng 15-style 8">
      <tableStyleElement dxfId="4" type="headerRow"/>
      <tableStyleElement dxfId="2" type="firstRowStripe"/>
      <tableStyleElement dxfId="5" type="secondRowStripe"/>
    </tableStyle>
    <tableStyle count="3" pivot="0" name="Vòng 16-style">
      <tableStyleElement dxfId="4" type="headerRow"/>
      <tableStyleElement dxfId="2" type="firstRowStripe"/>
      <tableStyleElement dxfId="5" type="secondRowStripe"/>
    </tableStyle>
    <tableStyle count="3" pivot="0" name="Vòng 16-style 2">
      <tableStyleElement dxfId="4" type="headerRow"/>
      <tableStyleElement dxfId="2" type="firstRowStripe"/>
      <tableStyleElement dxfId="5" type="secondRowStripe"/>
    </tableStyle>
    <tableStyle count="2" pivot="0" name="Vòng 16-style 3">
      <tableStyleElement dxfId="2" type="firstRowStripe"/>
      <tableStyleElement dxfId="3" type="secondRowStripe"/>
    </tableStyle>
    <tableStyle count="3" pivot="0" name="Vòng 16-style 4">
      <tableStyleElement dxfId="4" type="headerRow"/>
      <tableStyleElement dxfId="2" type="firstRowStripe"/>
      <tableStyleElement dxfId="5" type="secondRowStripe"/>
    </tableStyle>
    <tableStyle count="3" pivot="0" name="Vòng 16-style 5">
      <tableStyleElement dxfId="4" type="headerRow"/>
      <tableStyleElement dxfId="2" type="firstRowStripe"/>
      <tableStyleElement dxfId="5" type="secondRowStripe"/>
    </tableStyle>
    <tableStyle count="3" pivot="0" name="Vòng 16-style 6">
      <tableStyleElement dxfId="4" type="headerRow"/>
      <tableStyleElement dxfId="2" type="firstRowStripe"/>
      <tableStyleElement dxfId="5" type="secondRowStripe"/>
    </tableStyle>
    <tableStyle count="3" pivot="0" name="Vòng 16-style 7">
      <tableStyleElement dxfId="4" type="headerRow"/>
      <tableStyleElement dxfId="2" type="firstRowStripe"/>
      <tableStyleElement dxfId="5" type="secondRowStripe"/>
    </tableStyle>
    <tableStyle count="3" pivot="0" name="Vòng 16-style 8">
      <tableStyleElement dxfId="4" type="headerRow"/>
      <tableStyleElement dxfId="2" type="firstRowStripe"/>
      <tableStyleElement dxfId="5" type="secondRowStripe"/>
    </tableStyle>
    <tableStyle count="3" pivot="0" name="Hoán vị IP ^-1-style">
      <tableStyleElement dxfId="4" type="headerRow"/>
      <tableStyleElement dxfId="2" type="firstRowStripe"/>
      <tableStyleElement dxfId="5" type="secondRowStripe"/>
    </tableStyle>
    <tableStyle count="3" pivot="0" name="Khóa K1-style">
      <tableStyleElement dxfId="4" type="headerRow"/>
      <tableStyleElement dxfId="2" type="firstRowStripe"/>
      <tableStyleElement dxfId="5" type="secondRowStripe"/>
    </tableStyle>
    <tableStyle count="3" pivot="0" name="Khóa K1-style 2">
      <tableStyleElement dxfId="4" type="headerRow"/>
      <tableStyleElement dxfId="2" type="firstRowStripe"/>
      <tableStyleElement dxfId="5" type="secondRowStripe"/>
    </tableStyle>
    <tableStyle count="3" pivot="0" name="Khóa K1-style 3">
      <tableStyleElement dxfId="4" type="headerRow"/>
      <tableStyleElement dxfId="2" type="firstRowStripe"/>
      <tableStyleElement dxfId="5" type="secondRowStripe"/>
    </tableStyle>
    <tableStyle count="3" pivot="0" name="Khóa K2-style">
      <tableStyleElement dxfId="4" type="headerRow"/>
      <tableStyleElement dxfId="2" type="firstRowStripe"/>
      <tableStyleElement dxfId="5" type="secondRowStripe"/>
    </tableStyle>
    <tableStyle count="3" pivot="0" name="Khóa K2-style 2">
      <tableStyleElement dxfId="4" type="headerRow"/>
      <tableStyleElement dxfId="2" type="firstRowStripe"/>
      <tableStyleElement dxfId="5" type="secondRowStripe"/>
    </tableStyle>
    <tableStyle count="3" pivot="0" name="Khóa K2-style 3">
      <tableStyleElement dxfId="4" type="headerRow"/>
      <tableStyleElement dxfId="2" type="firstRowStripe"/>
      <tableStyleElement dxfId="5" type="secondRowStripe"/>
    </tableStyle>
    <tableStyle count="3" pivot="0" name="Khóa K3-style">
      <tableStyleElement dxfId="4" type="headerRow"/>
      <tableStyleElement dxfId="2" type="firstRowStripe"/>
      <tableStyleElement dxfId="5" type="secondRowStripe"/>
    </tableStyle>
    <tableStyle count="3" pivot="0" name="Khóa K3-style 2">
      <tableStyleElement dxfId="4" type="headerRow"/>
      <tableStyleElement dxfId="2" type="firstRowStripe"/>
      <tableStyleElement dxfId="5" type="secondRowStripe"/>
    </tableStyle>
    <tableStyle count="3" pivot="0" name="Khóa K3-style 3">
      <tableStyleElement dxfId="4" type="headerRow"/>
      <tableStyleElement dxfId="2" type="firstRowStripe"/>
      <tableStyleElement dxfId="5" type="secondRowStripe"/>
    </tableStyle>
    <tableStyle count="3" pivot="0" name="Khóa K4-style">
      <tableStyleElement dxfId="4" type="headerRow"/>
      <tableStyleElement dxfId="2" type="firstRowStripe"/>
      <tableStyleElement dxfId="5" type="secondRowStripe"/>
    </tableStyle>
    <tableStyle count="3" pivot="0" name="Khóa K4-style 2">
      <tableStyleElement dxfId="4" type="headerRow"/>
      <tableStyleElement dxfId="2" type="firstRowStripe"/>
      <tableStyleElement dxfId="5" type="secondRowStripe"/>
    </tableStyle>
    <tableStyle count="3" pivot="0" name="Khóa K4-style 3">
      <tableStyleElement dxfId="4" type="headerRow"/>
      <tableStyleElement dxfId="2" type="firstRowStripe"/>
      <tableStyleElement dxfId="5" type="secondRowStripe"/>
    </tableStyle>
    <tableStyle count="3" pivot="0" name="Khóa K5-style">
      <tableStyleElement dxfId="4" type="headerRow"/>
      <tableStyleElement dxfId="2" type="firstRowStripe"/>
      <tableStyleElement dxfId="5" type="secondRowStripe"/>
    </tableStyle>
    <tableStyle count="3" pivot="0" name="Khóa K5-style 2">
      <tableStyleElement dxfId="4" type="headerRow"/>
      <tableStyleElement dxfId="2" type="firstRowStripe"/>
      <tableStyleElement dxfId="5" type="secondRowStripe"/>
    </tableStyle>
    <tableStyle count="3" pivot="0" name="Khóa K5-style 3">
      <tableStyleElement dxfId="4" type="headerRow"/>
      <tableStyleElement dxfId="2" type="firstRowStripe"/>
      <tableStyleElement dxfId="5" type="secondRowStripe"/>
    </tableStyle>
    <tableStyle count="3" pivot="0" name="Khóa K6-style">
      <tableStyleElement dxfId="4" type="headerRow"/>
      <tableStyleElement dxfId="2" type="firstRowStripe"/>
      <tableStyleElement dxfId="5" type="secondRowStripe"/>
    </tableStyle>
    <tableStyle count="3" pivot="0" name="Khóa K6-style 2">
      <tableStyleElement dxfId="4" type="headerRow"/>
      <tableStyleElement dxfId="2" type="firstRowStripe"/>
      <tableStyleElement dxfId="5" type="secondRowStripe"/>
    </tableStyle>
    <tableStyle count="3" pivot="0" name="Khóa K6-style 3">
      <tableStyleElement dxfId="4" type="headerRow"/>
      <tableStyleElement dxfId="2" type="firstRowStripe"/>
      <tableStyleElement dxfId="5" type="secondRowStripe"/>
    </tableStyle>
    <tableStyle count="3" pivot="0" name="Khóa K7-style">
      <tableStyleElement dxfId="4" type="headerRow"/>
      <tableStyleElement dxfId="2" type="firstRowStripe"/>
      <tableStyleElement dxfId="5" type="secondRowStripe"/>
    </tableStyle>
    <tableStyle count="3" pivot="0" name="Khóa K7-style 2">
      <tableStyleElement dxfId="4" type="headerRow"/>
      <tableStyleElement dxfId="2" type="firstRowStripe"/>
      <tableStyleElement dxfId="5" type="secondRowStripe"/>
    </tableStyle>
    <tableStyle count="3" pivot="0" name="Khóa K7-style 3">
      <tableStyleElement dxfId="4" type="headerRow"/>
      <tableStyleElement dxfId="2" type="firstRowStripe"/>
      <tableStyleElement dxfId="5" type="secondRowStripe"/>
    </tableStyle>
    <tableStyle count="3" pivot="0" name="Khóa K8-style">
      <tableStyleElement dxfId="4" type="headerRow"/>
      <tableStyleElement dxfId="2" type="firstRowStripe"/>
      <tableStyleElement dxfId="5" type="secondRowStripe"/>
    </tableStyle>
    <tableStyle count="3" pivot="0" name="Khóa K8-style 2">
      <tableStyleElement dxfId="4" type="headerRow"/>
      <tableStyleElement dxfId="2" type="firstRowStripe"/>
      <tableStyleElement dxfId="5" type="secondRowStripe"/>
    </tableStyle>
    <tableStyle count="3" pivot="0" name="Khóa K8-style 3">
      <tableStyleElement dxfId="4" type="headerRow"/>
      <tableStyleElement dxfId="2" type="firstRowStripe"/>
      <tableStyleElement dxfId="5" type="secondRowStripe"/>
    </tableStyle>
    <tableStyle count="3" pivot="0" name="Khóa K9-style">
      <tableStyleElement dxfId="4" type="headerRow"/>
      <tableStyleElement dxfId="2" type="firstRowStripe"/>
      <tableStyleElement dxfId="5" type="secondRowStripe"/>
    </tableStyle>
    <tableStyle count="3" pivot="0" name="Khóa K9-style 2">
      <tableStyleElement dxfId="4" type="headerRow"/>
      <tableStyleElement dxfId="2" type="firstRowStripe"/>
      <tableStyleElement dxfId="5" type="secondRowStripe"/>
    </tableStyle>
    <tableStyle count="3" pivot="0" name="Khóa K9-style 3">
      <tableStyleElement dxfId="4" type="headerRow"/>
      <tableStyleElement dxfId="2" type="firstRowStripe"/>
      <tableStyleElement dxfId="5" type="secondRowStripe"/>
    </tableStyle>
    <tableStyle count="3" pivot="0" name="Khóa K10-style">
      <tableStyleElement dxfId="4" type="headerRow"/>
      <tableStyleElement dxfId="2" type="firstRowStripe"/>
      <tableStyleElement dxfId="5" type="secondRowStripe"/>
    </tableStyle>
    <tableStyle count="3" pivot="0" name="Khóa K10-style 2">
      <tableStyleElement dxfId="4" type="headerRow"/>
      <tableStyleElement dxfId="2" type="firstRowStripe"/>
      <tableStyleElement dxfId="5" type="secondRowStripe"/>
    </tableStyle>
    <tableStyle count="3" pivot="0" name="Khóa K10-style 3">
      <tableStyleElement dxfId="4" type="headerRow"/>
      <tableStyleElement dxfId="2" type="firstRowStripe"/>
      <tableStyleElement dxfId="5" type="secondRowStripe"/>
    </tableStyle>
    <tableStyle count="3" pivot="0" name="Khóa K11-style">
      <tableStyleElement dxfId="4" type="headerRow"/>
      <tableStyleElement dxfId="2" type="firstRowStripe"/>
      <tableStyleElement dxfId="5" type="secondRowStripe"/>
    </tableStyle>
    <tableStyle count="3" pivot="0" name="Khóa K11-style 2">
      <tableStyleElement dxfId="4" type="headerRow"/>
      <tableStyleElement dxfId="2" type="firstRowStripe"/>
      <tableStyleElement dxfId="5" type="secondRowStripe"/>
    </tableStyle>
    <tableStyle count="3" pivot="0" name="Khóa K11-style 3">
      <tableStyleElement dxfId="4" type="headerRow"/>
      <tableStyleElement dxfId="2" type="firstRowStripe"/>
      <tableStyleElement dxfId="5" type="secondRowStripe"/>
    </tableStyle>
    <tableStyle count="3" pivot="0" name="Khóa K12-style">
      <tableStyleElement dxfId="4" type="headerRow"/>
      <tableStyleElement dxfId="2" type="firstRowStripe"/>
      <tableStyleElement dxfId="5" type="secondRowStripe"/>
    </tableStyle>
    <tableStyle count="3" pivot="0" name="Khóa K12-style 2">
      <tableStyleElement dxfId="4" type="headerRow"/>
      <tableStyleElement dxfId="2" type="firstRowStripe"/>
      <tableStyleElement dxfId="5" type="secondRowStripe"/>
    </tableStyle>
    <tableStyle count="3" pivot="0" name="Khóa K12-style 3">
      <tableStyleElement dxfId="4" type="headerRow"/>
      <tableStyleElement dxfId="2" type="firstRowStripe"/>
      <tableStyleElement dxfId="5" type="secondRowStripe"/>
    </tableStyle>
    <tableStyle count="3" pivot="0" name="Khóa K13-style">
      <tableStyleElement dxfId="4" type="headerRow"/>
      <tableStyleElement dxfId="2" type="firstRowStripe"/>
      <tableStyleElement dxfId="5" type="secondRowStripe"/>
    </tableStyle>
    <tableStyle count="3" pivot="0" name="Khóa K13-style 2">
      <tableStyleElement dxfId="4" type="headerRow"/>
      <tableStyleElement dxfId="2" type="firstRowStripe"/>
      <tableStyleElement dxfId="5" type="secondRowStripe"/>
    </tableStyle>
    <tableStyle count="3" pivot="0" name="Khóa K13-style 3">
      <tableStyleElement dxfId="4" type="headerRow"/>
      <tableStyleElement dxfId="2" type="firstRowStripe"/>
      <tableStyleElement dxfId="5" type="secondRowStripe"/>
    </tableStyle>
    <tableStyle count="3" pivot="0" name="Khóa K14-style">
      <tableStyleElement dxfId="4" type="headerRow"/>
      <tableStyleElement dxfId="2" type="firstRowStripe"/>
      <tableStyleElement dxfId="5" type="secondRowStripe"/>
    </tableStyle>
    <tableStyle count="3" pivot="0" name="Khóa K14-style 2">
      <tableStyleElement dxfId="4" type="headerRow"/>
      <tableStyleElement dxfId="2" type="firstRowStripe"/>
      <tableStyleElement dxfId="5" type="secondRowStripe"/>
    </tableStyle>
    <tableStyle count="3" pivot="0" name="Khóa K14-style 3">
      <tableStyleElement dxfId="4" type="headerRow"/>
      <tableStyleElement dxfId="2" type="firstRowStripe"/>
      <tableStyleElement dxfId="5" type="secondRowStripe"/>
    </tableStyle>
    <tableStyle count="3" pivot="0" name="Khóa K15-style">
      <tableStyleElement dxfId="4" type="headerRow"/>
      <tableStyleElement dxfId="2" type="firstRowStripe"/>
      <tableStyleElement dxfId="5" type="secondRowStripe"/>
    </tableStyle>
    <tableStyle count="3" pivot="0" name="Khóa K15-style 2">
      <tableStyleElement dxfId="4" type="headerRow"/>
      <tableStyleElement dxfId="2" type="firstRowStripe"/>
      <tableStyleElement dxfId="5" type="secondRowStripe"/>
    </tableStyle>
    <tableStyle count="3" pivot="0" name="Khóa K15-style 3">
      <tableStyleElement dxfId="4" type="headerRow"/>
      <tableStyleElement dxfId="2" type="firstRowStripe"/>
      <tableStyleElement dxfId="5" type="secondRowStripe"/>
    </tableStyle>
    <tableStyle count="3" pivot="0" name="Khóa K16-style">
      <tableStyleElement dxfId="4" type="headerRow"/>
      <tableStyleElement dxfId="2" type="firstRowStripe"/>
      <tableStyleElement dxfId="5" type="secondRowStripe"/>
    </tableStyle>
    <tableStyle count="3" pivot="0" name="Khóa K16-style 2">
      <tableStyleElement dxfId="4" type="headerRow"/>
      <tableStyleElement dxfId="2" type="firstRowStripe"/>
      <tableStyleElement dxfId="5" type="secondRowStripe"/>
    </tableStyle>
    <tableStyle count="3" pivot="0" name="Khóa K16-style 3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oán vị PC-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0:G77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án vị PC-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C8" displayName="Table_3" name="Table_3" id="3">
  <tableColumns count="3">
    <tableColumn name="Column1" id="1"/>
    <tableColumn name="Column2" id="2"/>
    <tableColumn name="Column3" id="3"/>
  </tableColumns>
  <tableStyleInfo name="Hoán vị IP(v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M8:O14" displayName="Table_4" name="Table_4" id="4">
  <tableColumns count="3">
    <tableColumn name="Column1" id="1"/>
    <tableColumn name="Column2" id="2"/>
    <tableColumn name="Column3" id="3"/>
  </tableColumns>
  <tableStyleInfo name="Hoán vị IP(v1)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1:D27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Hoán vị IP(v1)-style 3" showColumnStripes="0" showFirstColumn="1" showLastColumn="1" showRowStripes="1"/>
</table>
</file>

<file path=xl/tables/table6.xml><?xml version="1.0" encoding="utf-8"?>
<table xmlns="http://schemas.openxmlformats.org/spreadsheetml/2006/main" headerRowCount="0" ref="M23:O27" displayName="Table_6" name="Table_6" id="6">
  <tableColumns count="3">
    <tableColumn name="Column1" id="1"/>
    <tableColumn name="Column2" id="2"/>
    <tableColumn name="Column3" id="3"/>
  </tableColumns>
  <tableStyleInfo name="Hoán vị IP(v1)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4:D40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Hoán vị IP(v1)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42:E46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Hoán vị IP(v1)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U43:X49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Hoán vị IP(v1)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U51:X55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Hoán vị IP(v1)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:C8" displayName="Table_11" name="Table_11" id="11">
  <tableColumns count="3">
    <tableColumn name="Column1" id="1"/>
    <tableColumn name="Column2" id="2"/>
    <tableColumn name="Column3" id="3"/>
  </tableColumns>
  <tableStyleInfo name="Vòng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M8:O14" displayName="Table_12" name="Table_12" id="12">
  <tableColumns count="3">
    <tableColumn name="Column1" id="1"/>
    <tableColumn name="Column2" id="2"/>
    <tableColumn name="Column3" id="3"/>
  </tableColumns>
  <tableStyleInfo name="Vòng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1:D27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Vòng 2-style 3" showColumnStripes="0" showFirstColumn="1" showLastColumn="1" showRowStripes="1"/>
</table>
</file>

<file path=xl/tables/table14.xml><?xml version="1.0" encoding="utf-8"?>
<table xmlns="http://schemas.openxmlformats.org/spreadsheetml/2006/main" headerRowCount="0" ref="M23:O27" displayName="Table_14" name="Table_14" id="14">
  <tableColumns count="3">
    <tableColumn name="Column1" id="1"/>
    <tableColumn name="Column2" id="2"/>
    <tableColumn name="Column3" id="3"/>
  </tableColumns>
  <tableStyleInfo name="Vòng 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34:D40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Vòng 2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42:E46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2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U43:X49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Vòng 2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U51:X55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Vòng 2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2:C8" displayName="Table_19" name="Table_19" id="19">
  <tableColumns count="3">
    <tableColumn name="Column1" id="1"/>
    <tableColumn name="Column2" id="2"/>
    <tableColumn name="Column3" id="3"/>
  </tableColumns>
  <tableStyleInfo name="Vòng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M8:O14" displayName="Table_20" name="Table_20" id="20">
  <tableColumns count="3">
    <tableColumn name="Column1" id="1"/>
    <tableColumn name="Column2" id="2"/>
    <tableColumn name="Column3" id="3"/>
  </tableColumns>
  <tableStyleInfo name="Vòng 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1:D27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Vòng 3-style 3" showColumnStripes="0" showFirstColumn="1" showLastColumn="1" showRowStripes="1"/>
</table>
</file>

<file path=xl/tables/table22.xml><?xml version="1.0" encoding="utf-8"?>
<table xmlns="http://schemas.openxmlformats.org/spreadsheetml/2006/main" headerRowCount="0" ref="M23:O27" displayName="Table_22" name="Table_22" id="22">
  <tableColumns count="3">
    <tableColumn name="Column1" id="1"/>
    <tableColumn name="Column2" id="2"/>
    <tableColumn name="Column3" id="3"/>
  </tableColumns>
  <tableStyleInfo name="Vòng 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34:D40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Vòng 3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42:E46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3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U43:X49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Vòng 3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U51:X55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Vòng 3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2:C8" displayName="Table_27" name="Table_27" id="27">
  <tableColumns count="3">
    <tableColumn name="Column1" id="1"/>
    <tableColumn name="Column2" id="2"/>
    <tableColumn name="Column3" id="3"/>
  </tableColumns>
  <tableStyleInfo name="Vòng 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M8:O14" displayName="Table_28" name="Table_28" id="28">
  <tableColumns count="3">
    <tableColumn name="Column1" id="1"/>
    <tableColumn name="Column2" id="2"/>
    <tableColumn name="Column3" id="3"/>
  </tableColumns>
  <tableStyleInfo name="Vòng 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11:D27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Vòng 4-style 3" showColumnStripes="0" showFirstColumn="1" showLastColumn="1" showRowStripes="1"/>
</table>
</file>

<file path=xl/tables/table30.xml><?xml version="1.0" encoding="utf-8"?>
<table xmlns="http://schemas.openxmlformats.org/spreadsheetml/2006/main" headerRowCount="0" ref="M23:O27" displayName="Table_30" name="Table_30" id="30">
  <tableColumns count="3">
    <tableColumn name="Column1" id="1"/>
    <tableColumn name="Column2" id="2"/>
    <tableColumn name="Column3" id="3"/>
  </tableColumns>
  <tableStyleInfo name="Vòng 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34:D40" displayName="Table_31" name="Table_31" id="31">
  <tableColumns count="4">
    <tableColumn name="Column1" id="1"/>
    <tableColumn name="Column2" id="2"/>
    <tableColumn name="Column3" id="3"/>
    <tableColumn name="Column4" id="4"/>
  </tableColumns>
  <tableStyleInfo name="Vòng 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42:E46" displayName="Table_32" name="Table_32" id="32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U43:X49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Vòng 4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U51:X55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Vòng 4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2:C8" displayName="Table_35" name="Table_35" id="35">
  <tableColumns count="3">
    <tableColumn name="Column1" id="1"/>
    <tableColumn name="Column2" id="2"/>
    <tableColumn name="Column3" id="3"/>
  </tableColumns>
  <tableStyleInfo name="Vòng 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M8:O14" displayName="Table_36" name="Table_36" id="36">
  <tableColumns count="3">
    <tableColumn name="Column1" id="1"/>
    <tableColumn name="Column2" id="2"/>
    <tableColumn name="Column3" id="3"/>
  </tableColumns>
  <tableStyleInfo name="Vòng 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11:D27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Vòng 5-style 3" showColumnStripes="0" showFirstColumn="1" showLastColumn="1" showRowStripes="1"/>
</table>
</file>

<file path=xl/tables/table38.xml><?xml version="1.0" encoding="utf-8"?>
<table xmlns="http://schemas.openxmlformats.org/spreadsheetml/2006/main" headerRowCount="0" ref="M23:O27" displayName="Table_38" name="Table_38" id="38">
  <tableColumns count="3">
    <tableColumn name="Column1" id="1"/>
    <tableColumn name="Column2" id="2"/>
    <tableColumn name="Column3" id="3"/>
  </tableColumns>
  <tableStyleInfo name="Vòng 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34:D40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Vòng 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42:E46" displayName="Table_40" name="Table_40" id="40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5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U43:X49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Vòng 5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U51:X55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Vòng 5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2:C8" displayName="Table_43" name="Table_43" id="43">
  <tableColumns count="3">
    <tableColumn name="Column1" id="1"/>
    <tableColumn name="Column2" id="2"/>
    <tableColumn name="Column3" id="3"/>
  </tableColumns>
  <tableStyleInfo name="Vòng 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M8:O14" displayName="Table_44" name="Table_44" id="44">
  <tableColumns count="3">
    <tableColumn name="Column1" id="1"/>
    <tableColumn name="Column2" id="2"/>
    <tableColumn name="Column3" id="3"/>
  </tableColumns>
  <tableStyleInfo name="Vòng 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11:D27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Vòng 6-style 3" showColumnStripes="0" showFirstColumn="1" showLastColumn="1" showRowStripes="1"/>
</table>
</file>

<file path=xl/tables/table46.xml><?xml version="1.0" encoding="utf-8"?>
<table xmlns="http://schemas.openxmlformats.org/spreadsheetml/2006/main" headerRowCount="0" ref="M23:O27" displayName="Table_46" name="Table_46" id="46">
  <tableColumns count="3">
    <tableColumn name="Column1" id="1"/>
    <tableColumn name="Column2" id="2"/>
    <tableColumn name="Column3" id="3"/>
  </tableColumns>
  <tableStyleInfo name="Vòng 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34:D40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Vòng 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42:E46" displayName="Table_48" name="Table_48" id="48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U43:X49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Vòng 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U51:X55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Vòng 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2:C8" displayName="Table_51" name="Table_51" id="51">
  <tableColumns count="3">
    <tableColumn name="Column1" id="1"/>
    <tableColumn name="Column2" id="2"/>
    <tableColumn name="Column3" id="3"/>
  </tableColumns>
  <tableStyleInfo name="Vòng 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M8:O14" displayName="Table_52" name="Table_52" id="52">
  <tableColumns count="3">
    <tableColumn name="Column1" id="1"/>
    <tableColumn name="Column2" id="2"/>
    <tableColumn name="Column3" id="3"/>
  </tableColumns>
  <tableStyleInfo name="Vòng 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11:D27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Vòng 7-style 3" showColumnStripes="0" showFirstColumn="1" showLastColumn="1" showRowStripes="1"/>
</table>
</file>

<file path=xl/tables/table54.xml><?xml version="1.0" encoding="utf-8"?>
<table xmlns="http://schemas.openxmlformats.org/spreadsheetml/2006/main" headerRowCount="0" ref="M23:O27" displayName="Table_54" name="Table_54" id="54">
  <tableColumns count="3">
    <tableColumn name="Column1" id="1"/>
    <tableColumn name="Column2" id="2"/>
    <tableColumn name="Column3" id="3"/>
  </tableColumns>
  <tableStyleInfo name="Vòng 7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34:D40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Vòng 7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42:E46" displayName="Table_56" name="Table_56" id="56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7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U43:X49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Vòng 7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U51:X55" displayName="Table_58" name="Table_58" id="58">
  <tableColumns count="4">
    <tableColumn name="Column1" id="1"/>
    <tableColumn name="Column2" id="2"/>
    <tableColumn name="Column3" id="3"/>
    <tableColumn name="Column4" id="4"/>
  </tableColumns>
  <tableStyleInfo name="Vòng 7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2:C8" displayName="Table_59" name="Table_59" id="59">
  <tableColumns count="3">
    <tableColumn name="Column1" id="1"/>
    <tableColumn name="Column2" id="2"/>
    <tableColumn name="Column3" id="3"/>
  </tableColumns>
  <tableStyleInfo name="Vòng 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M8:O14" displayName="Table_60" name="Table_60" id="60">
  <tableColumns count="3">
    <tableColumn name="Column1" id="1"/>
    <tableColumn name="Column2" id="2"/>
    <tableColumn name="Column3" id="3"/>
  </tableColumns>
  <tableStyleInfo name="Vòng 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11:D27" displayName="Table_61" name="Table_61" id="61">
  <tableColumns count="4">
    <tableColumn name="Column1" id="1"/>
    <tableColumn name="Column2" id="2"/>
    <tableColumn name="Column3" id="3"/>
    <tableColumn name="Column4" id="4"/>
  </tableColumns>
  <tableStyleInfo name="Vòng 8-style 3" showColumnStripes="0" showFirstColumn="1" showLastColumn="1" showRowStripes="1"/>
</table>
</file>

<file path=xl/tables/table62.xml><?xml version="1.0" encoding="utf-8"?>
<table xmlns="http://schemas.openxmlformats.org/spreadsheetml/2006/main" headerRowCount="0" ref="M23:O27" displayName="Table_62" name="Table_62" id="62">
  <tableColumns count="3">
    <tableColumn name="Column1" id="1"/>
    <tableColumn name="Column2" id="2"/>
    <tableColumn name="Column3" id="3"/>
  </tableColumns>
  <tableStyleInfo name="Vòng 8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34:D40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Vòng 8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42:E46" displayName="Table_64" name="Table_64" id="64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8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U43:X49" displayName="Table_65" name="Table_65" id="65">
  <tableColumns count="4">
    <tableColumn name="Column1" id="1"/>
    <tableColumn name="Column2" id="2"/>
    <tableColumn name="Column3" id="3"/>
    <tableColumn name="Column4" id="4"/>
  </tableColumns>
  <tableStyleInfo name="Vòng 8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U51:X55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Vòng 8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A2:C8" displayName="Table_67" name="Table_67" id="67">
  <tableColumns count="3">
    <tableColumn name="Column1" id="1"/>
    <tableColumn name="Column2" id="2"/>
    <tableColumn name="Column3" id="3"/>
  </tableColumns>
  <tableStyleInfo name="Vòng 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M8:O14" displayName="Table_68" name="Table_68" id="68">
  <tableColumns count="3">
    <tableColumn name="Column1" id="1"/>
    <tableColumn name="Column2" id="2"/>
    <tableColumn name="Column3" id="3"/>
  </tableColumns>
  <tableStyleInfo name="Vòng 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headerRowCount="0" ref="A11:D27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Vòng 9-style 3" showColumnStripes="0" showFirstColumn="1" showLastColumn="1" showRowStripes="1"/>
</table>
</file>

<file path=xl/tables/table70.xml><?xml version="1.0" encoding="utf-8"?>
<table xmlns="http://schemas.openxmlformats.org/spreadsheetml/2006/main" headerRowCount="0" ref="M23:O27" displayName="Table_70" name="Table_70" id="70">
  <tableColumns count="3">
    <tableColumn name="Column1" id="1"/>
    <tableColumn name="Column2" id="2"/>
    <tableColumn name="Column3" id="3"/>
  </tableColumns>
  <tableStyleInfo name="Vòng 9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headerRowCount="0" ref="A34:D40" displayName="Table_71" name="Table_71" id="71">
  <tableColumns count="4">
    <tableColumn name="Column1" id="1"/>
    <tableColumn name="Column2" id="2"/>
    <tableColumn name="Column3" id="3"/>
    <tableColumn name="Column4" id="4"/>
  </tableColumns>
  <tableStyleInfo name="Vòng 9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A42:E46" displayName="Table_72" name="Table_72" id="72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9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U43:X49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Vòng 9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U51:X55" displayName="Table_74" name="Table_74" id="74">
  <tableColumns count="4">
    <tableColumn name="Column1" id="1"/>
    <tableColumn name="Column2" id="2"/>
    <tableColumn name="Column3" id="3"/>
    <tableColumn name="Column4" id="4"/>
  </tableColumns>
  <tableStyleInfo name="Vòng 9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A2:C8" displayName="Table_75" name="Table_75" id="75">
  <tableColumns count="3">
    <tableColumn name="Column1" id="1"/>
    <tableColumn name="Column2" id="2"/>
    <tableColumn name="Column3" id="3"/>
  </tableColumns>
  <tableStyleInfo name="Vòng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headerRowCount="0" ref="M8:O14" displayName="Table_76" name="Table_76" id="76">
  <tableColumns count="3">
    <tableColumn name="Column1" id="1"/>
    <tableColumn name="Column2" id="2"/>
    <tableColumn name="Column3" id="3"/>
  </tableColumns>
  <tableStyleInfo name="Vòng 1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A11:D27" displayName="Table_77" name="Table_77" id="77">
  <tableColumns count="4">
    <tableColumn name="Column1" id="1"/>
    <tableColumn name="Column2" id="2"/>
    <tableColumn name="Column3" id="3"/>
    <tableColumn name="Column4" id="4"/>
  </tableColumns>
  <tableStyleInfo name="Vòng 10-style 3" showColumnStripes="0" showFirstColumn="1" showLastColumn="1" showRowStripes="1"/>
</table>
</file>

<file path=xl/tables/table78.xml><?xml version="1.0" encoding="utf-8"?>
<table xmlns="http://schemas.openxmlformats.org/spreadsheetml/2006/main" headerRowCount="0" ref="M23:O27" displayName="Table_78" name="Table_78" id="78">
  <tableColumns count="3">
    <tableColumn name="Column1" id="1"/>
    <tableColumn name="Column2" id="2"/>
    <tableColumn name="Column3" id="3"/>
  </tableColumns>
  <tableStyleInfo name="Vòng 10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A34:D40" displayName="Table_79" name="Table_79" id="79">
  <tableColumns count="4">
    <tableColumn name="Column1" id="1"/>
    <tableColumn name="Column2" id="2"/>
    <tableColumn name="Column3" id="3"/>
    <tableColumn name="Column4" id="4"/>
  </tableColumns>
  <tableStyleInfo name="Vòng 10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A42:E46" displayName="Table_80" name="Table_80" id="80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0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U43:X49" displayName="Table_81" name="Table_81" id="81">
  <tableColumns count="4">
    <tableColumn name="Column1" id="1"/>
    <tableColumn name="Column2" id="2"/>
    <tableColumn name="Column3" id="3"/>
    <tableColumn name="Column4" id="4"/>
  </tableColumns>
  <tableStyleInfo name="Vòng 10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headerRowCount="0" ref="U51:X55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Vòng 10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headerRowCount="0" ref="A2:C8" displayName="Table_83" name="Table_83" id="83">
  <tableColumns count="3">
    <tableColumn name="Column1" id="1"/>
    <tableColumn name="Column2" id="2"/>
    <tableColumn name="Column3" id="3"/>
  </tableColumns>
  <tableStyleInfo name="Vòng 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M8:O14" displayName="Table_84" name="Table_84" id="84">
  <tableColumns count="3">
    <tableColumn name="Column1" id="1"/>
    <tableColumn name="Column2" id="2"/>
    <tableColumn name="Column3" id="3"/>
  </tableColumns>
  <tableStyleInfo name="Vòng 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A11:D27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Vòng 11-style 3" showColumnStripes="0" showFirstColumn="1" showLastColumn="1" showRowStripes="1"/>
</table>
</file>

<file path=xl/tables/table86.xml><?xml version="1.0" encoding="utf-8"?>
<table xmlns="http://schemas.openxmlformats.org/spreadsheetml/2006/main" headerRowCount="0" ref="M23:O27" displayName="Table_86" name="Table_86" id="86">
  <tableColumns count="3">
    <tableColumn name="Column1" id="1"/>
    <tableColumn name="Column2" id="2"/>
    <tableColumn name="Column3" id="3"/>
  </tableColumns>
  <tableStyleInfo name="Vòng 1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A34:D40" displayName="Table_87" name="Table_87" id="87">
  <tableColumns count="4">
    <tableColumn name="Column1" id="1"/>
    <tableColumn name="Column2" id="2"/>
    <tableColumn name="Column3" id="3"/>
    <tableColumn name="Column4" id="4"/>
  </tableColumns>
  <tableStyleInfo name="Vòng 1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headerRowCount="0" ref="A42:E46" displayName="Table_88" name="Table_88" id="88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1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U43:X49" displayName="Table_89" name="Table_89" id="89">
  <tableColumns count="4">
    <tableColumn name="Column1" id="1"/>
    <tableColumn name="Column2" id="2"/>
    <tableColumn name="Column3" id="3"/>
    <tableColumn name="Column4" id="4"/>
  </tableColumns>
  <tableStyleInfo name="Vòng 11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U51:X55" displayName="Table_90" name="Table_90" id="90">
  <tableColumns count="4">
    <tableColumn name="Column1" id="1"/>
    <tableColumn name="Column2" id="2"/>
    <tableColumn name="Column3" id="3"/>
    <tableColumn name="Column4" id="4"/>
  </tableColumns>
  <tableStyleInfo name="Vòng 11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A2:C8" displayName="Table_91" name="Table_91" id="91">
  <tableColumns count="3">
    <tableColumn name="Column1" id="1"/>
    <tableColumn name="Column2" id="2"/>
    <tableColumn name="Column3" id="3"/>
  </tableColumns>
  <tableStyleInfo name="Vòng 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headerRowCount="0" ref="M8:O14" displayName="Table_92" name="Table_92" id="92">
  <tableColumns count="3">
    <tableColumn name="Column1" id="1"/>
    <tableColumn name="Column2" id="2"/>
    <tableColumn name="Column3" id="3"/>
  </tableColumns>
  <tableStyleInfo name="Vòng 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A11:D27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Vòng 12-style 3" showColumnStripes="0" showFirstColumn="1" showLastColumn="1" showRowStripes="1"/>
</table>
</file>

<file path=xl/tables/table94.xml><?xml version="1.0" encoding="utf-8"?>
<table xmlns="http://schemas.openxmlformats.org/spreadsheetml/2006/main" headerRowCount="0" ref="M23:O27" displayName="Table_94" name="Table_94" id="94">
  <tableColumns count="3">
    <tableColumn name="Column1" id="1"/>
    <tableColumn name="Column2" id="2"/>
    <tableColumn name="Column3" id="3"/>
  </tableColumns>
  <tableStyleInfo name="Vòng 1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headerRowCount="0" ref="A34:D40" displayName="Table_95" name="Table_95" id="95">
  <tableColumns count="4">
    <tableColumn name="Column1" id="1"/>
    <tableColumn name="Column2" id="2"/>
    <tableColumn name="Column3" id="3"/>
    <tableColumn name="Column4" id="4"/>
  </tableColumns>
  <tableStyleInfo name="Vòng 12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headerRowCount="0" ref="A42:E46" displayName="Table_96" name="Table_96" id="96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2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headerRowCount="0" ref="U43:X49" displayName="Table_97" name="Table_97" id="97">
  <tableColumns count="4">
    <tableColumn name="Column1" id="1"/>
    <tableColumn name="Column2" id="2"/>
    <tableColumn name="Column3" id="3"/>
    <tableColumn name="Column4" id="4"/>
  </tableColumns>
  <tableStyleInfo name="Vòng 12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headerRowCount="0" ref="U51:X55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Vòng 12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headerRowCount="0" ref="A2:C8" displayName="Table_99" name="Table_99" id="99">
  <tableColumns count="3">
    <tableColumn name="Column1" id="1"/>
    <tableColumn name="Column2" id="2"/>
    <tableColumn name="Column3" id="3"/>
  </tableColumns>
  <tableStyleInfo name="Vòng 1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0.xml><?xml version="1.0" encoding="utf-8"?>
<table xmlns="http://schemas.openxmlformats.org/spreadsheetml/2006/main" headerRowCount="0" ref="M8:O14" displayName="Table_100" name="Table_100" id="100">
  <tableColumns count="3">
    <tableColumn name="Column1" id="1"/>
    <tableColumn name="Column2" id="2"/>
    <tableColumn name="Column3" id="3"/>
  </tableColumns>
  <tableStyleInfo name="Vòng 1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headerRowCount="0" ref="A11:D27" displayName="Table_101" name="Table_101" id="101">
  <tableColumns count="4">
    <tableColumn name="Column1" id="1"/>
    <tableColumn name="Column2" id="2"/>
    <tableColumn name="Column3" id="3"/>
    <tableColumn name="Column4" id="4"/>
  </tableColumns>
  <tableStyleInfo name="Vòng 13-style 3" showColumnStripes="0" showFirstColumn="1" showLastColumn="1" showRowStripes="1"/>
</table>
</file>

<file path=xl/tables/table102.xml><?xml version="1.0" encoding="utf-8"?>
<table xmlns="http://schemas.openxmlformats.org/spreadsheetml/2006/main" headerRowCount="0" ref="M23:O27" displayName="Table_102" name="Table_102" id="102">
  <tableColumns count="3">
    <tableColumn name="Column1" id="1"/>
    <tableColumn name="Column2" id="2"/>
    <tableColumn name="Column3" id="3"/>
  </tableColumns>
  <tableStyleInfo name="Vòng 1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headerRowCount="0" ref="A34:D40" displayName="Table_103" name="Table_103" id="103">
  <tableColumns count="4">
    <tableColumn name="Column1" id="1"/>
    <tableColumn name="Column2" id="2"/>
    <tableColumn name="Column3" id="3"/>
    <tableColumn name="Column4" id="4"/>
  </tableColumns>
  <tableStyleInfo name="Vòng 13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A42:E46" displayName="Table_104" name="Table_104" id="104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3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U43:X49" displayName="Table_105" name="Table_105" id="105">
  <tableColumns count="4">
    <tableColumn name="Column1" id="1"/>
    <tableColumn name="Column2" id="2"/>
    <tableColumn name="Column3" id="3"/>
    <tableColumn name="Column4" id="4"/>
  </tableColumns>
  <tableStyleInfo name="Vòng 13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U51:X55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Vòng 13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headerRowCount="0" ref="A2:C8" displayName="Table_107" name="Table_107" id="107">
  <tableColumns count="3">
    <tableColumn name="Column1" id="1"/>
    <tableColumn name="Column2" id="2"/>
    <tableColumn name="Column3" id="3"/>
  </tableColumns>
  <tableStyleInfo name="Vòng 1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headerRowCount="0" ref="M8:O14" displayName="Table_108" name="Table_108" id="108">
  <tableColumns count="3">
    <tableColumn name="Column1" id="1"/>
    <tableColumn name="Column2" id="2"/>
    <tableColumn name="Column3" id="3"/>
  </tableColumns>
  <tableStyleInfo name="Vòng 1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headerRowCount="0" ref="A11:D27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Vòng 14-style 3" showColumnStripes="0" showFirstColumn="1" showLastColumn="1" showRowStripes="1"/>
</table>
</file>

<file path=xl/tables/table110.xml><?xml version="1.0" encoding="utf-8"?>
<table xmlns="http://schemas.openxmlformats.org/spreadsheetml/2006/main" headerRowCount="0" ref="M23:O27" displayName="Table_110" name="Table_110" id="110">
  <tableColumns count="3">
    <tableColumn name="Column1" id="1"/>
    <tableColumn name="Column2" id="2"/>
    <tableColumn name="Column3" id="3"/>
  </tableColumns>
  <tableStyleInfo name="Vòng 1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1.xml><?xml version="1.0" encoding="utf-8"?>
<table xmlns="http://schemas.openxmlformats.org/spreadsheetml/2006/main" headerRowCount="0" ref="A34:D40" displayName="Table_111" name="Table_111" id="111">
  <tableColumns count="4">
    <tableColumn name="Column1" id="1"/>
    <tableColumn name="Column2" id="2"/>
    <tableColumn name="Column3" id="3"/>
    <tableColumn name="Column4" id="4"/>
  </tableColumns>
  <tableStyleInfo name="Vòng 1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headerRowCount="0" ref="A42:E46" displayName="Table_112" name="Table_112" id="112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3.xml><?xml version="1.0" encoding="utf-8"?>
<table xmlns="http://schemas.openxmlformats.org/spreadsheetml/2006/main" headerRowCount="0" ref="U43:X49" displayName="Table_113" name="Table_113" id="113">
  <tableColumns count="4">
    <tableColumn name="Column1" id="1"/>
    <tableColumn name="Column2" id="2"/>
    <tableColumn name="Column3" id="3"/>
    <tableColumn name="Column4" id="4"/>
  </tableColumns>
  <tableStyleInfo name="Vòng 14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headerRowCount="0" ref="U51:X55" displayName="Table_114" name="Table_114" id="114">
  <tableColumns count="4">
    <tableColumn name="Column1" id="1"/>
    <tableColumn name="Column2" id="2"/>
    <tableColumn name="Column3" id="3"/>
    <tableColumn name="Column4" id="4"/>
  </tableColumns>
  <tableStyleInfo name="Vòng 14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5.xml><?xml version="1.0" encoding="utf-8"?>
<table xmlns="http://schemas.openxmlformats.org/spreadsheetml/2006/main" headerRowCount="0" ref="A2:C8" displayName="Table_115" name="Table_115" id="115">
  <tableColumns count="3">
    <tableColumn name="Column1" id="1"/>
    <tableColumn name="Column2" id="2"/>
    <tableColumn name="Column3" id="3"/>
  </tableColumns>
  <tableStyleInfo name="Vòng 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headerRowCount="0" ref="M8:O14" displayName="Table_116" name="Table_116" id="116">
  <tableColumns count="3">
    <tableColumn name="Column1" id="1"/>
    <tableColumn name="Column2" id="2"/>
    <tableColumn name="Column3" id="3"/>
  </tableColumns>
  <tableStyleInfo name="Vòng 1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headerRowCount="0" ref="A11:D27" displayName="Table_117" name="Table_117" id="117">
  <tableColumns count="4">
    <tableColumn name="Column1" id="1"/>
    <tableColumn name="Column2" id="2"/>
    <tableColumn name="Column3" id="3"/>
    <tableColumn name="Column4" id="4"/>
  </tableColumns>
  <tableStyleInfo name="Vòng 15-style 3" showColumnStripes="0" showFirstColumn="1" showLastColumn="1" showRowStripes="1"/>
</table>
</file>

<file path=xl/tables/table118.xml><?xml version="1.0" encoding="utf-8"?>
<table xmlns="http://schemas.openxmlformats.org/spreadsheetml/2006/main" headerRowCount="0" ref="M23:O27" displayName="Table_118" name="Table_118" id="118">
  <tableColumns count="3">
    <tableColumn name="Column1" id="1"/>
    <tableColumn name="Column2" id="2"/>
    <tableColumn name="Column3" id="3"/>
  </tableColumns>
  <tableStyleInfo name="Vòng 1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headerRowCount="0" ref="A34:D40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Vòng 1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A42:E46" displayName="Table_120" name="Table_120" id="120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5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1.xml><?xml version="1.0" encoding="utf-8"?>
<table xmlns="http://schemas.openxmlformats.org/spreadsheetml/2006/main" headerRowCount="0" ref="U43:X49" displayName="Table_121" name="Table_121" id="121">
  <tableColumns count="4">
    <tableColumn name="Column1" id="1"/>
    <tableColumn name="Column2" id="2"/>
    <tableColumn name="Column3" id="3"/>
    <tableColumn name="Column4" id="4"/>
  </tableColumns>
  <tableStyleInfo name="Vòng 15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U51:X55" displayName="Table_122" name="Table_122" id="122">
  <tableColumns count="4">
    <tableColumn name="Column1" id="1"/>
    <tableColumn name="Column2" id="2"/>
    <tableColumn name="Column3" id="3"/>
    <tableColumn name="Column4" id="4"/>
  </tableColumns>
  <tableStyleInfo name="Vòng 15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A2:C8" displayName="Table_123" name="Table_123" id="123">
  <tableColumns count="3">
    <tableColumn name="Column1" id="1"/>
    <tableColumn name="Column2" id="2"/>
    <tableColumn name="Column3" id="3"/>
  </tableColumns>
  <tableStyleInfo name="Vòng 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headerRowCount="0" ref="M8:O14" displayName="Table_124" name="Table_124" id="124">
  <tableColumns count="3">
    <tableColumn name="Column1" id="1"/>
    <tableColumn name="Column2" id="2"/>
    <tableColumn name="Column3" id="3"/>
  </tableColumns>
  <tableStyleInfo name="Vòng 1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headerRowCount="0" ref="A11:D27" displayName="Table_125" name="Table_125" id="125">
  <tableColumns count="4">
    <tableColumn name="Column1" id="1"/>
    <tableColumn name="Column2" id="2"/>
    <tableColumn name="Column3" id="3"/>
    <tableColumn name="Column4" id="4"/>
  </tableColumns>
  <tableStyleInfo name="Vòng 16-style 3" showColumnStripes="0" showFirstColumn="1" showLastColumn="1" showRowStripes="1"/>
</table>
</file>

<file path=xl/tables/table126.xml><?xml version="1.0" encoding="utf-8"?>
<table xmlns="http://schemas.openxmlformats.org/spreadsheetml/2006/main" headerRowCount="0" ref="M23:O27" displayName="Table_126" name="Table_126" id="126">
  <tableColumns count="3">
    <tableColumn name="Column1" id="1"/>
    <tableColumn name="Column2" id="2"/>
    <tableColumn name="Column3" id="3"/>
  </tableColumns>
  <tableStyleInfo name="Vòng 1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7.xml><?xml version="1.0" encoding="utf-8"?>
<table xmlns="http://schemas.openxmlformats.org/spreadsheetml/2006/main" headerRowCount="0" ref="A34:D40" displayName="Table_127" name="Table_127" id="127">
  <tableColumns count="4">
    <tableColumn name="Column1" id="1"/>
    <tableColumn name="Column2" id="2"/>
    <tableColumn name="Column3" id="3"/>
    <tableColumn name="Column4" id="4"/>
  </tableColumns>
  <tableStyleInfo name="Vòng 1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8.xml><?xml version="1.0" encoding="utf-8"?>
<table xmlns="http://schemas.openxmlformats.org/spreadsheetml/2006/main" headerRowCount="0" ref="A42:E46" displayName="Table_128" name="Table_128" id="128">
  <tableColumns count="5">
    <tableColumn name="Column1" id="1"/>
    <tableColumn name="Column2" id="2"/>
    <tableColumn name="Column3" id="3"/>
    <tableColumn name="Column4" id="4"/>
    <tableColumn name="Column5" id="5"/>
  </tableColumns>
  <tableStyleInfo name="Vòng 1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9.xml><?xml version="1.0" encoding="utf-8"?>
<table xmlns="http://schemas.openxmlformats.org/spreadsheetml/2006/main" headerRowCount="0" ref="U43:X49" displayName="Table_129" name="Table_129" id="129">
  <tableColumns count="4">
    <tableColumn name="Column1" id="1"/>
    <tableColumn name="Column2" id="2"/>
    <tableColumn name="Column3" id="3"/>
    <tableColumn name="Column4" id="4"/>
  </tableColumns>
  <tableStyleInfo name="Vòng 1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0.xml><?xml version="1.0" encoding="utf-8"?>
<table xmlns="http://schemas.openxmlformats.org/spreadsheetml/2006/main" headerRowCount="0" ref="U51:X55" displayName="Table_130" name="Table_130" id="130">
  <tableColumns count="4">
    <tableColumn name="Column1" id="1"/>
    <tableColumn name="Column2" id="2"/>
    <tableColumn name="Column3" id="3"/>
    <tableColumn name="Column4" id="4"/>
  </tableColumns>
  <tableStyleInfo name="Vòng 1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1.xml><?xml version="1.0" encoding="utf-8"?>
<table xmlns="http://schemas.openxmlformats.org/spreadsheetml/2006/main" headerRowCount="0" ref="J5:L11" displayName="Table_131" name="Table_131" id="131">
  <tableColumns count="3">
    <tableColumn name="Column1" id="1"/>
    <tableColumn name="Column2" id="2"/>
    <tableColumn name="Column3" id="3"/>
  </tableColumns>
  <tableStyleInfo name="Hoán vị IP ^-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2.xml><?xml version="1.0" encoding="utf-8"?>
<table xmlns="http://schemas.openxmlformats.org/spreadsheetml/2006/main" headerRowCount="0" ref="A2:C9" displayName="Table_132" name="Table_132" id="132">
  <tableColumns count="3">
    <tableColumn name="Column1" id="1"/>
    <tableColumn name="Column2" id="2"/>
    <tableColumn name="Column3" id="3"/>
  </tableColumns>
  <tableStyleInfo name="Khóa K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headerRowCount="0" ref="E8:G18" displayName="Table_133" name="Table_133" id="133">
  <tableColumns count="3">
    <tableColumn name="Column1" id="1"/>
    <tableColumn name="Column2" id="2"/>
    <tableColumn name="Column3" id="3"/>
  </tableColumns>
  <tableStyleInfo name="Khóa K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4.xml><?xml version="1.0" encoding="utf-8"?>
<table xmlns="http://schemas.openxmlformats.org/spreadsheetml/2006/main" headerRowCount="0" ref="E23:H30" displayName="Table_134" name="Table_134" id="134">
  <tableColumns count="4">
    <tableColumn name="Column1" id="1"/>
    <tableColumn name="Column2" id="2"/>
    <tableColumn name="Column3" id="3"/>
    <tableColumn name="Column4" id="4"/>
  </tableColumns>
  <tableStyleInfo name="Khóa K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5.xml><?xml version="1.0" encoding="utf-8"?>
<table xmlns="http://schemas.openxmlformats.org/spreadsheetml/2006/main" headerRowCount="0" ref="A2:C9" displayName="Table_135" name="Table_135" id="135">
  <tableColumns count="3">
    <tableColumn name="Column1" id="1"/>
    <tableColumn name="Column2" id="2"/>
    <tableColumn name="Column3" id="3"/>
  </tableColumns>
  <tableStyleInfo name="Khóa K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6.xml><?xml version="1.0" encoding="utf-8"?>
<table xmlns="http://schemas.openxmlformats.org/spreadsheetml/2006/main" headerRowCount="0" ref="E8:G18" displayName="Table_136" name="Table_136" id="136">
  <tableColumns count="3">
    <tableColumn name="Column1" id="1"/>
    <tableColumn name="Column2" id="2"/>
    <tableColumn name="Column3" id="3"/>
  </tableColumns>
  <tableStyleInfo name="Khóa K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headerRowCount="0" ref="E23:H30" displayName="Table_137" name="Table_137" id="137">
  <tableColumns count="4">
    <tableColumn name="Column1" id="1"/>
    <tableColumn name="Column2" id="2"/>
    <tableColumn name="Column3" id="3"/>
    <tableColumn name="Column4" id="4"/>
  </tableColumns>
  <tableStyleInfo name="Khóa K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8.xml><?xml version="1.0" encoding="utf-8"?>
<table xmlns="http://schemas.openxmlformats.org/spreadsheetml/2006/main" headerRowCount="0" ref="A2:C9" displayName="Table_138" name="Table_138" id="138">
  <tableColumns count="3">
    <tableColumn name="Column1" id="1"/>
    <tableColumn name="Column2" id="2"/>
    <tableColumn name="Column3" id="3"/>
  </tableColumns>
  <tableStyleInfo name="Khóa K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9.xml><?xml version="1.0" encoding="utf-8"?>
<table xmlns="http://schemas.openxmlformats.org/spreadsheetml/2006/main" headerRowCount="0" ref="E8:G18" displayName="Table_139" name="Table_139" id="139">
  <tableColumns count="3">
    <tableColumn name="Column1" id="1"/>
    <tableColumn name="Column2" id="2"/>
    <tableColumn name="Column3" id="3"/>
  </tableColumns>
  <tableStyleInfo name="Khóa K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0.xml><?xml version="1.0" encoding="utf-8"?>
<table xmlns="http://schemas.openxmlformats.org/spreadsheetml/2006/main" headerRowCount="0" ref="E23:H30" displayName="Table_140" name="Table_140" id="140">
  <tableColumns count="4">
    <tableColumn name="Column1" id="1"/>
    <tableColumn name="Column2" id="2"/>
    <tableColumn name="Column3" id="3"/>
    <tableColumn name="Column4" id="4"/>
  </tableColumns>
  <tableStyleInfo name="Khóa K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1.xml><?xml version="1.0" encoding="utf-8"?>
<table xmlns="http://schemas.openxmlformats.org/spreadsheetml/2006/main" headerRowCount="0" ref="A2:C9" displayName="Table_141" name="Table_141" id="141">
  <tableColumns count="3">
    <tableColumn name="Column1" id="1"/>
    <tableColumn name="Column2" id="2"/>
    <tableColumn name="Column3" id="3"/>
  </tableColumns>
  <tableStyleInfo name="Khóa K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2.xml><?xml version="1.0" encoding="utf-8"?>
<table xmlns="http://schemas.openxmlformats.org/spreadsheetml/2006/main" headerRowCount="0" ref="E8:G18" displayName="Table_142" name="Table_142" id="142">
  <tableColumns count="3">
    <tableColumn name="Column1" id="1"/>
    <tableColumn name="Column2" id="2"/>
    <tableColumn name="Column3" id="3"/>
  </tableColumns>
  <tableStyleInfo name="Khóa K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3.xml><?xml version="1.0" encoding="utf-8"?>
<table xmlns="http://schemas.openxmlformats.org/spreadsheetml/2006/main" headerRowCount="0" ref="E23:H30" displayName="Table_143" name="Table_143" id="143">
  <tableColumns count="4">
    <tableColumn name="Column1" id="1"/>
    <tableColumn name="Column2" id="2"/>
    <tableColumn name="Column3" id="3"/>
    <tableColumn name="Column4" id="4"/>
  </tableColumns>
  <tableStyleInfo name="Khóa K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A2:C9" displayName="Table_144" name="Table_144" id="144">
  <tableColumns count="3">
    <tableColumn name="Column1" id="1"/>
    <tableColumn name="Column2" id="2"/>
    <tableColumn name="Column3" id="3"/>
  </tableColumns>
  <tableStyleInfo name="Khóa K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5.xml><?xml version="1.0" encoding="utf-8"?>
<table xmlns="http://schemas.openxmlformats.org/spreadsheetml/2006/main" headerRowCount="0" ref="E8:G18" displayName="Table_145" name="Table_145" id="145">
  <tableColumns count="3">
    <tableColumn name="Column1" id="1"/>
    <tableColumn name="Column2" id="2"/>
    <tableColumn name="Column3" id="3"/>
  </tableColumns>
  <tableStyleInfo name="Khóa K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6.xml><?xml version="1.0" encoding="utf-8"?>
<table xmlns="http://schemas.openxmlformats.org/spreadsheetml/2006/main" headerRowCount="0" ref="E23:H30" displayName="Table_146" name="Table_146" id="146">
  <tableColumns count="4">
    <tableColumn name="Column1" id="1"/>
    <tableColumn name="Column2" id="2"/>
    <tableColumn name="Column3" id="3"/>
    <tableColumn name="Column4" id="4"/>
  </tableColumns>
  <tableStyleInfo name="Khóa K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7.xml><?xml version="1.0" encoding="utf-8"?>
<table xmlns="http://schemas.openxmlformats.org/spreadsheetml/2006/main" headerRowCount="0" ref="A2:C9" displayName="Table_147" name="Table_147" id="147">
  <tableColumns count="3">
    <tableColumn name="Column1" id="1"/>
    <tableColumn name="Column2" id="2"/>
    <tableColumn name="Column3" id="3"/>
  </tableColumns>
  <tableStyleInfo name="Khóa K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8.xml><?xml version="1.0" encoding="utf-8"?>
<table xmlns="http://schemas.openxmlformats.org/spreadsheetml/2006/main" headerRowCount="0" ref="E8:G18" displayName="Table_148" name="Table_148" id="148">
  <tableColumns count="3">
    <tableColumn name="Column1" id="1"/>
    <tableColumn name="Column2" id="2"/>
    <tableColumn name="Column3" id="3"/>
  </tableColumns>
  <tableStyleInfo name="Khóa K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9.xml><?xml version="1.0" encoding="utf-8"?>
<table xmlns="http://schemas.openxmlformats.org/spreadsheetml/2006/main" headerRowCount="0" ref="E23:H30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Khóa K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0.xml><?xml version="1.0" encoding="utf-8"?>
<table xmlns="http://schemas.openxmlformats.org/spreadsheetml/2006/main" headerRowCount="0" ref="A2:C9" displayName="Table_150" name="Table_150" id="150">
  <tableColumns count="3">
    <tableColumn name="Column1" id="1"/>
    <tableColumn name="Column2" id="2"/>
    <tableColumn name="Column3" id="3"/>
  </tableColumns>
  <tableStyleInfo name="Khóa K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1.xml><?xml version="1.0" encoding="utf-8"?>
<table xmlns="http://schemas.openxmlformats.org/spreadsheetml/2006/main" headerRowCount="0" ref="E8:G18" displayName="Table_151" name="Table_151" id="151">
  <tableColumns count="3">
    <tableColumn name="Column1" id="1"/>
    <tableColumn name="Column2" id="2"/>
    <tableColumn name="Column3" id="3"/>
  </tableColumns>
  <tableStyleInfo name="Khóa K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2.xml><?xml version="1.0" encoding="utf-8"?>
<table xmlns="http://schemas.openxmlformats.org/spreadsheetml/2006/main" headerRowCount="0" ref="E23:H30" displayName="Table_152" name="Table_152" id="152">
  <tableColumns count="4">
    <tableColumn name="Column1" id="1"/>
    <tableColumn name="Column2" id="2"/>
    <tableColumn name="Column3" id="3"/>
    <tableColumn name="Column4" id="4"/>
  </tableColumns>
  <tableStyleInfo name="Khóa K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3.xml><?xml version="1.0" encoding="utf-8"?>
<table xmlns="http://schemas.openxmlformats.org/spreadsheetml/2006/main" headerRowCount="0" ref="A2:C9" displayName="Table_153" name="Table_153" id="153">
  <tableColumns count="3">
    <tableColumn name="Column1" id="1"/>
    <tableColumn name="Column2" id="2"/>
    <tableColumn name="Column3" id="3"/>
  </tableColumns>
  <tableStyleInfo name="Khóa K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4.xml><?xml version="1.0" encoding="utf-8"?>
<table xmlns="http://schemas.openxmlformats.org/spreadsheetml/2006/main" headerRowCount="0" ref="E8:G18" displayName="Table_154" name="Table_154" id="154">
  <tableColumns count="3">
    <tableColumn name="Column1" id="1"/>
    <tableColumn name="Column2" id="2"/>
    <tableColumn name="Column3" id="3"/>
  </tableColumns>
  <tableStyleInfo name="Khóa K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5.xml><?xml version="1.0" encoding="utf-8"?>
<table xmlns="http://schemas.openxmlformats.org/spreadsheetml/2006/main" headerRowCount="0" ref="E23:H30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Khóa K8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6.xml><?xml version="1.0" encoding="utf-8"?>
<table xmlns="http://schemas.openxmlformats.org/spreadsheetml/2006/main" headerRowCount="0" ref="A2:C9" displayName="Table_156" name="Table_156" id="156">
  <tableColumns count="3">
    <tableColumn name="Column1" id="1"/>
    <tableColumn name="Column2" id="2"/>
    <tableColumn name="Column3" id="3"/>
  </tableColumns>
  <tableStyleInfo name="Khóa K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7.xml><?xml version="1.0" encoding="utf-8"?>
<table xmlns="http://schemas.openxmlformats.org/spreadsheetml/2006/main" headerRowCount="0" ref="E8:G18" displayName="Table_157" name="Table_157" id="157">
  <tableColumns count="3">
    <tableColumn name="Column1" id="1"/>
    <tableColumn name="Column2" id="2"/>
    <tableColumn name="Column3" id="3"/>
  </tableColumns>
  <tableStyleInfo name="Khóa K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8.xml><?xml version="1.0" encoding="utf-8"?>
<table xmlns="http://schemas.openxmlformats.org/spreadsheetml/2006/main" headerRowCount="0" ref="E23:H30" displayName="Table_158" name="Table_158" id="158">
  <tableColumns count="4">
    <tableColumn name="Column1" id="1"/>
    <tableColumn name="Column2" id="2"/>
    <tableColumn name="Column3" id="3"/>
    <tableColumn name="Column4" id="4"/>
  </tableColumns>
  <tableStyleInfo name="Khóa K9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9.xml><?xml version="1.0" encoding="utf-8"?>
<table xmlns="http://schemas.openxmlformats.org/spreadsheetml/2006/main" headerRowCount="0" ref="A2:C9" displayName="Table_159" name="Table_159" id="159">
  <tableColumns count="3">
    <tableColumn name="Column1" id="1"/>
    <tableColumn name="Column2" id="2"/>
    <tableColumn name="Column3" id="3"/>
  </tableColumns>
  <tableStyleInfo name="Khóa K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0.xml><?xml version="1.0" encoding="utf-8"?>
<table xmlns="http://schemas.openxmlformats.org/spreadsheetml/2006/main" headerRowCount="0" ref="E8:G18" displayName="Table_160" name="Table_160" id="160">
  <tableColumns count="3">
    <tableColumn name="Column1" id="1"/>
    <tableColumn name="Column2" id="2"/>
    <tableColumn name="Column3" id="3"/>
  </tableColumns>
  <tableStyleInfo name="Khóa K1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1.xml><?xml version="1.0" encoding="utf-8"?>
<table xmlns="http://schemas.openxmlformats.org/spreadsheetml/2006/main" headerRowCount="0" ref="E23:H30" displayName="Table_161" name="Table_161" id="161">
  <tableColumns count="4">
    <tableColumn name="Column1" id="1"/>
    <tableColumn name="Column2" id="2"/>
    <tableColumn name="Column3" id="3"/>
    <tableColumn name="Column4" id="4"/>
  </tableColumns>
  <tableStyleInfo name="Khóa K10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2.xml><?xml version="1.0" encoding="utf-8"?>
<table xmlns="http://schemas.openxmlformats.org/spreadsheetml/2006/main" headerRowCount="0" ref="A2:C9" displayName="Table_162" name="Table_162" id="162">
  <tableColumns count="3">
    <tableColumn name="Column1" id="1"/>
    <tableColumn name="Column2" id="2"/>
    <tableColumn name="Column3" id="3"/>
  </tableColumns>
  <tableStyleInfo name="Khóa K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3.xml><?xml version="1.0" encoding="utf-8"?>
<table xmlns="http://schemas.openxmlformats.org/spreadsheetml/2006/main" headerRowCount="0" ref="E8:G18" displayName="Table_163" name="Table_163" id="163">
  <tableColumns count="3">
    <tableColumn name="Column1" id="1"/>
    <tableColumn name="Column2" id="2"/>
    <tableColumn name="Column3" id="3"/>
  </tableColumns>
  <tableStyleInfo name="Khóa K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4.xml><?xml version="1.0" encoding="utf-8"?>
<table xmlns="http://schemas.openxmlformats.org/spreadsheetml/2006/main" headerRowCount="0" ref="E23:H30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Khóa K1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5.xml><?xml version="1.0" encoding="utf-8"?>
<table xmlns="http://schemas.openxmlformats.org/spreadsheetml/2006/main" headerRowCount="0" ref="A2:C9" displayName="Table_165" name="Table_165" id="165">
  <tableColumns count="3">
    <tableColumn name="Column1" id="1"/>
    <tableColumn name="Column2" id="2"/>
    <tableColumn name="Column3" id="3"/>
  </tableColumns>
  <tableStyleInfo name="Khóa K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6.xml><?xml version="1.0" encoding="utf-8"?>
<table xmlns="http://schemas.openxmlformats.org/spreadsheetml/2006/main" headerRowCount="0" ref="E8:G18" displayName="Table_166" name="Table_166" id="166">
  <tableColumns count="3">
    <tableColumn name="Column1" id="1"/>
    <tableColumn name="Column2" id="2"/>
    <tableColumn name="Column3" id="3"/>
  </tableColumns>
  <tableStyleInfo name="Khóa K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7.xml><?xml version="1.0" encoding="utf-8"?>
<table xmlns="http://schemas.openxmlformats.org/spreadsheetml/2006/main" headerRowCount="0" ref="E23:H30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Khóa K1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8.xml><?xml version="1.0" encoding="utf-8"?>
<table xmlns="http://schemas.openxmlformats.org/spreadsheetml/2006/main" headerRowCount="0" ref="A2:C9" displayName="Table_168" name="Table_168" id="168">
  <tableColumns count="3">
    <tableColumn name="Column1" id="1"/>
    <tableColumn name="Column2" id="2"/>
    <tableColumn name="Column3" id="3"/>
  </tableColumns>
  <tableStyleInfo name="Khóa K1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9.xml><?xml version="1.0" encoding="utf-8"?>
<table xmlns="http://schemas.openxmlformats.org/spreadsheetml/2006/main" headerRowCount="0" ref="E8:G18" displayName="Table_169" name="Table_169" id="169">
  <tableColumns count="3">
    <tableColumn name="Column1" id="1"/>
    <tableColumn name="Column2" id="2"/>
    <tableColumn name="Column3" id="3"/>
  </tableColumns>
  <tableStyleInfo name="Khóa K1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0.xml><?xml version="1.0" encoding="utf-8"?>
<table xmlns="http://schemas.openxmlformats.org/spreadsheetml/2006/main" headerRowCount="0" ref="E23:H30" displayName="Table_170" name="Table_170" id="170">
  <tableColumns count="4">
    <tableColumn name="Column1" id="1"/>
    <tableColumn name="Column2" id="2"/>
    <tableColumn name="Column3" id="3"/>
    <tableColumn name="Column4" id="4"/>
  </tableColumns>
  <tableStyleInfo name="Khóa K1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headerRowCount="0" ref="A2:C9" displayName="Table_171" name="Table_171" id="171">
  <tableColumns count="3">
    <tableColumn name="Column1" id="1"/>
    <tableColumn name="Column2" id="2"/>
    <tableColumn name="Column3" id="3"/>
  </tableColumns>
  <tableStyleInfo name="Khóa K1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E8:G18" displayName="Table_172" name="Table_172" id="172">
  <tableColumns count="3">
    <tableColumn name="Column1" id="1"/>
    <tableColumn name="Column2" id="2"/>
    <tableColumn name="Column3" id="3"/>
  </tableColumns>
  <tableStyleInfo name="Khóa K1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E23:H30" displayName="Table_173" name="Table_173" id="173">
  <tableColumns count="4">
    <tableColumn name="Column1" id="1"/>
    <tableColumn name="Column2" id="2"/>
    <tableColumn name="Column3" id="3"/>
    <tableColumn name="Column4" id="4"/>
  </tableColumns>
  <tableStyleInfo name="Khóa K1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4.xml><?xml version="1.0" encoding="utf-8"?>
<table xmlns="http://schemas.openxmlformats.org/spreadsheetml/2006/main" headerRowCount="0" ref="A2:C9" displayName="Table_174" name="Table_174" id="174">
  <tableColumns count="3">
    <tableColumn name="Column1" id="1"/>
    <tableColumn name="Column2" id="2"/>
    <tableColumn name="Column3" id="3"/>
  </tableColumns>
  <tableStyleInfo name="Khóa K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E8:G18" displayName="Table_175" name="Table_175" id="175">
  <tableColumns count="3">
    <tableColumn name="Column1" id="1"/>
    <tableColumn name="Column2" id="2"/>
    <tableColumn name="Column3" id="3"/>
  </tableColumns>
  <tableStyleInfo name="Khóa K1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E23:H30" displayName="Table_176" name="Table_176" id="176">
  <tableColumns count="4">
    <tableColumn name="Column1" id="1"/>
    <tableColumn name="Column2" id="2"/>
    <tableColumn name="Column3" id="3"/>
    <tableColumn name="Column4" id="4"/>
  </tableColumns>
  <tableStyleInfo name="Khóa K1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7.xml><?xml version="1.0" encoding="utf-8"?>
<table xmlns="http://schemas.openxmlformats.org/spreadsheetml/2006/main" headerRowCount="0" ref="A2:C9" displayName="Table_177" name="Table_177" id="177">
  <tableColumns count="3">
    <tableColumn name="Column1" id="1"/>
    <tableColumn name="Column2" id="2"/>
    <tableColumn name="Column3" id="3"/>
  </tableColumns>
  <tableStyleInfo name="Khóa K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8.xml><?xml version="1.0" encoding="utf-8"?>
<table xmlns="http://schemas.openxmlformats.org/spreadsheetml/2006/main" headerRowCount="0" ref="E8:G18" displayName="Table_178" name="Table_178" id="178">
  <tableColumns count="3">
    <tableColumn name="Column1" id="1"/>
    <tableColumn name="Column2" id="2"/>
    <tableColumn name="Column3" id="3"/>
  </tableColumns>
  <tableStyleInfo name="Khóa K1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9.xml><?xml version="1.0" encoding="utf-8"?>
<table xmlns="http://schemas.openxmlformats.org/spreadsheetml/2006/main" headerRowCount="0" ref="E23:H30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Khóa K1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0.xml"/><Relationship Id="rId10" Type="http://schemas.openxmlformats.org/officeDocument/2006/relationships/table" Target="../tables/table19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28.xml"/><Relationship Id="rId10" Type="http://schemas.openxmlformats.org/officeDocument/2006/relationships/table" Target="../tables/table27.xml"/><Relationship Id="rId13" Type="http://schemas.openxmlformats.org/officeDocument/2006/relationships/table" Target="../tables/table30.xml"/><Relationship Id="rId12" Type="http://schemas.openxmlformats.org/officeDocument/2006/relationships/table" Target="../tables/table29.xml"/><Relationship Id="rId15" Type="http://schemas.openxmlformats.org/officeDocument/2006/relationships/table" Target="../tables/table32.xml"/><Relationship Id="rId14" Type="http://schemas.openxmlformats.org/officeDocument/2006/relationships/table" Target="../tables/table31.xml"/><Relationship Id="rId17" Type="http://schemas.openxmlformats.org/officeDocument/2006/relationships/table" Target="../tables/table34.xml"/><Relationship Id="rId16" Type="http://schemas.openxmlformats.org/officeDocument/2006/relationships/table" Target="../tables/table3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36.xml"/><Relationship Id="rId10" Type="http://schemas.openxmlformats.org/officeDocument/2006/relationships/table" Target="../tables/table35.xml"/><Relationship Id="rId13" Type="http://schemas.openxmlformats.org/officeDocument/2006/relationships/table" Target="../tables/table38.xml"/><Relationship Id="rId12" Type="http://schemas.openxmlformats.org/officeDocument/2006/relationships/table" Target="../tables/table37.xml"/><Relationship Id="rId15" Type="http://schemas.openxmlformats.org/officeDocument/2006/relationships/table" Target="../tables/table40.xml"/><Relationship Id="rId14" Type="http://schemas.openxmlformats.org/officeDocument/2006/relationships/table" Target="../tables/table39.xml"/><Relationship Id="rId17" Type="http://schemas.openxmlformats.org/officeDocument/2006/relationships/table" Target="../tables/table42.xml"/><Relationship Id="rId16" Type="http://schemas.openxmlformats.org/officeDocument/2006/relationships/table" Target="../tables/table4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44.xml"/><Relationship Id="rId10" Type="http://schemas.openxmlformats.org/officeDocument/2006/relationships/table" Target="../tables/table43.xml"/><Relationship Id="rId13" Type="http://schemas.openxmlformats.org/officeDocument/2006/relationships/table" Target="../tables/table46.xml"/><Relationship Id="rId12" Type="http://schemas.openxmlformats.org/officeDocument/2006/relationships/table" Target="../tables/table45.xml"/><Relationship Id="rId15" Type="http://schemas.openxmlformats.org/officeDocument/2006/relationships/table" Target="../tables/table48.xml"/><Relationship Id="rId14" Type="http://schemas.openxmlformats.org/officeDocument/2006/relationships/table" Target="../tables/table47.xml"/><Relationship Id="rId17" Type="http://schemas.openxmlformats.org/officeDocument/2006/relationships/table" Target="../tables/table50.xml"/><Relationship Id="rId16" Type="http://schemas.openxmlformats.org/officeDocument/2006/relationships/table" Target="../tables/table4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52.xml"/><Relationship Id="rId10" Type="http://schemas.openxmlformats.org/officeDocument/2006/relationships/table" Target="../tables/table51.xml"/><Relationship Id="rId13" Type="http://schemas.openxmlformats.org/officeDocument/2006/relationships/table" Target="../tables/table54.xml"/><Relationship Id="rId12" Type="http://schemas.openxmlformats.org/officeDocument/2006/relationships/table" Target="../tables/table53.xml"/><Relationship Id="rId15" Type="http://schemas.openxmlformats.org/officeDocument/2006/relationships/table" Target="../tables/table56.xml"/><Relationship Id="rId14" Type="http://schemas.openxmlformats.org/officeDocument/2006/relationships/table" Target="../tables/table55.xml"/><Relationship Id="rId17" Type="http://schemas.openxmlformats.org/officeDocument/2006/relationships/table" Target="../tables/table58.xml"/><Relationship Id="rId16" Type="http://schemas.openxmlformats.org/officeDocument/2006/relationships/table" Target="../tables/table5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60.xml"/><Relationship Id="rId10" Type="http://schemas.openxmlformats.org/officeDocument/2006/relationships/table" Target="../tables/table59.xml"/><Relationship Id="rId13" Type="http://schemas.openxmlformats.org/officeDocument/2006/relationships/table" Target="../tables/table62.xml"/><Relationship Id="rId12" Type="http://schemas.openxmlformats.org/officeDocument/2006/relationships/table" Target="../tables/table61.xml"/><Relationship Id="rId15" Type="http://schemas.openxmlformats.org/officeDocument/2006/relationships/table" Target="../tables/table64.xml"/><Relationship Id="rId14" Type="http://schemas.openxmlformats.org/officeDocument/2006/relationships/table" Target="../tables/table63.xml"/><Relationship Id="rId17" Type="http://schemas.openxmlformats.org/officeDocument/2006/relationships/table" Target="../tables/table66.xml"/><Relationship Id="rId16" Type="http://schemas.openxmlformats.org/officeDocument/2006/relationships/table" Target="../tables/table6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68.xml"/><Relationship Id="rId10" Type="http://schemas.openxmlformats.org/officeDocument/2006/relationships/table" Target="../tables/table67.xml"/><Relationship Id="rId13" Type="http://schemas.openxmlformats.org/officeDocument/2006/relationships/table" Target="../tables/table70.xml"/><Relationship Id="rId12" Type="http://schemas.openxmlformats.org/officeDocument/2006/relationships/table" Target="../tables/table69.xml"/><Relationship Id="rId15" Type="http://schemas.openxmlformats.org/officeDocument/2006/relationships/table" Target="../tables/table72.xml"/><Relationship Id="rId14" Type="http://schemas.openxmlformats.org/officeDocument/2006/relationships/table" Target="../tables/table71.xml"/><Relationship Id="rId17" Type="http://schemas.openxmlformats.org/officeDocument/2006/relationships/table" Target="../tables/table74.xml"/><Relationship Id="rId16" Type="http://schemas.openxmlformats.org/officeDocument/2006/relationships/table" Target="../tables/table7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76.xml"/><Relationship Id="rId10" Type="http://schemas.openxmlformats.org/officeDocument/2006/relationships/table" Target="../tables/table75.xml"/><Relationship Id="rId13" Type="http://schemas.openxmlformats.org/officeDocument/2006/relationships/table" Target="../tables/table78.xml"/><Relationship Id="rId12" Type="http://schemas.openxmlformats.org/officeDocument/2006/relationships/table" Target="../tables/table77.xml"/><Relationship Id="rId15" Type="http://schemas.openxmlformats.org/officeDocument/2006/relationships/table" Target="../tables/table80.xml"/><Relationship Id="rId14" Type="http://schemas.openxmlformats.org/officeDocument/2006/relationships/table" Target="../tables/table79.xml"/><Relationship Id="rId17" Type="http://schemas.openxmlformats.org/officeDocument/2006/relationships/table" Target="../tables/table82.xml"/><Relationship Id="rId16" Type="http://schemas.openxmlformats.org/officeDocument/2006/relationships/table" Target="../tables/table8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84.xml"/><Relationship Id="rId10" Type="http://schemas.openxmlformats.org/officeDocument/2006/relationships/table" Target="../tables/table83.xml"/><Relationship Id="rId13" Type="http://schemas.openxmlformats.org/officeDocument/2006/relationships/table" Target="../tables/table86.xml"/><Relationship Id="rId12" Type="http://schemas.openxmlformats.org/officeDocument/2006/relationships/table" Target="../tables/table85.xml"/><Relationship Id="rId15" Type="http://schemas.openxmlformats.org/officeDocument/2006/relationships/table" Target="../tables/table88.xml"/><Relationship Id="rId14" Type="http://schemas.openxmlformats.org/officeDocument/2006/relationships/table" Target="../tables/table87.xml"/><Relationship Id="rId17" Type="http://schemas.openxmlformats.org/officeDocument/2006/relationships/table" Target="../tables/table90.xml"/><Relationship Id="rId16" Type="http://schemas.openxmlformats.org/officeDocument/2006/relationships/table" Target="../tables/table8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92.xml"/><Relationship Id="rId10" Type="http://schemas.openxmlformats.org/officeDocument/2006/relationships/table" Target="../tables/table91.xml"/><Relationship Id="rId13" Type="http://schemas.openxmlformats.org/officeDocument/2006/relationships/table" Target="../tables/table94.xml"/><Relationship Id="rId12" Type="http://schemas.openxmlformats.org/officeDocument/2006/relationships/table" Target="../tables/table93.xml"/><Relationship Id="rId15" Type="http://schemas.openxmlformats.org/officeDocument/2006/relationships/table" Target="../tables/table96.xml"/><Relationship Id="rId14" Type="http://schemas.openxmlformats.org/officeDocument/2006/relationships/table" Target="../tables/table95.xml"/><Relationship Id="rId17" Type="http://schemas.openxmlformats.org/officeDocument/2006/relationships/table" Target="../tables/table98.xml"/><Relationship Id="rId16" Type="http://schemas.openxmlformats.org/officeDocument/2006/relationships/table" Target="../tables/table9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11" Type="http://schemas.openxmlformats.org/officeDocument/2006/relationships/table" Target="../tables/table100.xml"/><Relationship Id="rId10" Type="http://schemas.openxmlformats.org/officeDocument/2006/relationships/table" Target="../tables/table99.xml"/><Relationship Id="rId13" Type="http://schemas.openxmlformats.org/officeDocument/2006/relationships/table" Target="../tables/table102.xml"/><Relationship Id="rId12" Type="http://schemas.openxmlformats.org/officeDocument/2006/relationships/table" Target="../tables/table101.xml"/><Relationship Id="rId15" Type="http://schemas.openxmlformats.org/officeDocument/2006/relationships/table" Target="../tables/table104.xml"/><Relationship Id="rId14" Type="http://schemas.openxmlformats.org/officeDocument/2006/relationships/table" Target="../tables/table103.xml"/><Relationship Id="rId17" Type="http://schemas.openxmlformats.org/officeDocument/2006/relationships/table" Target="../tables/table106.xml"/><Relationship Id="rId16" Type="http://schemas.openxmlformats.org/officeDocument/2006/relationships/table" Target="../tables/table10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11" Type="http://schemas.openxmlformats.org/officeDocument/2006/relationships/table" Target="../tables/table108.xml"/><Relationship Id="rId10" Type="http://schemas.openxmlformats.org/officeDocument/2006/relationships/table" Target="../tables/table107.xml"/><Relationship Id="rId13" Type="http://schemas.openxmlformats.org/officeDocument/2006/relationships/table" Target="../tables/table110.xml"/><Relationship Id="rId12" Type="http://schemas.openxmlformats.org/officeDocument/2006/relationships/table" Target="../tables/table109.xml"/><Relationship Id="rId15" Type="http://schemas.openxmlformats.org/officeDocument/2006/relationships/table" Target="../tables/table112.xml"/><Relationship Id="rId14" Type="http://schemas.openxmlformats.org/officeDocument/2006/relationships/table" Target="../tables/table111.xml"/><Relationship Id="rId17" Type="http://schemas.openxmlformats.org/officeDocument/2006/relationships/table" Target="../tables/table114.xml"/><Relationship Id="rId16" Type="http://schemas.openxmlformats.org/officeDocument/2006/relationships/table" Target="../tables/table1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11" Type="http://schemas.openxmlformats.org/officeDocument/2006/relationships/table" Target="../tables/table116.xml"/><Relationship Id="rId10" Type="http://schemas.openxmlformats.org/officeDocument/2006/relationships/table" Target="../tables/table115.xml"/><Relationship Id="rId13" Type="http://schemas.openxmlformats.org/officeDocument/2006/relationships/table" Target="../tables/table118.xml"/><Relationship Id="rId12" Type="http://schemas.openxmlformats.org/officeDocument/2006/relationships/table" Target="../tables/table117.xml"/><Relationship Id="rId15" Type="http://schemas.openxmlformats.org/officeDocument/2006/relationships/table" Target="../tables/table120.xml"/><Relationship Id="rId14" Type="http://schemas.openxmlformats.org/officeDocument/2006/relationships/table" Target="../tables/table119.xml"/><Relationship Id="rId17" Type="http://schemas.openxmlformats.org/officeDocument/2006/relationships/table" Target="../tables/table122.xml"/><Relationship Id="rId16" Type="http://schemas.openxmlformats.org/officeDocument/2006/relationships/table" Target="../tables/table12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11" Type="http://schemas.openxmlformats.org/officeDocument/2006/relationships/table" Target="../tables/table124.xml"/><Relationship Id="rId10" Type="http://schemas.openxmlformats.org/officeDocument/2006/relationships/table" Target="../tables/table123.xml"/><Relationship Id="rId13" Type="http://schemas.openxmlformats.org/officeDocument/2006/relationships/table" Target="../tables/table126.xml"/><Relationship Id="rId12" Type="http://schemas.openxmlformats.org/officeDocument/2006/relationships/table" Target="../tables/table125.xml"/><Relationship Id="rId15" Type="http://schemas.openxmlformats.org/officeDocument/2006/relationships/table" Target="../tables/table128.xml"/><Relationship Id="rId14" Type="http://schemas.openxmlformats.org/officeDocument/2006/relationships/table" Target="../tables/table127.xml"/><Relationship Id="rId17" Type="http://schemas.openxmlformats.org/officeDocument/2006/relationships/table" Target="../tables/table130.xml"/><Relationship Id="rId16" Type="http://schemas.openxmlformats.org/officeDocument/2006/relationships/table" Target="../tables/table12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3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132.xml"/><Relationship Id="rId6" Type="http://schemas.openxmlformats.org/officeDocument/2006/relationships/table" Target="../tables/table133.xml"/><Relationship Id="rId7" Type="http://schemas.openxmlformats.org/officeDocument/2006/relationships/table" Target="../tables/table13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135.xml"/><Relationship Id="rId6" Type="http://schemas.openxmlformats.org/officeDocument/2006/relationships/table" Target="../tables/table136.xml"/><Relationship Id="rId7" Type="http://schemas.openxmlformats.org/officeDocument/2006/relationships/table" Target="../tables/table137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5" Type="http://schemas.openxmlformats.org/officeDocument/2006/relationships/table" Target="../tables/table138.xml"/><Relationship Id="rId6" Type="http://schemas.openxmlformats.org/officeDocument/2006/relationships/table" Target="../tables/table139.xml"/><Relationship Id="rId7" Type="http://schemas.openxmlformats.org/officeDocument/2006/relationships/table" Target="../tables/table14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5" Type="http://schemas.openxmlformats.org/officeDocument/2006/relationships/table" Target="../tables/table141.xml"/><Relationship Id="rId6" Type="http://schemas.openxmlformats.org/officeDocument/2006/relationships/table" Target="../tables/table142.xml"/><Relationship Id="rId7" Type="http://schemas.openxmlformats.org/officeDocument/2006/relationships/table" Target="../tables/table14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5" Type="http://schemas.openxmlformats.org/officeDocument/2006/relationships/table" Target="../tables/table144.xml"/><Relationship Id="rId6" Type="http://schemas.openxmlformats.org/officeDocument/2006/relationships/table" Target="../tables/table145.xml"/><Relationship Id="rId7" Type="http://schemas.openxmlformats.org/officeDocument/2006/relationships/table" Target="../tables/table146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5" Type="http://schemas.openxmlformats.org/officeDocument/2006/relationships/table" Target="../tables/table147.xml"/><Relationship Id="rId6" Type="http://schemas.openxmlformats.org/officeDocument/2006/relationships/table" Target="../tables/table148.xml"/><Relationship Id="rId7" Type="http://schemas.openxmlformats.org/officeDocument/2006/relationships/table" Target="../tables/table149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5" Type="http://schemas.openxmlformats.org/officeDocument/2006/relationships/table" Target="../tables/table150.xml"/><Relationship Id="rId6" Type="http://schemas.openxmlformats.org/officeDocument/2006/relationships/table" Target="../tables/table151.xml"/><Relationship Id="rId7" Type="http://schemas.openxmlformats.org/officeDocument/2006/relationships/table" Target="../tables/table15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5" Type="http://schemas.openxmlformats.org/officeDocument/2006/relationships/table" Target="../tables/table153.xml"/><Relationship Id="rId6" Type="http://schemas.openxmlformats.org/officeDocument/2006/relationships/table" Target="../tables/table154.xml"/><Relationship Id="rId7" Type="http://schemas.openxmlformats.org/officeDocument/2006/relationships/table" Target="../tables/table15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5" Type="http://schemas.openxmlformats.org/officeDocument/2006/relationships/table" Target="../tables/table156.xml"/><Relationship Id="rId6" Type="http://schemas.openxmlformats.org/officeDocument/2006/relationships/table" Target="../tables/table157.xml"/><Relationship Id="rId7" Type="http://schemas.openxmlformats.org/officeDocument/2006/relationships/table" Target="../tables/table158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5" Type="http://schemas.openxmlformats.org/officeDocument/2006/relationships/table" Target="../tables/table159.xml"/><Relationship Id="rId6" Type="http://schemas.openxmlformats.org/officeDocument/2006/relationships/table" Target="../tables/table160.xml"/><Relationship Id="rId7" Type="http://schemas.openxmlformats.org/officeDocument/2006/relationships/table" Target="../tables/table161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5" Type="http://schemas.openxmlformats.org/officeDocument/2006/relationships/table" Target="../tables/table162.xml"/><Relationship Id="rId6" Type="http://schemas.openxmlformats.org/officeDocument/2006/relationships/table" Target="../tables/table163.xml"/><Relationship Id="rId7" Type="http://schemas.openxmlformats.org/officeDocument/2006/relationships/table" Target="../tables/table16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5" Type="http://schemas.openxmlformats.org/officeDocument/2006/relationships/table" Target="../tables/table165.xml"/><Relationship Id="rId6" Type="http://schemas.openxmlformats.org/officeDocument/2006/relationships/table" Target="../tables/table166.xml"/><Relationship Id="rId7" Type="http://schemas.openxmlformats.org/officeDocument/2006/relationships/table" Target="../tables/table167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5" Type="http://schemas.openxmlformats.org/officeDocument/2006/relationships/table" Target="../tables/table168.xml"/><Relationship Id="rId6" Type="http://schemas.openxmlformats.org/officeDocument/2006/relationships/table" Target="../tables/table169.xml"/><Relationship Id="rId7" Type="http://schemas.openxmlformats.org/officeDocument/2006/relationships/table" Target="../tables/table17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5" Type="http://schemas.openxmlformats.org/officeDocument/2006/relationships/table" Target="../tables/table171.xml"/><Relationship Id="rId6" Type="http://schemas.openxmlformats.org/officeDocument/2006/relationships/table" Target="../tables/table172.xml"/><Relationship Id="rId7" Type="http://schemas.openxmlformats.org/officeDocument/2006/relationships/table" Target="../tables/table173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5" Type="http://schemas.openxmlformats.org/officeDocument/2006/relationships/table" Target="../tables/table174.xml"/><Relationship Id="rId6" Type="http://schemas.openxmlformats.org/officeDocument/2006/relationships/table" Target="../tables/table175.xml"/><Relationship Id="rId7" Type="http://schemas.openxmlformats.org/officeDocument/2006/relationships/table" Target="../tables/table176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5" Type="http://schemas.openxmlformats.org/officeDocument/2006/relationships/table" Target="../tables/table177.xml"/><Relationship Id="rId6" Type="http://schemas.openxmlformats.org/officeDocument/2006/relationships/table" Target="../tables/table178.xml"/><Relationship Id="rId7" Type="http://schemas.openxmlformats.org/officeDocument/2006/relationships/table" Target="../tables/table17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62.13"/>
  </cols>
  <sheetData>
    <row r="1">
      <c r="A1" s="1" t="s">
        <v>0</v>
      </c>
      <c r="B1" s="1" t="s">
        <v>1</v>
      </c>
      <c r="C1" s="2"/>
      <c r="D1" s="2"/>
    </row>
    <row r="2">
      <c r="A2" s="1" t="s">
        <v>2</v>
      </c>
      <c r="B2" s="1" t="s">
        <v>3</v>
      </c>
      <c r="C2" s="1" t="s">
        <v>4</v>
      </c>
      <c r="D2" s="3" t="s">
        <v>5</v>
      </c>
    </row>
    <row r="3">
      <c r="A3" s="4">
        <v>1.0</v>
      </c>
      <c r="B3" s="2" t="str">
        <f t="shared" ref="B3:B18" si="1">MID($B$1,A3,1)</f>
        <v>0</v>
      </c>
      <c r="C3" s="2" t="str">
        <f t="shared" ref="C3:C18" si="2">HEX2BIN(B3,4)</f>
        <v>0000</v>
      </c>
      <c r="D3" s="2" t="str">
        <f t="shared" ref="D3:D16" si="3">C3&amp;D4</f>
        <v>0000000100110011010001010111011110011001101110111100110111111111</v>
      </c>
    </row>
    <row r="4">
      <c r="A4" s="4">
        <v>2.0</v>
      </c>
      <c r="B4" s="2" t="str">
        <f t="shared" si="1"/>
        <v>1</v>
      </c>
      <c r="C4" s="2" t="str">
        <f t="shared" si="2"/>
        <v>0001</v>
      </c>
      <c r="D4" s="2" t="str">
        <f t="shared" si="3"/>
        <v>000100110011010001010111011110011001101110111100110111111111</v>
      </c>
    </row>
    <row r="5">
      <c r="A5" s="4">
        <v>3.0</v>
      </c>
      <c r="B5" s="2" t="str">
        <f t="shared" si="1"/>
        <v>3</v>
      </c>
      <c r="C5" s="2" t="str">
        <f t="shared" si="2"/>
        <v>0011</v>
      </c>
      <c r="D5" s="2" t="str">
        <f t="shared" si="3"/>
        <v>00110011010001010111011110011001101110111100110111111111</v>
      </c>
    </row>
    <row r="6">
      <c r="A6" s="4">
        <v>4.0</v>
      </c>
      <c r="B6" s="2" t="str">
        <f t="shared" si="1"/>
        <v>3</v>
      </c>
      <c r="C6" s="2" t="str">
        <f t="shared" si="2"/>
        <v>0011</v>
      </c>
      <c r="D6" s="2" t="str">
        <f t="shared" si="3"/>
        <v>0011010001010111011110011001101110111100110111111111</v>
      </c>
    </row>
    <row r="7">
      <c r="A7" s="4">
        <v>5.0</v>
      </c>
      <c r="B7" s="2" t="str">
        <f t="shared" si="1"/>
        <v>4</v>
      </c>
      <c r="C7" s="2" t="str">
        <f t="shared" si="2"/>
        <v>0100</v>
      </c>
      <c r="D7" s="2" t="str">
        <f t="shared" si="3"/>
        <v>010001010111011110011001101110111100110111111111</v>
      </c>
    </row>
    <row r="8">
      <c r="A8" s="4">
        <v>6.0</v>
      </c>
      <c r="B8" s="2" t="str">
        <f t="shared" si="1"/>
        <v>5</v>
      </c>
      <c r="C8" s="2" t="str">
        <f t="shared" si="2"/>
        <v>0101</v>
      </c>
      <c r="D8" s="2" t="str">
        <f t="shared" si="3"/>
        <v>01010111011110011001101110111100110111111111</v>
      </c>
    </row>
    <row r="9">
      <c r="A9" s="4">
        <v>7.0</v>
      </c>
      <c r="B9" s="2" t="str">
        <f t="shared" si="1"/>
        <v>7</v>
      </c>
      <c r="C9" s="2" t="str">
        <f t="shared" si="2"/>
        <v>0111</v>
      </c>
      <c r="D9" s="2" t="str">
        <f t="shared" si="3"/>
        <v>0111011110011001101110111100110111111111</v>
      </c>
    </row>
    <row r="10">
      <c r="A10" s="4">
        <v>8.0</v>
      </c>
      <c r="B10" s="2" t="str">
        <f t="shared" si="1"/>
        <v>7</v>
      </c>
      <c r="C10" s="2" t="str">
        <f t="shared" si="2"/>
        <v>0111</v>
      </c>
      <c r="D10" s="2" t="str">
        <f t="shared" si="3"/>
        <v>011110011001101110111100110111111111</v>
      </c>
    </row>
    <row r="11">
      <c r="A11" s="4">
        <v>9.0</v>
      </c>
      <c r="B11" s="2" t="str">
        <f t="shared" si="1"/>
        <v>9</v>
      </c>
      <c r="C11" s="2" t="str">
        <f t="shared" si="2"/>
        <v>1001</v>
      </c>
      <c r="D11" s="2" t="str">
        <f t="shared" si="3"/>
        <v>10011001101110111100110111111111</v>
      </c>
    </row>
    <row r="12">
      <c r="A12" s="4">
        <v>10.0</v>
      </c>
      <c r="B12" s="2" t="str">
        <f t="shared" si="1"/>
        <v>9</v>
      </c>
      <c r="C12" s="2" t="str">
        <f t="shared" si="2"/>
        <v>1001</v>
      </c>
      <c r="D12" s="2" t="str">
        <f t="shared" si="3"/>
        <v>1001101110111100110111111111</v>
      </c>
    </row>
    <row r="13">
      <c r="A13" s="4">
        <v>11.0</v>
      </c>
      <c r="B13" s="2" t="str">
        <f t="shared" si="1"/>
        <v>b</v>
      </c>
      <c r="C13" s="2" t="str">
        <f t="shared" si="2"/>
        <v>1011</v>
      </c>
      <c r="D13" s="2" t="str">
        <f t="shared" si="3"/>
        <v>101110111100110111111111</v>
      </c>
    </row>
    <row r="14">
      <c r="A14" s="4">
        <v>12.0</v>
      </c>
      <c r="B14" s="2" t="str">
        <f t="shared" si="1"/>
        <v>b</v>
      </c>
      <c r="C14" s="2" t="str">
        <f t="shared" si="2"/>
        <v>1011</v>
      </c>
      <c r="D14" s="2" t="str">
        <f t="shared" si="3"/>
        <v>10111100110111111111</v>
      </c>
    </row>
    <row r="15">
      <c r="A15" s="4">
        <v>13.0</v>
      </c>
      <c r="B15" s="2" t="str">
        <f t="shared" si="1"/>
        <v>c</v>
      </c>
      <c r="C15" s="2" t="str">
        <f t="shared" si="2"/>
        <v>1100</v>
      </c>
      <c r="D15" s="2" t="str">
        <f t="shared" si="3"/>
        <v>1100110111111111</v>
      </c>
    </row>
    <row r="16">
      <c r="A16" s="4">
        <v>14.0</v>
      </c>
      <c r="B16" s="2" t="str">
        <f t="shared" si="1"/>
        <v>d</v>
      </c>
      <c r="C16" s="2" t="str">
        <f t="shared" si="2"/>
        <v>1101</v>
      </c>
      <c r="D16" s="2" t="str">
        <f t="shared" si="3"/>
        <v>110111111111</v>
      </c>
    </row>
    <row r="17">
      <c r="A17" s="4">
        <v>15.0</v>
      </c>
      <c r="B17" s="2" t="str">
        <f t="shared" si="1"/>
        <v>f</v>
      </c>
      <c r="C17" s="2" t="str">
        <f t="shared" si="2"/>
        <v>1111</v>
      </c>
      <c r="D17" s="2" t="str">
        <f>C17&amp;C18</f>
        <v>11111111</v>
      </c>
    </row>
    <row r="18">
      <c r="A18" s="4">
        <v>16.0</v>
      </c>
      <c r="B18" s="2" t="str">
        <f t="shared" si="1"/>
        <v>f</v>
      </c>
      <c r="C18" s="2" t="str">
        <f t="shared" si="2"/>
        <v>1111</v>
      </c>
      <c r="D18" s="2"/>
    </row>
    <row r="20">
      <c r="A20" s="1" t="s">
        <v>6</v>
      </c>
      <c r="B20" s="1" t="s">
        <v>7</v>
      </c>
      <c r="C20" s="2" t="str">
        <f>D22</f>
        <v>11110000110011001010101010111010101011001100111100001010</v>
      </c>
      <c r="D20" s="2"/>
      <c r="E20" s="1" t="s">
        <v>8</v>
      </c>
      <c r="F20" s="1" t="s">
        <v>8</v>
      </c>
      <c r="G20" s="1" t="s">
        <v>9</v>
      </c>
    </row>
    <row r="21">
      <c r="A21" s="1" t="s">
        <v>10</v>
      </c>
      <c r="B21" s="1" t="s">
        <v>2</v>
      </c>
      <c r="C21" s="1" t="s">
        <v>11</v>
      </c>
      <c r="D21" s="2"/>
      <c r="E21" s="1">
        <v>1.0</v>
      </c>
      <c r="F21" s="3" t="str">
        <f t="shared" ref="F21:F27" si="4">MID($C$20,(E21-1)*8+1,8)</f>
        <v>11110000</v>
      </c>
      <c r="G21" s="3" t="str">
        <f t="shared" ref="G21:G27" si="5">BIN2HEX(F21,2)</f>
        <v>F0</v>
      </c>
    </row>
    <row r="22">
      <c r="A22" s="5">
        <v>1.0</v>
      </c>
      <c r="B22" s="5">
        <v>57.0</v>
      </c>
      <c r="C22" s="2" t="str">
        <f t="shared" ref="C22:C77" si="6">MID($D$3,B22,1)</f>
        <v>1</v>
      </c>
      <c r="D22" s="2" t="str">
        <f t="shared" ref="D22:D75" si="7">C22&amp;D23</f>
        <v>11110000110011001010101010111010101011001100111100001010</v>
      </c>
      <c r="E22" s="1">
        <v>2.0</v>
      </c>
      <c r="F22" s="3" t="str">
        <f t="shared" si="4"/>
        <v>11001100</v>
      </c>
      <c r="G22" s="3" t="str">
        <f t="shared" si="5"/>
        <v>CC</v>
      </c>
    </row>
    <row r="23">
      <c r="A23" s="5">
        <v>2.0</v>
      </c>
      <c r="B23" s="5">
        <v>49.0</v>
      </c>
      <c r="C23" s="2" t="str">
        <f t="shared" si="6"/>
        <v>1</v>
      </c>
      <c r="D23" s="2" t="str">
        <f t="shared" si="7"/>
        <v>1110000110011001010101010111010101011001100111100001010</v>
      </c>
      <c r="E23" s="1">
        <v>3.0</v>
      </c>
      <c r="F23" s="3" t="str">
        <f t="shared" si="4"/>
        <v>10101010</v>
      </c>
      <c r="G23" s="3" t="str">
        <f t="shared" si="5"/>
        <v>AA</v>
      </c>
    </row>
    <row r="24">
      <c r="A24" s="5">
        <v>3.0</v>
      </c>
      <c r="B24" s="5">
        <v>41.0</v>
      </c>
      <c r="C24" s="2" t="str">
        <f t="shared" si="6"/>
        <v>1</v>
      </c>
      <c r="D24" s="2" t="str">
        <f t="shared" si="7"/>
        <v>110000110011001010101010111010101011001100111100001010</v>
      </c>
      <c r="E24" s="1">
        <v>4.0</v>
      </c>
      <c r="F24" s="3" t="str">
        <f t="shared" si="4"/>
        <v>10111010</v>
      </c>
      <c r="G24" s="3" t="str">
        <f t="shared" si="5"/>
        <v>BA</v>
      </c>
    </row>
    <row r="25">
      <c r="A25" s="5">
        <v>4.0</v>
      </c>
      <c r="B25" s="5">
        <v>33.0</v>
      </c>
      <c r="C25" s="2" t="str">
        <f t="shared" si="6"/>
        <v>1</v>
      </c>
      <c r="D25" s="2" t="str">
        <f t="shared" si="7"/>
        <v>10000110011001010101010111010101011001100111100001010</v>
      </c>
      <c r="E25" s="1">
        <v>5.0</v>
      </c>
      <c r="F25" s="3" t="str">
        <f t="shared" si="4"/>
        <v>10101100</v>
      </c>
      <c r="G25" s="3" t="str">
        <f t="shared" si="5"/>
        <v>AC</v>
      </c>
    </row>
    <row r="26">
      <c r="A26" s="5">
        <v>5.0</v>
      </c>
      <c r="B26" s="5">
        <v>25.0</v>
      </c>
      <c r="C26" s="2" t="str">
        <f t="shared" si="6"/>
        <v>0</v>
      </c>
      <c r="D26" s="2" t="str">
        <f t="shared" si="7"/>
        <v>0000110011001010101010111010101011001100111100001010</v>
      </c>
      <c r="E26" s="1">
        <v>6.0</v>
      </c>
      <c r="F26" s="3" t="str">
        <f t="shared" si="4"/>
        <v>11001111</v>
      </c>
      <c r="G26" s="3" t="str">
        <f t="shared" si="5"/>
        <v>CF</v>
      </c>
    </row>
    <row r="27">
      <c r="A27" s="5">
        <v>6.0</v>
      </c>
      <c r="B27" s="5">
        <v>17.0</v>
      </c>
      <c r="C27" s="2" t="str">
        <f t="shared" si="6"/>
        <v>0</v>
      </c>
      <c r="D27" s="2" t="str">
        <f t="shared" si="7"/>
        <v>000110011001010101010111010101011001100111100001010</v>
      </c>
      <c r="E27" s="1">
        <v>7.0</v>
      </c>
      <c r="F27" s="3" t="str">
        <f t="shared" si="4"/>
        <v>00001010</v>
      </c>
      <c r="G27" s="3" t="str">
        <f t="shared" si="5"/>
        <v>0A</v>
      </c>
    </row>
    <row r="28">
      <c r="A28" s="5">
        <v>7.0</v>
      </c>
      <c r="B28" s="5">
        <v>9.0</v>
      </c>
      <c r="C28" s="2" t="str">
        <f t="shared" si="6"/>
        <v>0</v>
      </c>
      <c r="D28" s="2" t="str">
        <f t="shared" si="7"/>
        <v>00110011001010101010111010101011001100111100001010</v>
      </c>
      <c r="E28" s="2"/>
      <c r="F28" s="2"/>
      <c r="G28" s="2"/>
    </row>
    <row r="29">
      <c r="A29" s="5">
        <v>8.0</v>
      </c>
      <c r="B29" s="5">
        <v>1.0</v>
      </c>
      <c r="C29" s="2" t="str">
        <f t="shared" si="6"/>
        <v>0</v>
      </c>
      <c r="D29" s="2" t="str">
        <f t="shared" si="7"/>
        <v>0110011001010101010111010101011001100111100001010</v>
      </c>
      <c r="E29" s="2"/>
      <c r="F29" s="2"/>
      <c r="G29" s="2"/>
    </row>
    <row r="30">
      <c r="A30" s="5">
        <v>9.0</v>
      </c>
      <c r="B30" s="5">
        <v>58.0</v>
      </c>
      <c r="C30" s="2" t="str">
        <f t="shared" si="6"/>
        <v>1</v>
      </c>
      <c r="D30" s="2" t="str">
        <f t="shared" si="7"/>
        <v>110011001010101010111010101011001100111100001010</v>
      </c>
      <c r="E30" s="2"/>
      <c r="F30" s="2"/>
      <c r="G30" s="2"/>
    </row>
    <row r="31">
      <c r="A31" s="5">
        <v>10.0</v>
      </c>
      <c r="B31" s="5">
        <v>50.0</v>
      </c>
      <c r="C31" s="2" t="str">
        <f t="shared" si="6"/>
        <v>1</v>
      </c>
      <c r="D31" s="2" t="str">
        <f t="shared" si="7"/>
        <v>10011001010101010111010101011001100111100001010</v>
      </c>
      <c r="E31" s="2"/>
      <c r="F31" s="2"/>
      <c r="G31" s="2"/>
    </row>
    <row r="32">
      <c r="A32" s="5">
        <v>11.0</v>
      </c>
      <c r="B32" s="5">
        <v>42.0</v>
      </c>
      <c r="C32" s="2" t="str">
        <f t="shared" si="6"/>
        <v>0</v>
      </c>
      <c r="D32" s="2" t="str">
        <f t="shared" si="7"/>
        <v>0011001010101010111010101011001100111100001010</v>
      </c>
      <c r="E32" s="2"/>
      <c r="F32" s="2"/>
      <c r="G32" s="2"/>
    </row>
    <row r="33">
      <c r="A33" s="5">
        <v>12.0</v>
      </c>
      <c r="B33" s="5">
        <v>34.0</v>
      </c>
      <c r="C33" s="2" t="str">
        <f t="shared" si="6"/>
        <v>0</v>
      </c>
      <c r="D33" s="2" t="str">
        <f t="shared" si="7"/>
        <v>011001010101010111010101011001100111100001010</v>
      </c>
      <c r="E33" s="2"/>
      <c r="F33" s="2"/>
      <c r="G33" s="2"/>
    </row>
    <row r="34">
      <c r="A34" s="5">
        <v>13.0</v>
      </c>
      <c r="B34" s="5">
        <v>26.0</v>
      </c>
      <c r="C34" s="2" t="str">
        <f t="shared" si="6"/>
        <v>1</v>
      </c>
      <c r="D34" s="2" t="str">
        <f t="shared" si="7"/>
        <v>11001010101010111010101011001100111100001010</v>
      </c>
      <c r="E34" s="2"/>
      <c r="F34" s="2"/>
      <c r="G34" s="2"/>
    </row>
    <row r="35">
      <c r="A35" s="5">
        <v>14.0</v>
      </c>
      <c r="B35" s="5">
        <v>18.0</v>
      </c>
      <c r="C35" s="2" t="str">
        <f t="shared" si="6"/>
        <v>1</v>
      </c>
      <c r="D35" s="2" t="str">
        <f t="shared" si="7"/>
        <v>1001010101010111010101011001100111100001010</v>
      </c>
      <c r="E35" s="2"/>
      <c r="F35" s="2"/>
      <c r="G35" s="2"/>
    </row>
    <row r="36">
      <c r="A36" s="5">
        <v>15.0</v>
      </c>
      <c r="B36" s="5">
        <v>10.0</v>
      </c>
      <c r="C36" s="2" t="str">
        <f t="shared" si="6"/>
        <v>0</v>
      </c>
      <c r="D36" s="2" t="str">
        <f t="shared" si="7"/>
        <v>001010101010111010101011001100111100001010</v>
      </c>
      <c r="E36" s="2"/>
      <c r="F36" s="2"/>
      <c r="G36" s="2"/>
    </row>
    <row r="37">
      <c r="A37" s="5">
        <v>16.0</v>
      </c>
      <c r="B37" s="5">
        <v>2.0</v>
      </c>
      <c r="C37" s="2" t="str">
        <f t="shared" si="6"/>
        <v>0</v>
      </c>
      <c r="D37" s="2" t="str">
        <f t="shared" si="7"/>
        <v>01010101010111010101011001100111100001010</v>
      </c>
      <c r="E37" s="2"/>
      <c r="F37" s="2"/>
      <c r="G37" s="2"/>
    </row>
    <row r="38">
      <c r="A38" s="5">
        <v>17.0</v>
      </c>
      <c r="B38" s="5">
        <v>59.0</v>
      </c>
      <c r="C38" s="2" t="str">
        <f t="shared" si="6"/>
        <v>1</v>
      </c>
      <c r="D38" s="2" t="str">
        <f t="shared" si="7"/>
        <v>1010101010111010101011001100111100001010</v>
      </c>
      <c r="E38" s="2"/>
      <c r="F38" s="2"/>
      <c r="G38" s="2"/>
    </row>
    <row r="39">
      <c r="A39" s="5">
        <v>18.0</v>
      </c>
      <c r="B39" s="5">
        <v>51.0</v>
      </c>
      <c r="C39" s="2" t="str">
        <f t="shared" si="6"/>
        <v>0</v>
      </c>
      <c r="D39" s="2" t="str">
        <f t="shared" si="7"/>
        <v>010101010111010101011001100111100001010</v>
      </c>
      <c r="E39" s="2"/>
      <c r="F39" s="2"/>
      <c r="G39" s="2"/>
    </row>
    <row r="40">
      <c r="A40" s="5">
        <v>19.0</v>
      </c>
      <c r="B40" s="5">
        <v>43.0</v>
      </c>
      <c r="C40" s="2" t="str">
        <f t="shared" si="6"/>
        <v>1</v>
      </c>
      <c r="D40" s="2" t="str">
        <f t="shared" si="7"/>
        <v>10101010111010101011001100111100001010</v>
      </c>
      <c r="E40" s="2"/>
      <c r="F40" s="2"/>
      <c r="G40" s="2"/>
    </row>
    <row r="41">
      <c r="A41" s="5">
        <v>20.0</v>
      </c>
      <c r="B41" s="5">
        <v>35.0</v>
      </c>
      <c r="C41" s="2" t="str">
        <f t="shared" si="6"/>
        <v>0</v>
      </c>
      <c r="D41" s="2" t="str">
        <f t="shared" si="7"/>
        <v>0101010111010101011001100111100001010</v>
      </c>
      <c r="E41" s="2"/>
      <c r="F41" s="2"/>
      <c r="G41" s="2"/>
    </row>
    <row r="42">
      <c r="A42" s="5">
        <v>21.0</v>
      </c>
      <c r="B42" s="5">
        <v>27.0</v>
      </c>
      <c r="C42" s="2" t="str">
        <f t="shared" si="6"/>
        <v>1</v>
      </c>
      <c r="D42" s="2" t="str">
        <f t="shared" si="7"/>
        <v>101010111010101011001100111100001010</v>
      </c>
      <c r="E42" s="2"/>
      <c r="F42" s="2"/>
      <c r="G42" s="2"/>
    </row>
    <row r="43">
      <c r="A43" s="5">
        <v>22.0</v>
      </c>
      <c r="B43" s="5">
        <v>19.0</v>
      </c>
      <c r="C43" s="2" t="str">
        <f t="shared" si="6"/>
        <v>0</v>
      </c>
      <c r="D43" s="2" t="str">
        <f t="shared" si="7"/>
        <v>01010111010101011001100111100001010</v>
      </c>
      <c r="E43" s="2"/>
      <c r="F43" s="2"/>
      <c r="G43" s="2"/>
    </row>
    <row r="44">
      <c r="A44" s="5">
        <v>23.0</v>
      </c>
      <c r="B44" s="5">
        <v>11.0</v>
      </c>
      <c r="C44" s="2" t="str">
        <f t="shared" si="6"/>
        <v>1</v>
      </c>
      <c r="D44" s="2" t="str">
        <f t="shared" si="7"/>
        <v>1010111010101011001100111100001010</v>
      </c>
      <c r="E44" s="2"/>
      <c r="F44" s="2"/>
      <c r="G44" s="2"/>
    </row>
    <row r="45">
      <c r="A45" s="5">
        <v>24.0</v>
      </c>
      <c r="B45" s="5">
        <v>3.0</v>
      </c>
      <c r="C45" s="2" t="str">
        <f t="shared" si="6"/>
        <v>0</v>
      </c>
      <c r="D45" s="2" t="str">
        <f t="shared" si="7"/>
        <v>010111010101011001100111100001010</v>
      </c>
      <c r="E45" s="2"/>
      <c r="F45" s="2"/>
      <c r="G45" s="2"/>
    </row>
    <row r="46">
      <c r="A46" s="5">
        <v>25.0</v>
      </c>
      <c r="B46" s="5">
        <v>60.0</v>
      </c>
      <c r="C46" s="2" t="str">
        <f t="shared" si="6"/>
        <v>1</v>
      </c>
      <c r="D46" s="2" t="str">
        <f t="shared" si="7"/>
        <v>10111010101011001100111100001010</v>
      </c>
      <c r="E46" s="2"/>
      <c r="F46" s="2"/>
      <c r="G46" s="2"/>
    </row>
    <row r="47">
      <c r="A47" s="5">
        <v>26.0</v>
      </c>
      <c r="B47" s="5">
        <v>52.0</v>
      </c>
      <c r="C47" s="2" t="str">
        <f t="shared" si="6"/>
        <v>0</v>
      </c>
      <c r="D47" s="2" t="str">
        <f t="shared" si="7"/>
        <v>0111010101011001100111100001010</v>
      </c>
      <c r="E47" s="2"/>
      <c r="F47" s="2"/>
      <c r="G47" s="2"/>
    </row>
    <row r="48">
      <c r="A48" s="5">
        <v>27.0</v>
      </c>
      <c r="B48" s="5">
        <v>44.0</v>
      </c>
      <c r="C48" s="2" t="str">
        <f t="shared" si="6"/>
        <v>1</v>
      </c>
      <c r="D48" s="2" t="str">
        <f t="shared" si="7"/>
        <v>111010101011001100111100001010</v>
      </c>
      <c r="E48" s="2"/>
      <c r="F48" s="2"/>
      <c r="G48" s="2"/>
    </row>
    <row r="49">
      <c r="A49" s="5">
        <v>28.0</v>
      </c>
      <c r="B49" s="5">
        <v>36.0</v>
      </c>
      <c r="C49" s="2" t="str">
        <f t="shared" si="6"/>
        <v>1</v>
      </c>
      <c r="D49" s="2" t="str">
        <f t="shared" si="7"/>
        <v>11010101011001100111100001010</v>
      </c>
      <c r="E49" s="2"/>
      <c r="F49" s="2"/>
      <c r="G49" s="2"/>
    </row>
    <row r="50">
      <c r="A50" s="5">
        <v>29.0</v>
      </c>
      <c r="B50" s="5">
        <v>63.0</v>
      </c>
      <c r="C50" s="2" t="str">
        <f t="shared" si="6"/>
        <v>1</v>
      </c>
      <c r="D50" s="2" t="str">
        <f t="shared" si="7"/>
        <v>1010101011001100111100001010</v>
      </c>
      <c r="E50" s="2"/>
      <c r="F50" s="2"/>
      <c r="G50" s="2"/>
    </row>
    <row r="51">
      <c r="A51" s="5">
        <v>30.0</v>
      </c>
      <c r="B51" s="5">
        <v>55.0</v>
      </c>
      <c r="C51" s="2" t="str">
        <f t="shared" si="6"/>
        <v>0</v>
      </c>
      <c r="D51" s="2" t="str">
        <f t="shared" si="7"/>
        <v>010101011001100111100001010</v>
      </c>
      <c r="E51" s="2"/>
      <c r="F51" s="2"/>
      <c r="G51" s="2"/>
    </row>
    <row r="52">
      <c r="A52" s="5">
        <v>31.0</v>
      </c>
      <c r="B52" s="5">
        <v>47.0</v>
      </c>
      <c r="C52" s="2" t="str">
        <f t="shared" si="6"/>
        <v>1</v>
      </c>
      <c r="D52" s="2" t="str">
        <f t="shared" si="7"/>
        <v>10101011001100111100001010</v>
      </c>
      <c r="E52" s="2"/>
      <c r="F52" s="2"/>
      <c r="G52" s="2"/>
    </row>
    <row r="53">
      <c r="A53" s="5">
        <v>32.0</v>
      </c>
      <c r="B53" s="5">
        <v>39.0</v>
      </c>
      <c r="C53" s="2" t="str">
        <f t="shared" si="6"/>
        <v>0</v>
      </c>
      <c r="D53" s="2" t="str">
        <f t="shared" si="7"/>
        <v>0101011001100111100001010</v>
      </c>
      <c r="E53" s="2"/>
      <c r="F53" s="2"/>
      <c r="G53" s="2"/>
    </row>
    <row r="54">
      <c r="A54" s="5">
        <v>33.0</v>
      </c>
      <c r="B54" s="5">
        <v>31.0</v>
      </c>
      <c r="C54" s="2" t="str">
        <f t="shared" si="6"/>
        <v>1</v>
      </c>
      <c r="D54" s="2" t="str">
        <f t="shared" si="7"/>
        <v>101011001100111100001010</v>
      </c>
      <c r="E54" s="2"/>
      <c r="F54" s="2"/>
      <c r="G54" s="2"/>
    </row>
    <row r="55">
      <c r="A55" s="5">
        <v>34.0</v>
      </c>
      <c r="B55" s="5">
        <v>23.0</v>
      </c>
      <c r="C55" s="2" t="str">
        <f t="shared" si="6"/>
        <v>0</v>
      </c>
      <c r="D55" s="2" t="str">
        <f t="shared" si="7"/>
        <v>01011001100111100001010</v>
      </c>
      <c r="E55" s="2"/>
      <c r="F55" s="2"/>
      <c r="G55" s="2"/>
    </row>
    <row r="56">
      <c r="A56" s="5">
        <v>35.0</v>
      </c>
      <c r="B56" s="5">
        <v>15.0</v>
      </c>
      <c r="C56" s="2" t="str">
        <f t="shared" si="6"/>
        <v>1</v>
      </c>
      <c r="D56" s="2" t="str">
        <f t="shared" si="7"/>
        <v>1011001100111100001010</v>
      </c>
      <c r="E56" s="2"/>
      <c r="F56" s="2"/>
      <c r="G56" s="2"/>
    </row>
    <row r="57">
      <c r="A57" s="5">
        <v>36.0</v>
      </c>
      <c r="B57" s="5">
        <v>7.0</v>
      </c>
      <c r="C57" s="2" t="str">
        <f t="shared" si="6"/>
        <v>0</v>
      </c>
      <c r="D57" s="2" t="str">
        <f t="shared" si="7"/>
        <v>011001100111100001010</v>
      </c>
      <c r="E57" s="2"/>
      <c r="F57" s="2"/>
      <c r="G57" s="2"/>
    </row>
    <row r="58">
      <c r="A58" s="5">
        <v>37.0</v>
      </c>
      <c r="B58" s="5">
        <v>62.0</v>
      </c>
      <c r="C58" s="2" t="str">
        <f t="shared" si="6"/>
        <v>1</v>
      </c>
      <c r="D58" s="2" t="str">
        <f t="shared" si="7"/>
        <v>11001100111100001010</v>
      </c>
      <c r="E58" s="2"/>
      <c r="F58" s="2"/>
      <c r="G58" s="2"/>
    </row>
    <row r="59">
      <c r="A59" s="5">
        <v>38.0</v>
      </c>
      <c r="B59" s="5">
        <v>54.0</v>
      </c>
      <c r="C59" s="2" t="str">
        <f t="shared" si="6"/>
        <v>1</v>
      </c>
      <c r="D59" s="2" t="str">
        <f t="shared" si="7"/>
        <v>1001100111100001010</v>
      </c>
      <c r="E59" s="2"/>
      <c r="F59" s="2"/>
      <c r="G59" s="2"/>
    </row>
    <row r="60">
      <c r="A60" s="5">
        <v>39.0</v>
      </c>
      <c r="B60" s="5">
        <v>46.0</v>
      </c>
      <c r="C60" s="2" t="str">
        <f t="shared" si="6"/>
        <v>0</v>
      </c>
      <c r="D60" s="2" t="str">
        <f t="shared" si="7"/>
        <v>001100111100001010</v>
      </c>
      <c r="E60" s="2"/>
      <c r="F60" s="2"/>
      <c r="G60" s="2"/>
    </row>
    <row r="61">
      <c r="A61" s="5">
        <v>40.0</v>
      </c>
      <c r="B61" s="5">
        <v>38.0</v>
      </c>
      <c r="C61" s="2" t="str">
        <f t="shared" si="6"/>
        <v>0</v>
      </c>
      <c r="D61" s="2" t="str">
        <f t="shared" si="7"/>
        <v>01100111100001010</v>
      </c>
      <c r="E61" s="2"/>
      <c r="F61" s="2"/>
      <c r="G61" s="2"/>
    </row>
    <row r="62">
      <c r="A62" s="5">
        <v>41.0</v>
      </c>
      <c r="B62" s="5">
        <v>30.0</v>
      </c>
      <c r="C62" s="2" t="str">
        <f t="shared" si="6"/>
        <v>1</v>
      </c>
      <c r="D62" s="2" t="str">
        <f t="shared" si="7"/>
        <v>1100111100001010</v>
      </c>
      <c r="E62" s="2"/>
      <c r="F62" s="2"/>
      <c r="G62" s="2"/>
    </row>
    <row r="63">
      <c r="A63" s="5">
        <v>42.0</v>
      </c>
      <c r="B63" s="5">
        <v>22.0</v>
      </c>
      <c r="C63" s="2" t="str">
        <f t="shared" si="6"/>
        <v>1</v>
      </c>
      <c r="D63" s="2" t="str">
        <f t="shared" si="7"/>
        <v>100111100001010</v>
      </c>
      <c r="E63" s="2"/>
      <c r="F63" s="2"/>
      <c r="G63" s="2"/>
    </row>
    <row r="64">
      <c r="A64" s="5">
        <v>43.0</v>
      </c>
      <c r="B64" s="5">
        <v>14.0</v>
      </c>
      <c r="C64" s="2" t="str">
        <f t="shared" si="6"/>
        <v>0</v>
      </c>
      <c r="D64" s="2" t="str">
        <f t="shared" si="7"/>
        <v>00111100001010</v>
      </c>
      <c r="E64" s="2"/>
      <c r="F64" s="2"/>
      <c r="G64" s="2"/>
    </row>
    <row r="65">
      <c r="A65" s="5">
        <v>44.0</v>
      </c>
      <c r="B65" s="5">
        <v>6.0</v>
      </c>
      <c r="C65" s="2" t="str">
        <f t="shared" si="6"/>
        <v>0</v>
      </c>
      <c r="D65" s="2" t="str">
        <f t="shared" si="7"/>
        <v>0111100001010</v>
      </c>
      <c r="E65" s="2"/>
      <c r="F65" s="2"/>
      <c r="G65" s="2"/>
    </row>
    <row r="66">
      <c r="A66" s="5">
        <v>45.0</v>
      </c>
      <c r="B66" s="5">
        <v>61.0</v>
      </c>
      <c r="C66" s="2" t="str">
        <f t="shared" si="6"/>
        <v>1</v>
      </c>
      <c r="D66" s="2" t="str">
        <f t="shared" si="7"/>
        <v>111100001010</v>
      </c>
      <c r="E66" s="2"/>
      <c r="F66" s="2"/>
      <c r="G66" s="2"/>
    </row>
    <row r="67">
      <c r="A67" s="5">
        <v>46.0</v>
      </c>
      <c r="B67" s="5">
        <v>53.0</v>
      </c>
      <c r="C67" s="2" t="str">
        <f t="shared" si="6"/>
        <v>1</v>
      </c>
      <c r="D67" s="2" t="str">
        <f t="shared" si="7"/>
        <v>11100001010</v>
      </c>
      <c r="E67" s="2"/>
      <c r="F67" s="2"/>
      <c r="G67" s="2"/>
    </row>
    <row r="68">
      <c r="A68" s="5">
        <v>47.0</v>
      </c>
      <c r="B68" s="5">
        <v>45.0</v>
      </c>
      <c r="C68" s="2" t="str">
        <f t="shared" si="6"/>
        <v>1</v>
      </c>
      <c r="D68" s="2" t="str">
        <f t="shared" si="7"/>
        <v>1100001010</v>
      </c>
      <c r="E68" s="2"/>
      <c r="F68" s="2"/>
      <c r="G68" s="2"/>
    </row>
    <row r="69">
      <c r="A69" s="5">
        <v>48.0</v>
      </c>
      <c r="B69" s="5">
        <v>37.0</v>
      </c>
      <c r="C69" s="2" t="str">
        <f t="shared" si="6"/>
        <v>1</v>
      </c>
      <c r="D69" s="2" t="str">
        <f t="shared" si="7"/>
        <v>100001010</v>
      </c>
      <c r="E69" s="2"/>
      <c r="F69" s="2"/>
      <c r="G69" s="2"/>
    </row>
    <row r="70">
      <c r="A70" s="5">
        <v>49.0</v>
      </c>
      <c r="B70" s="5">
        <v>29.0</v>
      </c>
      <c r="C70" s="2" t="str">
        <f t="shared" si="6"/>
        <v>0</v>
      </c>
      <c r="D70" s="2" t="str">
        <f t="shared" si="7"/>
        <v>00001010</v>
      </c>
      <c r="E70" s="2"/>
      <c r="F70" s="2"/>
      <c r="G70" s="2"/>
    </row>
    <row r="71">
      <c r="A71" s="5">
        <v>50.0</v>
      </c>
      <c r="B71" s="5">
        <v>21.0</v>
      </c>
      <c r="C71" s="2" t="str">
        <f t="shared" si="6"/>
        <v>0</v>
      </c>
      <c r="D71" s="2" t="str">
        <f t="shared" si="7"/>
        <v>0001010</v>
      </c>
      <c r="E71" s="2"/>
      <c r="F71" s="2"/>
      <c r="G71" s="2"/>
    </row>
    <row r="72">
      <c r="A72" s="5">
        <v>51.0</v>
      </c>
      <c r="B72" s="5">
        <v>13.0</v>
      </c>
      <c r="C72" s="2" t="str">
        <f t="shared" si="6"/>
        <v>0</v>
      </c>
      <c r="D72" s="2" t="str">
        <f t="shared" si="7"/>
        <v>001010</v>
      </c>
      <c r="E72" s="2"/>
      <c r="F72" s="2"/>
      <c r="G72" s="2"/>
    </row>
    <row r="73">
      <c r="A73" s="5">
        <v>52.0</v>
      </c>
      <c r="B73" s="5">
        <v>5.0</v>
      </c>
      <c r="C73" s="2" t="str">
        <f t="shared" si="6"/>
        <v>0</v>
      </c>
      <c r="D73" s="2" t="str">
        <f t="shared" si="7"/>
        <v>01010</v>
      </c>
      <c r="E73" s="2"/>
      <c r="F73" s="2"/>
      <c r="G73" s="2"/>
    </row>
    <row r="74">
      <c r="A74" s="5">
        <v>53.0</v>
      </c>
      <c r="B74" s="5">
        <v>28.0</v>
      </c>
      <c r="C74" s="2" t="str">
        <f t="shared" si="6"/>
        <v>1</v>
      </c>
      <c r="D74" s="2" t="str">
        <f t="shared" si="7"/>
        <v>1010</v>
      </c>
      <c r="E74" s="2"/>
      <c r="F74" s="2"/>
      <c r="G74" s="2"/>
    </row>
    <row r="75">
      <c r="A75" s="5">
        <v>54.0</v>
      </c>
      <c r="B75" s="5">
        <v>20.0</v>
      </c>
      <c r="C75" s="2" t="str">
        <f t="shared" si="6"/>
        <v>0</v>
      </c>
      <c r="D75" s="2" t="str">
        <f t="shared" si="7"/>
        <v>010</v>
      </c>
      <c r="E75" s="2"/>
      <c r="F75" s="2"/>
      <c r="G75" s="2"/>
    </row>
    <row r="76">
      <c r="A76" s="5">
        <v>55.0</v>
      </c>
      <c r="B76" s="5">
        <v>12.0</v>
      </c>
      <c r="C76" s="2" t="str">
        <f t="shared" si="6"/>
        <v>1</v>
      </c>
      <c r="D76" s="2" t="str">
        <f>C76&amp;C77</f>
        <v>10</v>
      </c>
      <c r="E76" s="2"/>
      <c r="F76" s="2"/>
      <c r="G76" s="2"/>
    </row>
    <row r="77">
      <c r="A77" s="5">
        <v>56.0</v>
      </c>
      <c r="B77" s="5">
        <v>4.0</v>
      </c>
      <c r="C77" s="2" t="str">
        <f t="shared" si="6"/>
        <v>0</v>
      </c>
      <c r="D77" s="2"/>
      <c r="E77" s="2"/>
      <c r="F77" s="2"/>
      <c r="G77" s="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13</v>
      </c>
      <c r="Q1" s="6" t="s">
        <v>14</v>
      </c>
      <c r="R1" s="6" t="s">
        <v>4</v>
      </c>
      <c r="U1" s="6" t="s">
        <v>15</v>
      </c>
      <c r="V1" s="7" t="str">
        <f>S9</f>
        <v>10011111110101111010010110011010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9</v>
      </c>
      <c r="R2" s="7" t="str">
        <f t="shared" si="1"/>
        <v>1001</v>
      </c>
    </row>
    <row r="3">
      <c r="A3" s="1">
        <v>1.0</v>
      </c>
      <c r="B3" s="3" t="str">
        <f t="shared" ref="B3:B8" si="3">MID($B$1,(A3-1)*8+1,8)</f>
        <v>00011011</v>
      </c>
      <c r="C3" s="3" t="str">
        <f t="shared" ref="C3:C8" si="4">BIN2HEX(B3,2)</f>
        <v>1B</v>
      </c>
      <c r="Q3" s="7">
        <f t="shared" ref="Q3:R3" si="2">G64</f>
        <v>15</v>
      </c>
      <c r="R3" s="7" t="str">
        <f t="shared" si="2"/>
        <v>1111</v>
      </c>
      <c r="S3" s="7" t="str">
        <f>R2&amp;R3</f>
        <v>10011111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00000010</v>
      </c>
      <c r="C4" s="3" t="str">
        <f t="shared" si="4"/>
        <v>02</v>
      </c>
      <c r="Q4" s="7">
        <f t="shared" ref="Q4:R4" si="5">G65</f>
        <v>13</v>
      </c>
      <c r="R4" s="7" t="str">
        <f t="shared" si="5"/>
        <v>1101</v>
      </c>
      <c r="S4" s="7" t="str">
        <f t="shared" ref="S4:S9" si="7">S3&amp;R4</f>
        <v>100111111101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11101111</v>
      </c>
      <c r="C5" s="3" t="str">
        <f t="shared" si="4"/>
        <v>EF</v>
      </c>
      <c r="Q5" s="7">
        <f t="shared" ref="Q5:R5" si="6">G66</f>
        <v>7</v>
      </c>
      <c r="R5" s="7" t="str">
        <f t="shared" si="6"/>
        <v>0111</v>
      </c>
      <c r="S5" s="7" t="str">
        <f t="shared" si="7"/>
        <v>1001111111010111</v>
      </c>
      <c r="U5" s="8">
        <v>2.0</v>
      </c>
      <c r="V5" s="8">
        <v>7.0</v>
      </c>
      <c r="W5" s="7" t="str">
        <f t="shared" si="8"/>
        <v>1</v>
      </c>
      <c r="X5" s="7" t="str">
        <f>W4&amp;W5</f>
        <v>11</v>
      </c>
    </row>
    <row r="6">
      <c r="A6" s="1">
        <v>4.0</v>
      </c>
      <c r="B6" s="3" t="str">
        <f t="shared" si="3"/>
        <v>11011011</v>
      </c>
      <c r="C6" s="3" t="str">
        <f t="shared" si="4"/>
        <v>DB</v>
      </c>
      <c r="Q6" s="7">
        <f t="shared" ref="Q6:R6" si="9">G67</f>
        <v>10</v>
      </c>
      <c r="R6" s="7" t="str">
        <f t="shared" si="9"/>
        <v>1010</v>
      </c>
      <c r="S6" s="7" t="str">
        <f t="shared" si="7"/>
        <v>10011111110101111010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110</v>
      </c>
    </row>
    <row r="7">
      <c r="A7" s="1">
        <v>5.0</v>
      </c>
      <c r="B7" s="3" t="str">
        <f t="shared" si="3"/>
        <v>01001001</v>
      </c>
      <c r="C7" s="3" t="str">
        <f t="shared" si="4"/>
        <v>49</v>
      </c>
      <c r="Q7" s="7">
        <f t="shared" ref="Q7:R7" si="10">G68</f>
        <v>5</v>
      </c>
      <c r="R7" s="7" t="str">
        <f t="shared" si="10"/>
        <v>0101</v>
      </c>
      <c r="S7" s="7" t="str">
        <f t="shared" si="7"/>
        <v>100111111101011110100101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1100</v>
      </c>
    </row>
    <row r="8">
      <c r="A8" s="1">
        <v>6.0</v>
      </c>
      <c r="B8" s="3" t="str">
        <f t="shared" si="3"/>
        <v>10100101</v>
      </c>
      <c r="C8" s="3" t="str">
        <f t="shared" si="4"/>
        <v>A5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9</v>
      </c>
      <c r="R8" s="7" t="str">
        <f t="shared" si="12"/>
        <v>1001</v>
      </c>
      <c r="S8" s="7" t="str">
        <f t="shared" si="7"/>
        <v>1001111111010111101001011001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11001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10</v>
      </c>
      <c r="R9" s="7" t="str">
        <f t="shared" si="13"/>
        <v>1010</v>
      </c>
      <c r="S9" s="7" t="str">
        <f t="shared" si="7"/>
        <v>10011111110101111010010110011010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110011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1100111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11001111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1</v>
      </c>
      <c r="X12" s="7" t="str">
        <f t="shared" si="11"/>
        <v>110011111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1</v>
      </c>
      <c r="X13" s="7" t="str">
        <f t="shared" si="11"/>
        <v>1100111111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11001111110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110011111100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1100111111001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11001111110010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110011111100101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1100111111001011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22</v>
      </c>
      <c r="N20" s="10" t="str">
        <f>LEFT(L8,32)</f>
        <v>10011000111111101100110000000000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0</v>
      </c>
      <c r="X20" s="7" t="str">
        <f t="shared" si="11"/>
        <v>11001111110010110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25</v>
      </c>
      <c r="N21" s="7" t="str">
        <f>RIGHT(L8,32)</f>
        <v>11100000010101001111000010101010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011100000000001010101001011110100001010101010101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110011111100101101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11100000000001010101001011110100001010101010101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1100111111001011011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1100000000001010101001011110100001010101010101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11001111110010110111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01110000</v>
      </c>
      <c r="O24" s="3" t="str">
        <f t="shared" ref="O24:O31" si="24">BIN2HEX(N24,2)</f>
        <v>70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100000000001010101001011110100001010101010101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110011111100101101110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00000010</v>
      </c>
      <c r="O25" s="3" t="str">
        <f t="shared" si="24"/>
        <v>02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00000000001010101001011110100001010101010101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1100111111001011011100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10101001</v>
      </c>
      <c r="O26" s="3" t="str">
        <f t="shared" si="24"/>
        <v>A9</v>
      </c>
      <c r="Q26" s="8">
        <v>6.0</v>
      </c>
      <c r="R26" s="8">
        <v>5.0</v>
      </c>
      <c r="S26" s="7" t="str">
        <f t="shared" si="21"/>
        <v>0</v>
      </c>
      <c r="T26" s="7" t="str">
        <f t="shared" si="22"/>
        <v>0000000001010101001011110100001010101010101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11001111110010110111000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01111010</v>
      </c>
      <c r="O27" s="3" t="str">
        <f t="shared" si="24"/>
        <v>7A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000000001010101001011110100001010101010101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110011111100101101110001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00010101</v>
      </c>
      <c r="O28" s="3" t="str">
        <f t="shared" si="24"/>
        <v>15</v>
      </c>
      <c r="Q28" s="8">
        <v>8.0</v>
      </c>
      <c r="R28" s="8">
        <v>5.0</v>
      </c>
      <c r="S28" s="7" t="str">
        <f t="shared" si="21"/>
        <v>0</v>
      </c>
      <c r="T28" s="7" t="str">
        <f t="shared" si="22"/>
        <v>00000001010101001011110100001010101010101</v>
      </c>
      <c r="U28" s="8">
        <v>25.0</v>
      </c>
      <c r="V28" s="8">
        <v>19.0</v>
      </c>
      <c r="W28" s="7" t="str">
        <f t="shared" si="8"/>
        <v>1</v>
      </c>
      <c r="X28" s="7" t="str">
        <f t="shared" si="11"/>
        <v>1100111111001011011100011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01010101</v>
      </c>
      <c r="O29" s="3" t="str">
        <f t="shared" si="24"/>
        <v>55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0000001010101001011110100001010101010101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11001111110010110111000110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0</v>
      </c>
      <c r="T30" s="7" t="str">
        <f t="shared" si="22"/>
        <v>000001010101001011110100001010101010101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110011111100101101110001100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00001010101001011110100001010101010101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1100111111001011011100011001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0001010101001011110100001010101010101</v>
      </c>
      <c r="U32" s="8">
        <v>29.0</v>
      </c>
      <c r="V32" s="8">
        <v>22.0</v>
      </c>
      <c r="W32" s="7" t="str">
        <f t="shared" si="8"/>
        <v>1</v>
      </c>
      <c r="X32" s="7" t="str">
        <f t="shared" si="11"/>
        <v>11001111110010110111000110011</v>
      </c>
    </row>
    <row r="33">
      <c r="A33" s="6" t="s">
        <v>12</v>
      </c>
      <c r="B33" s="7" t="str">
        <f>B1</f>
        <v>000110110000001011101111110110110100100110100101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001010101001011110100001010101010101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110011111100101101110001100110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01010101001011110100001010101010101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1100111111001011011100011001101</v>
      </c>
    </row>
    <row r="35">
      <c r="A35" s="1">
        <v>1.0</v>
      </c>
      <c r="B35" s="3" t="str">
        <f t="shared" ref="B35:B40" si="25">MID($B$1,(A35-1)*8+1,8)</f>
        <v>00011011</v>
      </c>
      <c r="C35" s="3" t="str">
        <f t="shared" ref="C35:C40" si="26">BIN2HEX(B35,2)</f>
        <v>1B</v>
      </c>
      <c r="D35" s="3">
        <f t="shared" ref="D35:D40" si="27">BIN2DEC(B35)</f>
        <v>27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1010101001011110100001010101010101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11001111110010110111000110011011</v>
      </c>
    </row>
    <row r="36">
      <c r="A36" s="1">
        <v>2.0</v>
      </c>
      <c r="B36" s="3" t="str">
        <f t="shared" si="25"/>
        <v>00000010</v>
      </c>
      <c r="C36" s="3" t="str">
        <f t="shared" si="26"/>
        <v>02</v>
      </c>
      <c r="D36" s="3">
        <f t="shared" si="27"/>
        <v>2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010101001011110100001010101010101</v>
      </c>
    </row>
    <row r="37">
      <c r="A37" s="1">
        <v>3.0</v>
      </c>
      <c r="B37" s="3" t="str">
        <f t="shared" si="25"/>
        <v>11101111</v>
      </c>
      <c r="C37" s="3" t="str">
        <f t="shared" si="26"/>
        <v>EF</v>
      </c>
      <c r="D37" s="3">
        <f t="shared" si="27"/>
        <v>239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1</v>
      </c>
      <c r="T37" s="7" t="str">
        <f t="shared" si="22"/>
        <v>10101001011110100001010101010101</v>
      </c>
    </row>
    <row r="38">
      <c r="A38" s="1">
        <v>4.0</v>
      </c>
      <c r="B38" s="3" t="str">
        <f t="shared" si="25"/>
        <v>11011011</v>
      </c>
      <c r="C38" s="3" t="str">
        <f t="shared" si="26"/>
        <v>DB</v>
      </c>
      <c r="D38" s="3">
        <f t="shared" si="27"/>
        <v>219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0</v>
      </c>
      <c r="T38" s="7" t="str">
        <f t="shared" si="22"/>
        <v>0101001011110100001010101010101</v>
      </c>
      <c r="U38" s="11" t="s">
        <v>27</v>
      </c>
      <c r="V38" s="12" t="str">
        <f>X35</f>
        <v>11001111110010110111000110011011</v>
      </c>
      <c r="W38" s="12"/>
      <c r="X38" s="12"/>
    </row>
    <row r="39">
      <c r="A39" s="1">
        <v>5.0</v>
      </c>
      <c r="B39" s="3" t="str">
        <f t="shared" si="25"/>
        <v>01001001</v>
      </c>
      <c r="C39" s="3" t="str">
        <f t="shared" si="26"/>
        <v>49</v>
      </c>
      <c r="D39" s="3">
        <f t="shared" si="27"/>
        <v>73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1</v>
      </c>
      <c r="T39" s="7" t="str">
        <f t="shared" si="22"/>
        <v>101001011110100001010101010101</v>
      </c>
    </row>
    <row r="40">
      <c r="A40" s="1">
        <v>6.0</v>
      </c>
      <c r="B40" s="3" t="str">
        <f t="shared" si="25"/>
        <v>10100101</v>
      </c>
      <c r="C40" s="3" t="str">
        <f t="shared" si="26"/>
        <v>A5</v>
      </c>
      <c r="D40" s="3">
        <f t="shared" si="27"/>
        <v>165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0</v>
      </c>
      <c r="T40" s="7" t="str">
        <f t="shared" si="22"/>
        <v>01001011110100001010101010101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1001011110100001010101010101</v>
      </c>
      <c r="U41" s="6" t="s">
        <v>29</v>
      </c>
      <c r="V41" s="7" t="str">
        <f>N20</f>
        <v>10011000111111101100110000000000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011100000000001010101001011110100001010101010101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001011110100001010101010101</v>
      </c>
    </row>
    <row r="43">
      <c r="A43" s="1">
        <v>1.0</v>
      </c>
      <c r="B43" s="3" t="str">
        <f t="shared" ref="B43:B48" si="28">MID($T$21,(A43-1)*8+1,8)</f>
        <v>01110000</v>
      </c>
      <c r="C43" s="3" t="str">
        <f t="shared" ref="C43:C48" si="29">BIN2HEX(B43,2)</f>
        <v>70</v>
      </c>
      <c r="D43" s="3">
        <f t="shared" ref="D43:D48" si="30">BIN2DEC(B43)</f>
        <v>112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01011110100001010101010101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00000010</v>
      </c>
      <c r="C44" s="3" t="str">
        <f t="shared" si="29"/>
        <v>02</v>
      </c>
      <c r="D44" s="3">
        <f t="shared" si="30"/>
        <v>2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1011110100001010101010101</v>
      </c>
      <c r="U44" s="1">
        <v>1.0</v>
      </c>
      <c r="V44" s="3" t="str">
        <f t="shared" ref="V44:V47" si="31">MID($V$38,(U44-1)*8+1,8)</f>
        <v>11001111</v>
      </c>
      <c r="W44" s="3" t="str">
        <f t="shared" ref="W44:W47" si="32">BIN2HEX(V44,2)</f>
        <v>CF</v>
      </c>
      <c r="X44" s="3">
        <f t="shared" ref="X44:X47" si="33">HEX2DEC(W44)</f>
        <v>207</v>
      </c>
    </row>
    <row r="45">
      <c r="A45" s="1">
        <v>3.0</v>
      </c>
      <c r="B45" s="3" t="str">
        <f t="shared" si="28"/>
        <v>10101001</v>
      </c>
      <c r="C45" s="3" t="str">
        <f t="shared" si="29"/>
        <v>A9</v>
      </c>
      <c r="D45" s="3">
        <f t="shared" si="30"/>
        <v>169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011110100001010101010101</v>
      </c>
      <c r="U45" s="1">
        <v>2.0</v>
      </c>
      <c r="V45" s="3" t="str">
        <f t="shared" si="31"/>
        <v>11001011</v>
      </c>
      <c r="W45" s="3" t="str">
        <f t="shared" si="32"/>
        <v>CB</v>
      </c>
      <c r="X45" s="3">
        <f t="shared" si="33"/>
        <v>203</v>
      </c>
    </row>
    <row r="46">
      <c r="A46" s="1">
        <v>4.0</v>
      </c>
      <c r="B46" s="3" t="str">
        <f t="shared" si="28"/>
        <v>01111010</v>
      </c>
      <c r="C46" s="3" t="str">
        <f t="shared" si="29"/>
        <v>7A</v>
      </c>
      <c r="D46" s="3">
        <f t="shared" si="30"/>
        <v>122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11110100001010101010101</v>
      </c>
      <c r="U46" s="1">
        <v>3.0</v>
      </c>
      <c r="V46" s="3" t="str">
        <f t="shared" si="31"/>
        <v>01110001</v>
      </c>
      <c r="W46" s="3" t="str">
        <f t="shared" si="32"/>
        <v>71</v>
      </c>
      <c r="X46" s="3">
        <f t="shared" si="33"/>
        <v>113</v>
      </c>
    </row>
    <row r="47">
      <c r="A47" s="1">
        <v>5.0</v>
      </c>
      <c r="B47" s="3" t="str">
        <f t="shared" si="28"/>
        <v>00010101</v>
      </c>
      <c r="C47" s="3" t="str">
        <f t="shared" si="29"/>
        <v>15</v>
      </c>
      <c r="D47" s="3">
        <f t="shared" si="30"/>
        <v>21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1110100001010101010101</v>
      </c>
      <c r="U47" s="1">
        <v>4.0</v>
      </c>
      <c r="V47" s="3" t="str">
        <f t="shared" si="31"/>
        <v>10011011</v>
      </c>
      <c r="W47" s="3" t="str">
        <f t="shared" si="32"/>
        <v>9B</v>
      </c>
      <c r="X47" s="3">
        <f t="shared" si="33"/>
        <v>155</v>
      </c>
    </row>
    <row r="48">
      <c r="A48" s="1">
        <v>6.0</v>
      </c>
      <c r="B48" s="3" t="str">
        <f t="shared" si="28"/>
        <v>01010101</v>
      </c>
      <c r="C48" s="3" t="str">
        <f t="shared" si="29"/>
        <v>55</v>
      </c>
      <c r="D48" s="3">
        <f t="shared" si="30"/>
        <v>85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110100001010101010101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10100001010101010101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0100001010101010101</v>
      </c>
    </row>
    <row r="51">
      <c r="A51" s="6">
        <v>1.0</v>
      </c>
      <c r="B51" s="7">
        <f t="shared" ref="B51:B56" si="34">BITXOR(D35,D43)</f>
        <v>107</v>
      </c>
      <c r="C51" s="7" t="str">
        <f t="shared" ref="C51:C56" si="35">DEC2BIN(B51,8)</f>
        <v>01101011</v>
      </c>
      <c r="D51" s="7" t="str">
        <f t="shared" ref="D51:D56" si="36">DEC2HEX(B51,2)</f>
        <v>6B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100001010101010101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0</v>
      </c>
      <c r="C52" s="7" t="str">
        <f t="shared" si="35"/>
        <v>00000000</v>
      </c>
      <c r="D52" s="7" t="str">
        <f t="shared" si="36"/>
        <v>00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00001010101010101</v>
      </c>
      <c r="U52" s="1">
        <v>1.0</v>
      </c>
      <c r="V52" s="3" t="str">
        <f t="shared" ref="V52:V55" si="37">MID($V$41,(U52-1)*8+1,8)</f>
        <v>10011000</v>
      </c>
      <c r="W52" s="3" t="str">
        <f t="shared" ref="W52:W55" si="38">BIN2HEX(V52,2)</f>
        <v>98</v>
      </c>
      <c r="X52" s="3">
        <f t="shared" ref="X52:X55" si="39">HEX2DEC(W52)</f>
        <v>152</v>
      </c>
    </row>
    <row r="53">
      <c r="A53" s="6">
        <v>3.0</v>
      </c>
      <c r="B53" s="7">
        <f t="shared" si="34"/>
        <v>70</v>
      </c>
      <c r="C53" s="7" t="str">
        <f t="shared" si="35"/>
        <v>01000110</v>
      </c>
      <c r="D53" s="7" t="str">
        <f t="shared" si="36"/>
        <v>46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0001010101010101</v>
      </c>
      <c r="U53" s="1">
        <v>2.0</v>
      </c>
      <c r="V53" s="3" t="str">
        <f t="shared" si="37"/>
        <v>11111110</v>
      </c>
      <c r="W53" s="3" t="str">
        <f t="shared" si="38"/>
        <v>FE</v>
      </c>
      <c r="X53" s="3">
        <f t="shared" si="39"/>
        <v>254</v>
      </c>
    </row>
    <row r="54">
      <c r="A54" s="6">
        <v>4.0</v>
      </c>
      <c r="B54" s="7">
        <f t="shared" si="34"/>
        <v>161</v>
      </c>
      <c r="C54" s="7" t="str">
        <f t="shared" si="35"/>
        <v>10100001</v>
      </c>
      <c r="D54" s="7" t="str">
        <f t="shared" si="36"/>
        <v>A1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001010101010101</v>
      </c>
      <c r="U54" s="1">
        <v>3.0</v>
      </c>
      <c r="V54" s="3" t="str">
        <f t="shared" si="37"/>
        <v>11001100</v>
      </c>
      <c r="W54" s="3" t="str">
        <f t="shared" si="38"/>
        <v>CC</v>
      </c>
      <c r="X54" s="3">
        <f t="shared" si="39"/>
        <v>204</v>
      </c>
    </row>
    <row r="55">
      <c r="A55" s="6">
        <v>5.0</v>
      </c>
      <c r="B55" s="7">
        <f t="shared" si="34"/>
        <v>92</v>
      </c>
      <c r="C55" s="7" t="str">
        <f t="shared" si="35"/>
        <v>01011100</v>
      </c>
      <c r="D55" s="7" t="str">
        <f t="shared" si="36"/>
        <v>5C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01010101010101</v>
      </c>
      <c r="U55" s="1">
        <v>4.0</v>
      </c>
      <c r="V55" s="3" t="str">
        <f t="shared" si="37"/>
        <v>00000000</v>
      </c>
      <c r="W55" s="3" t="str">
        <f t="shared" si="38"/>
        <v>00</v>
      </c>
      <c r="X55" s="3">
        <f t="shared" si="39"/>
        <v>0</v>
      </c>
    </row>
    <row r="56">
      <c r="A56" s="6">
        <v>6.0</v>
      </c>
      <c r="B56" s="7">
        <f t="shared" si="34"/>
        <v>240</v>
      </c>
      <c r="C56" s="7" t="str">
        <f t="shared" si="35"/>
        <v>11110000</v>
      </c>
      <c r="D56" s="7" t="str">
        <f t="shared" si="36"/>
        <v>F0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1</v>
      </c>
      <c r="T56" s="7" t="str">
        <f t="shared" si="22"/>
        <v>1010101010101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010101010101</v>
      </c>
      <c r="U57" s="9" t="s">
        <v>32</v>
      </c>
      <c r="V57" s="10" t="str">
        <f>Y62</f>
        <v>01010111001101011011110110011011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1</v>
      </c>
      <c r="T58" s="7" t="str">
        <f t="shared" si="22"/>
        <v>10101010101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011010110000000001000110101000010101110011110000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0101010101</v>
      </c>
      <c r="U59" s="6">
        <v>1.0</v>
      </c>
      <c r="V59" s="7">
        <f t="shared" ref="V59:V62" si="40">BITXOR(X44,X52)</f>
        <v>87</v>
      </c>
      <c r="W59" s="7" t="str">
        <f t="shared" ref="W59:W62" si="41">DEC2HEX(V59)</f>
        <v>57</v>
      </c>
      <c r="X59" s="7" t="str">
        <f t="shared" ref="X59:X62" si="42">HEX2BIN(W59,8)</f>
        <v>01010111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1</v>
      </c>
      <c r="T60" s="7" t="str">
        <f t="shared" si="22"/>
        <v>101010101</v>
      </c>
      <c r="U60" s="6">
        <v>2.0</v>
      </c>
      <c r="V60" s="7">
        <f t="shared" si="40"/>
        <v>53</v>
      </c>
      <c r="W60" s="7" t="str">
        <f t="shared" si="41"/>
        <v>35</v>
      </c>
      <c r="X60" s="7" t="str">
        <f t="shared" si="42"/>
        <v>00110101</v>
      </c>
      <c r="Y60" s="7" t="str">
        <f>X59&amp;X60</f>
        <v>0101011100110101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0</v>
      </c>
      <c r="T61" s="7" t="str">
        <f t="shared" si="22"/>
        <v>01010101</v>
      </c>
      <c r="U61" s="6">
        <v>3.0</v>
      </c>
      <c r="V61" s="7">
        <f t="shared" si="40"/>
        <v>189</v>
      </c>
      <c r="W61" s="7" t="str">
        <f t="shared" si="41"/>
        <v>BD</v>
      </c>
      <c r="X61" s="7" t="str">
        <f t="shared" si="42"/>
        <v>10111101</v>
      </c>
      <c r="Y61" s="7" t="str">
        <f t="shared" ref="Y61:Y62" si="43">Y60&amp;X61</f>
        <v>010101110011010110111101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1010101</v>
      </c>
      <c r="U62" s="6">
        <v>4.0</v>
      </c>
      <c r="V62" s="7">
        <f t="shared" si="40"/>
        <v>155</v>
      </c>
      <c r="W62" s="7" t="str">
        <f t="shared" si="41"/>
        <v>9B</v>
      </c>
      <c r="X62" s="7" t="str">
        <f t="shared" si="42"/>
        <v>10011011</v>
      </c>
      <c r="Y62" s="7" t="str">
        <f t="shared" si="43"/>
        <v>01010111001101011011110110011011</v>
      </c>
    </row>
    <row r="63">
      <c r="A63" s="6">
        <v>1.0</v>
      </c>
      <c r="B63" s="7" t="str">
        <f t="shared" ref="B63:B70" si="44">MID($B$59,(A63-1)*6+1,6)</f>
        <v>011010</v>
      </c>
      <c r="C63" s="7" t="str">
        <f t="shared" ref="C63:C70" si="45">LEFT(B63,1)&amp;RIGHT(B63,1)</f>
        <v>00</v>
      </c>
      <c r="D63" s="7" t="str">
        <f t="shared" ref="D63:D70" si="46">MID(B63,2,4)</f>
        <v>1101</v>
      </c>
      <c r="E63" s="7" t="str">
        <f t="shared" ref="E63:E70" si="47">C63&amp;D63</f>
        <v>001101</v>
      </c>
      <c r="F63" s="7">
        <f t="shared" ref="F63:F70" si="48">BIN2DEC(E63)</f>
        <v>13</v>
      </c>
      <c r="G63" s="7">
        <f>VLOOKUP(F63,$A$79:$I$142,2,TRUE)</f>
        <v>9</v>
      </c>
      <c r="H63" s="7" t="str">
        <f t="shared" ref="H63:H70" si="49">DEC2BIN(G63,4)</f>
        <v>1001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0</v>
      </c>
      <c r="T63" s="7" t="str">
        <f t="shared" si="22"/>
        <v>010101</v>
      </c>
    </row>
    <row r="64">
      <c r="A64" s="6">
        <v>2.0</v>
      </c>
      <c r="B64" s="7" t="str">
        <f t="shared" si="44"/>
        <v>110000</v>
      </c>
      <c r="C64" s="7" t="str">
        <f t="shared" si="45"/>
        <v>10</v>
      </c>
      <c r="D64" s="7" t="str">
        <f t="shared" si="46"/>
        <v>1000</v>
      </c>
      <c r="E64" s="7" t="str">
        <f t="shared" si="47"/>
        <v>101000</v>
      </c>
      <c r="F64" s="7">
        <f t="shared" si="48"/>
        <v>40</v>
      </c>
      <c r="G64" s="7">
        <f>VLOOKUP(F64,$A$79:$I$142,3,TRUE)</f>
        <v>15</v>
      </c>
      <c r="H64" s="7" t="str">
        <f t="shared" si="49"/>
        <v>1111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10101</v>
      </c>
    </row>
    <row r="65">
      <c r="A65" s="6">
        <v>3.0</v>
      </c>
      <c r="B65" s="7" t="str">
        <f t="shared" si="44"/>
        <v>000001</v>
      </c>
      <c r="C65" s="7" t="str">
        <f t="shared" si="45"/>
        <v>01</v>
      </c>
      <c r="D65" s="7" t="str">
        <f t="shared" si="46"/>
        <v>0000</v>
      </c>
      <c r="E65" s="7" t="str">
        <f t="shared" si="47"/>
        <v>010000</v>
      </c>
      <c r="F65" s="7">
        <f t="shared" si="48"/>
        <v>16</v>
      </c>
      <c r="G65" s="7">
        <f>VLOOKUP(F65,$A$79:$I$142,4,TRUE)</f>
        <v>13</v>
      </c>
      <c r="H65" s="7" t="str">
        <f t="shared" si="49"/>
        <v>1101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0101</v>
      </c>
    </row>
    <row r="66">
      <c r="A66" s="6">
        <v>4.0</v>
      </c>
      <c r="B66" s="7" t="str">
        <f t="shared" si="44"/>
        <v>000110</v>
      </c>
      <c r="C66" s="7" t="str">
        <f t="shared" si="45"/>
        <v>00</v>
      </c>
      <c r="D66" s="7" t="str">
        <f t="shared" si="46"/>
        <v>0011</v>
      </c>
      <c r="E66" s="7" t="str">
        <f t="shared" si="47"/>
        <v>000011</v>
      </c>
      <c r="F66" s="7">
        <f t="shared" si="48"/>
        <v>3</v>
      </c>
      <c r="G66" s="7">
        <f>VLOOKUP(F66,$A$79:$I$142,5,TRUE)</f>
        <v>7</v>
      </c>
      <c r="H66" s="7" t="str">
        <f t="shared" si="49"/>
        <v>0111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101</v>
      </c>
    </row>
    <row r="67">
      <c r="A67" s="6">
        <v>5.0</v>
      </c>
      <c r="B67" s="7" t="str">
        <f t="shared" si="44"/>
        <v>101000</v>
      </c>
      <c r="C67" s="7" t="str">
        <f t="shared" si="45"/>
        <v>10</v>
      </c>
      <c r="D67" s="7" t="str">
        <f t="shared" si="46"/>
        <v>0100</v>
      </c>
      <c r="E67" s="7" t="str">
        <f t="shared" si="47"/>
        <v>100100</v>
      </c>
      <c r="F67" s="7">
        <f t="shared" si="48"/>
        <v>36</v>
      </c>
      <c r="G67" s="7">
        <f>VLOOKUP(F67,$A$79:$I$142,6,TRUE)</f>
        <v>10</v>
      </c>
      <c r="H67" s="7" t="str">
        <f t="shared" si="49"/>
        <v>1010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01</v>
      </c>
    </row>
    <row r="68">
      <c r="A68" s="6">
        <v>6.0</v>
      </c>
      <c r="B68" s="7" t="str">
        <f t="shared" si="44"/>
        <v>010101</v>
      </c>
      <c r="C68" s="7" t="str">
        <f t="shared" si="45"/>
        <v>01</v>
      </c>
      <c r="D68" s="7" t="str">
        <f t="shared" si="46"/>
        <v>1010</v>
      </c>
      <c r="E68" s="7" t="str">
        <f t="shared" si="47"/>
        <v>011010</v>
      </c>
      <c r="F68" s="7">
        <f t="shared" si="48"/>
        <v>26</v>
      </c>
      <c r="G68" s="7">
        <f>VLOOKUP(F68,$A$79:$I$142,7,TRUE)</f>
        <v>5</v>
      </c>
      <c r="H68" s="7" t="str">
        <f t="shared" si="49"/>
        <v>0101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110011</v>
      </c>
      <c r="C69" s="7" t="str">
        <f t="shared" si="45"/>
        <v>11</v>
      </c>
      <c r="D69" s="7" t="str">
        <f t="shared" si="46"/>
        <v>1001</v>
      </c>
      <c r="E69" s="7" t="str">
        <f t="shared" si="47"/>
        <v>111001</v>
      </c>
      <c r="F69" s="7">
        <f t="shared" si="48"/>
        <v>57</v>
      </c>
      <c r="G69" s="7">
        <f>VLOOKUP(F69,$A$79:$I$142,8,TRUE)</f>
        <v>9</v>
      </c>
      <c r="H69" s="7" t="str">
        <f t="shared" si="49"/>
        <v>1001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110000</v>
      </c>
      <c r="C70" s="7" t="str">
        <f t="shared" si="45"/>
        <v>10</v>
      </c>
      <c r="D70" s="7" t="str">
        <f t="shared" si="46"/>
        <v>1000</v>
      </c>
      <c r="E70" s="7" t="str">
        <f t="shared" si="47"/>
        <v>101000</v>
      </c>
      <c r="F70" s="7">
        <f t="shared" si="48"/>
        <v>40</v>
      </c>
      <c r="G70" s="7">
        <f>VLOOKUP(F70,$A$79:$I$142,9,TRUE)</f>
        <v>10</v>
      </c>
      <c r="H70" s="7" t="str">
        <f t="shared" si="49"/>
        <v>1010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51</v>
      </c>
      <c r="Q1" s="6" t="s">
        <v>14</v>
      </c>
      <c r="R1" s="6" t="s">
        <v>4</v>
      </c>
      <c r="U1" s="6" t="s">
        <v>15</v>
      </c>
      <c r="V1" s="7" t="str">
        <f>S9</f>
        <v>10011001100001011111000010001010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9</v>
      </c>
      <c r="R2" s="7" t="str">
        <f t="shared" si="1"/>
        <v>1001</v>
      </c>
    </row>
    <row r="3">
      <c r="A3" s="1">
        <v>1.0</v>
      </c>
      <c r="B3" s="3" t="str">
        <f t="shared" ref="B3:B8" si="3">MID($B$1,(A3-1)*8+1,8)</f>
        <v>01101001</v>
      </c>
      <c r="C3" s="3" t="str">
        <f t="shared" ref="C3:C8" si="4">BIN2HEX(B3,2)</f>
        <v>69</v>
      </c>
      <c r="Q3" s="7">
        <f t="shared" ref="Q3:R3" si="2">G64</f>
        <v>9</v>
      </c>
      <c r="R3" s="7" t="str">
        <f t="shared" si="2"/>
        <v>1001</v>
      </c>
      <c r="S3" s="7" t="str">
        <f>R2&amp;R3</f>
        <v>10011001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10101110</v>
      </c>
      <c r="C4" s="3" t="str">
        <f t="shared" si="4"/>
        <v>AE</v>
      </c>
      <c r="Q4" s="7">
        <f t="shared" ref="Q4:R4" si="5">G65</f>
        <v>8</v>
      </c>
      <c r="R4" s="7" t="str">
        <f t="shared" si="5"/>
        <v>1000</v>
      </c>
      <c r="S4" s="7" t="str">
        <f t="shared" ref="S4:S9" si="7">S3&amp;R4</f>
        <v>100110011000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11011001</v>
      </c>
      <c r="C5" s="3" t="str">
        <f t="shared" si="4"/>
        <v>D9</v>
      </c>
      <c r="Q5" s="7">
        <f t="shared" ref="Q5:R5" si="6">G66</f>
        <v>5</v>
      </c>
      <c r="R5" s="7" t="str">
        <f t="shared" si="6"/>
        <v>0101</v>
      </c>
      <c r="S5" s="7" t="str">
        <f t="shared" si="7"/>
        <v>1001100110000101</v>
      </c>
      <c r="U5" s="8">
        <v>2.0</v>
      </c>
      <c r="V5" s="8">
        <v>7.0</v>
      </c>
      <c r="W5" s="7" t="str">
        <f t="shared" si="8"/>
        <v>0</v>
      </c>
      <c r="X5" s="7" t="str">
        <f>W4&amp;W5</f>
        <v>10</v>
      </c>
    </row>
    <row r="6">
      <c r="A6" s="1">
        <v>4.0</v>
      </c>
      <c r="B6" s="3" t="str">
        <f t="shared" si="3"/>
        <v>00100101</v>
      </c>
      <c r="C6" s="3" t="str">
        <f t="shared" si="4"/>
        <v>25</v>
      </c>
      <c r="Q6" s="7">
        <f t="shared" ref="Q6:R6" si="9">G67</f>
        <v>15</v>
      </c>
      <c r="R6" s="7" t="str">
        <f t="shared" si="9"/>
        <v>1111</v>
      </c>
      <c r="S6" s="7" t="str">
        <f t="shared" si="7"/>
        <v>10011001100001011111</v>
      </c>
      <c r="U6" s="8">
        <v>3.0</v>
      </c>
      <c r="V6" s="8">
        <v>20.0</v>
      </c>
      <c r="W6" s="7" t="str">
        <f t="shared" si="8"/>
        <v>1</v>
      </c>
      <c r="X6" s="7" t="str">
        <f t="shared" ref="X6:X35" si="11">X5&amp;W6</f>
        <v>101</v>
      </c>
    </row>
    <row r="7">
      <c r="A7" s="1">
        <v>5.0</v>
      </c>
      <c r="B7" s="3" t="str">
        <f t="shared" si="3"/>
        <v>11101010</v>
      </c>
      <c r="C7" s="3" t="str">
        <f t="shared" si="4"/>
        <v>EA</v>
      </c>
      <c r="Q7" s="7">
        <f t="shared" ref="Q7:R7" si="10">G68</f>
        <v>0</v>
      </c>
      <c r="R7" s="7" t="str">
        <f t="shared" si="10"/>
        <v>0000</v>
      </c>
      <c r="S7" s="7" t="str">
        <f t="shared" si="7"/>
        <v>100110011000010111110000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1010</v>
      </c>
    </row>
    <row r="8">
      <c r="A8" s="1">
        <v>6.0</v>
      </c>
      <c r="B8" s="3" t="str">
        <f t="shared" si="3"/>
        <v>01100110</v>
      </c>
      <c r="C8" s="3" t="str">
        <f t="shared" si="4"/>
        <v>66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8</v>
      </c>
      <c r="R8" s="7" t="str">
        <f t="shared" si="12"/>
        <v>1000</v>
      </c>
      <c r="S8" s="7" t="str">
        <f t="shared" si="7"/>
        <v>1001100110000101111100001000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10101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10</v>
      </c>
      <c r="R9" s="7" t="str">
        <f t="shared" si="13"/>
        <v>1010</v>
      </c>
      <c r="S9" s="7" t="str">
        <f t="shared" si="7"/>
        <v>10011001100001011111000010001010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101010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1010100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10101001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1</v>
      </c>
      <c r="X12" s="7" t="str">
        <f t="shared" si="11"/>
        <v>101010011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1010100110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10101001100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101010011000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1010100110001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10101001100011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101010011000111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1010100110001110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52</v>
      </c>
      <c r="N20" s="10" t="s">
        <v>53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0</v>
      </c>
      <c r="X20" s="7" t="str">
        <f t="shared" si="11"/>
        <v>10101001100011100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54</v>
      </c>
      <c r="N21" s="7" t="s">
        <v>55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101010101110100110101011110111111011110011110110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101010011000111001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01010101110100110101011110111111011110011110110</v>
      </c>
      <c r="U22" s="8">
        <v>19.0</v>
      </c>
      <c r="V22" s="8">
        <v>24.0</v>
      </c>
      <c r="W22" s="7" t="str">
        <f t="shared" si="8"/>
        <v>0</v>
      </c>
      <c r="X22" s="7" t="str">
        <f t="shared" si="11"/>
        <v>1010100110001110010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1010101110100110101011110111111011110011110110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10101001100011100101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10101010</v>
      </c>
      <c r="O24" s="3" t="str">
        <f t="shared" ref="O24:O31" si="24">BIN2HEX(N24,2)</f>
        <v>AA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010101110100110101011110111111011110011110110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101010011000111001010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11101001</v>
      </c>
      <c r="O25" s="3" t="str">
        <f t="shared" si="24"/>
        <v>E9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10101110100110101011110111111011110011110110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1010100110001110010100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10101011</v>
      </c>
      <c r="O26" s="3" t="str">
        <f t="shared" si="24"/>
        <v>AB</v>
      </c>
      <c r="Q26" s="8">
        <v>6.0</v>
      </c>
      <c r="R26" s="8">
        <v>5.0</v>
      </c>
      <c r="S26" s="7" t="str">
        <f t="shared" si="21"/>
        <v>0</v>
      </c>
      <c r="T26" s="7" t="str">
        <f t="shared" si="22"/>
        <v>0101110100110101011110111111011110011110110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10101001100011100101000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11011111</v>
      </c>
      <c r="O27" s="3" t="str">
        <f t="shared" si="24"/>
        <v>DF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101110100110101011110111111011110011110110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101010011000111001010001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10111100</v>
      </c>
      <c r="O28" s="3" t="str">
        <f t="shared" si="24"/>
        <v>BC</v>
      </c>
      <c r="Q28" s="8">
        <v>8.0</v>
      </c>
      <c r="R28" s="8">
        <v>5.0</v>
      </c>
      <c r="S28" s="7" t="str">
        <f t="shared" si="21"/>
        <v>0</v>
      </c>
      <c r="T28" s="7" t="str">
        <f t="shared" si="22"/>
        <v>01110100110101011110111111011110011110110</v>
      </c>
      <c r="U28" s="8">
        <v>25.0</v>
      </c>
      <c r="V28" s="8">
        <v>19.0</v>
      </c>
      <c r="W28" s="7" t="str">
        <f t="shared" si="8"/>
        <v>1</v>
      </c>
      <c r="X28" s="7" t="str">
        <f t="shared" si="11"/>
        <v>1010100110001110010100011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11110110</v>
      </c>
      <c r="O29" s="3" t="str">
        <f t="shared" si="24"/>
        <v>F6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1110100110101011110111111011110011110110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10101001100011100101000110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110100110101011110111111011110011110110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101010011000111001010001100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1</v>
      </c>
      <c r="T31" s="7" t="str">
        <f t="shared" si="22"/>
        <v>10100110101011110111111011110011110110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1010100110001110010100011000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0100110101011110111111011110011110110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10101001100011100101000110000</v>
      </c>
    </row>
    <row r="33">
      <c r="A33" s="6" t="s">
        <v>12</v>
      </c>
      <c r="B33" s="7" t="str">
        <f>B1</f>
        <v>011010011010111011011001001001011110101001100110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1</v>
      </c>
      <c r="T33" s="7" t="str">
        <f t="shared" si="22"/>
        <v>100110101011110111111011110011110110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101010011000111001010001100000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00110101011110111111011110011110110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1010100110001110010100011000001</v>
      </c>
    </row>
    <row r="35">
      <c r="A35" s="1">
        <v>1.0</v>
      </c>
      <c r="B35" s="3" t="str">
        <f t="shared" ref="B35:B40" si="25">MID($B$1,(A35-1)*8+1,8)</f>
        <v>01101001</v>
      </c>
      <c r="C35" s="3" t="str">
        <f t="shared" ref="C35:C40" si="26">BIN2HEX(B35,2)</f>
        <v>69</v>
      </c>
      <c r="D35" s="3">
        <f t="shared" ref="D35:D40" si="27">BIN2DEC(B35)</f>
        <v>105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0</v>
      </c>
      <c r="T35" s="7" t="str">
        <f t="shared" si="22"/>
        <v>0110101011110111111011110011110110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10101001100011100101000110000011</v>
      </c>
    </row>
    <row r="36">
      <c r="A36" s="1">
        <v>2.0</v>
      </c>
      <c r="B36" s="3" t="str">
        <f t="shared" si="25"/>
        <v>10101110</v>
      </c>
      <c r="C36" s="3" t="str">
        <f t="shared" si="26"/>
        <v>AE</v>
      </c>
      <c r="D36" s="3">
        <f t="shared" si="27"/>
        <v>174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110101011110111111011110011110110</v>
      </c>
    </row>
    <row r="37">
      <c r="A37" s="1">
        <v>3.0</v>
      </c>
      <c r="B37" s="3" t="str">
        <f t="shared" si="25"/>
        <v>11011001</v>
      </c>
      <c r="C37" s="3" t="str">
        <f t="shared" si="26"/>
        <v>D9</v>
      </c>
      <c r="D37" s="3">
        <f t="shared" si="27"/>
        <v>217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1</v>
      </c>
      <c r="T37" s="7" t="str">
        <f t="shared" si="22"/>
        <v>10101011110111111011110011110110</v>
      </c>
    </row>
    <row r="38">
      <c r="A38" s="1">
        <v>4.0</v>
      </c>
      <c r="B38" s="3" t="str">
        <f t="shared" si="25"/>
        <v>00100101</v>
      </c>
      <c r="C38" s="3" t="str">
        <f t="shared" si="26"/>
        <v>25</v>
      </c>
      <c r="D38" s="3">
        <f t="shared" si="27"/>
        <v>37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0</v>
      </c>
      <c r="T38" s="7" t="str">
        <f t="shared" si="22"/>
        <v>0101011110111111011110011110110</v>
      </c>
      <c r="U38" s="11" t="s">
        <v>27</v>
      </c>
      <c r="V38" s="12" t="str">
        <f>X35</f>
        <v>10101001100011100101000110000011</v>
      </c>
      <c r="W38" s="12"/>
      <c r="X38" s="12"/>
    </row>
    <row r="39">
      <c r="A39" s="1">
        <v>5.0</v>
      </c>
      <c r="B39" s="3" t="str">
        <f t="shared" si="25"/>
        <v>11101010</v>
      </c>
      <c r="C39" s="3" t="str">
        <f t="shared" si="26"/>
        <v>EA</v>
      </c>
      <c r="D39" s="3">
        <f t="shared" si="27"/>
        <v>234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1</v>
      </c>
      <c r="T39" s="7" t="str">
        <f t="shared" si="22"/>
        <v>101011110111111011110011110110</v>
      </c>
    </row>
    <row r="40">
      <c r="A40" s="1">
        <v>6.0</v>
      </c>
      <c r="B40" s="3" t="str">
        <f t="shared" si="25"/>
        <v>01100110</v>
      </c>
      <c r="C40" s="3" t="str">
        <f t="shared" si="26"/>
        <v>66</v>
      </c>
      <c r="D40" s="3">
        <f t="shared" si="27"/>
        <v>102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0</v>
      </c>
      <c r="T40" s="7" t="str">
        <f t="shared" si="22"/>
        <v>01011110111111011110011110110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1011110111111011110011110110</v>
      </c>
      <c r="U41" s="6" t="s">
        <v>29</v>
      </c>
      <c r="V41" s="7" t="str">
        <f>N20</f>
        <v>11100000010101001111000010101010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101010101110100110101011110111111011110011110110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011110111111011110011110110</v>
      </c>
    </row>
    <row r="43">
      <c r="A43" s="1">
        <v>1.0</v>
      </c>
      <c r="B43" s="3" t="str">
        <f t="shared" ref="B43:B48" si="28">MID($T$21,(A43-1)*8+1,8)</f>
        <v>10101010</v>
      </c>
      <c r="C43" s="3" t="str">
        <f t="shared" ref="C43:C48" si="29">BIN2HEX(B43,2)</f>
        <v>AA</v>
      </c>
      <c r="D43" s="3">
        <f t="shared" ref="D43:D48" si="30">BIN2DEC(B43)</f>
        <v>170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11110111111011110011110110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11101001</v>
      </c>
      <c r="C44" s="3" t="str">
        <f t="shared" si="29"/>
        <v>E9</v>
      </c>
      <c r="D44" s="3">
        <f t="shared" si="30"/>
        <v>233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1110111111011110011110110</v>
      </c>
      <c r="U44" s="1">
        <v>1.0</v>
      </c>
      <c r="V44" s="3" t="str">
        <f t="shared" ref="V44:V47" si="31">MID($V$38,(U44-1)*8+1,8)</f>
        <v>10101001</v>
      </c>
      <c r="W44" s="3" t="str">
        <f t="shared" ref="W44:W47" si="32">BIN2HEX(V44,2)</f>
        <v>A9</v>
      </c>
      <c r="X44" s="3">
        <f t="shared" ref="X44:X47" si="33">HEX2DEC(W44)</f>
        <v>169</v>
      </c>
    </row>
    <row r="45">
      <c r="A45" s="1">
        <v>3.0</v>
      </c>
      <c r="B45" s="3" t="str">
        <f t="shared" si="28"/>
        <v>10101011</v>
      </c>
      <c r="C45" s="3" t="str">
        <f t="shared" si="29"/>
        <v>AB</v>
      </c>
      <c r="D45" s="3">
        <f t="shared" si="30"/>
        <v>171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110111111011110011110110</v>
      </c>
      <c r="U45" s="1">
        <v>2.0</v>
      </c>
      <c r="V45" s="3" t="str">
        <f t="shared" si="31"/>
        <v>10001110</v>
      </c>
      <c r="W45" s="3" t="str">
        <f t="shared" si="32"/>
        <v>8E</v>
      </c>
      <c r="X45" s="3">
        <f t="shared" si="33"/>
        <v>142</v>
      </c>
    </row>
    <row r="46">
      <c r="A46" s="1">
        <v>4.0</v>
      </c>
      <c r="B46" s="3" t="str">
        <f t="shared" si="28"/>
        <v>11011111</v>
      </c>
      <c r="C46" s="3" t="str">
        <f t="shared" si="29"/>
        <v>DF</v>
      </c>
      <c r="D46" s="3">
        <f t="shared" si="30"/>
        <v>223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10111111011110011110110</v>
      </c>
      <c r="U46" s="1">
        <v>3.0</v>
      </c>
      <c r="V46" s="3" t="str">
        <f t="shared" si="31"/>
        <v>01010001</v>
      </c>
      <c r="W46" s="3" t="str">
        <f t="shared" si="32"/>
        <v>51</v>
      </c>
      <c r="X46" s="3">
        <f t="shared" si="33"/>
        <v>81</v>
      </c>
    </row>
    <row r="47">
      <c r="A47" s="1">
        <v>5.0</v>
      </c>
      <c r="B47" s="3" t="str">
        <f t="shared" si="28"/>
        <v>10111100</v>
      </c>
      <c r="C47" s="3" t="str">
        <f t="shared" si="29"/>
        <v>BC</v>
      </c>
      <c r="D47" s="3">
        <f t="shared" si="30"/>
        <v>188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0</v>
      </c>
      <c r="T47" s="7" t="str">
        <f t="shared" si="22"/>
        <v>0111111011110011110110</v>
      </c>
      <c r="U47" s="1">
        <v>4.0</v>
      </c>
      <c r="V47" s="3" t="str">
        <f t="shared" si="31"/>
        <v>10000011</v>
      </c>
      <c r="W47" s="3" t="str">
        <f t="shared" si="32"/>
        <v>83</v>
      </c>
      <c r="X47" s="3">
        <f t="shared" si="33"/>
        <v>131</v>
      </c>
    </row>
    <row r="48">
      <c r="A48" s="1">
        <v>6.0</v>
      </c>
      <c r="B48" s="3" t="str">
        <f t="shared" si="28"/>
        <v>11110110</v>
      </c>
      <c r="C48" s="3" t="str">
        <f t="shared" si="29"/>
        <v>F6</v>
      </c>
      <c r="D48" s="3">
        <f t="shared" si="30"/>
        <v>246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111111011110011110110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11111011110011110110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1111011110011110110</v>
      </c>
    </row>
    <row r="51">
      <c r="A51" s="6">
        <v>1.0</v>
      </c>
      <c r="B51" s="7">
        <f t="shared" ref="B51:B56" si="34">BITXOR(D35,D43)</f>
        <v>195</v>
      </c>
      <c r="C51" s="7" t="str">
        <f t="shared" ref="C51:C56" si="35">DEC2BIN(B51,8)</f>
        <v>11000011</v>
      </c>
      <c r="D51" s="7" t="str">
        <f t="shared" ref="D51:D56" si="36">DEC2HEX(B51,2)</f>
        <v>C3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111011110011110110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71</v>
      </c>
      <c r="C52" s="7" t="str">
        <f t="shared" si="35"/>
        <v>01000111</v>
      </c>
      <c r="D52" s="7" t="str">
        <f t="shared" si="36"/>
        <v>47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11011110011110110</v>
      </c>
      <c r="U52" s="1">
        <v>1.0</v>
      </c>
      <c r="V52" s="3" t="str">
        <f t="shared" ref="V52:V55" si="37">MID($V$41,(U52-1)*8+1,8)</f>
        <v>11100000</v>
      </c>
      <c r="W52" s="3" t="str">
        <f t="shared" ref="W52:W55" si="38">BIN2HEX(V52,2)</f>
        <v>E0</v>
      </c>
      <c r="X52" s="3">
        <f t="shared" ref="X52:X55" si="39">HEX2DEC(W52)</f>
        <v>224</v>
      </c>
    </row>
    <row r="53">
      <c r="A53" s="6">
        <v>3.0</v>
      </c>
      <c r="B53" s="7">
        <f t="shared" si="34"/>
        <v>114</v>
      </c>
      <c r="C53" s="7" t="str">
        <f t="shared" si="35"/>
        <v>01110010</v>
      </c>
      <c r="D53" s="7" t="str">
        <f t="shared" si="36"/>
        <v>72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1</v>
      </c>
      <c r="T53" s="7" t="str">
        <f t="shared" si="22"/>
        <v>1011110011110110</v>
      </c>
      <c r="U53" s="1">
        <v>2.0</v>
      </c>
      <c r="V53" s="3" t="str">
        <f t="shared" si="37"/>
        <v>01010100</v>
      </c>
      <c r="W53" s="3" t="str">
        <f t="shared" si="38"/>
        <v>54</v>
      </c>
      <c r="X53" s="3">
        <f t="shared" si="39"/>
        <v>84</v>
      </c>
    </row>
    <row r="54">
      <c r="A54" s="6">
        <v>4.0</v>
      </c>
      <c r="B54" s="7">
        <f t="shared" si="34"/>
        <v>250</v>
      </c>
      <c r="C54" s="7" t="str">
        <f t="shared" si="35"/>
        <v>11111010</v>
      </c>
      <c r="D54" s="7" t="str">
        <f t="shared" si="36"/>
        <v>FA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011110011110110</v>
      </c>
      <c r="U54" s="1">
        <v>3.0</v>
      </c>
      <c r="V54" s="3" t="str">
        <f t="shared" si="37"/>
        <v>11110000</v>
      </c>
      <c r="W54" s="3" t="str">
        <f t="shared" si="38"/>
        <v>F0</v>
      </c>
      <c r="X54" s="3">
        <f t="shared" si="39"/>
        <v>240</v>
      </c>
    </row>
    <row r="55">
      <c r="A55" s="6">
        <v>5.0</v>
      </c>
      <c r="B55" s="7">
        <f t="shared" si="34"/>
        <v>86</v>
      </c>
      <c r="C55" s="7" t="str">
        <f t="shared" si="35"/>
        <v>01010110</v>
      </c>
      <c r="D55" s="7" t="str">
        <f t="shared" si="36"/>
        <v>56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11110011110110</v>
      </c>
      <c r="U55" s="1">
        <v>4.0</v>
      </c>
      <c r="V55" s="3" t="str">
        <f t="shared" si="37"/>
        <v>10101010</v>
      </c>
      <c r="W55" s="3" t="str">
        <f t="shared" si="38"/>
        <v>AA</v>
      </c>
      <c r="X55" s="3">
        <f t="shared" si="39"/>
        <v>170</v>
      </c>
    </row>
    <row r="56">
      <c r="A56" s="6">
        <v>6.0</v>
      </c>
      <c r="B56" s="7">
        <f t="shared" si="34"/>
        <v>144</v>
      </c>
      <c r="C56" s="7" t="str">
        <f t="shared" si="35"/>
        <v>10010000</v>
      </c>
      <c r="D56" s="7" t="str">
        <f t="shared" si="36"/>
        <v>90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1</v>
      </c>
      <c r="T56" s="7" t="str">
        <f t="shared" si="22"/>
        <v>1110011110110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110011110110</v>
      </c>
      <c r="U57" s="9" t="s">
        <v>56</v>
      </c>
      <c r="V57" s="10" t="str">
        <f>Y62</f>
        <v>01001001110110101010000100101001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1</v>
      </c>
      <c r="T58" s="7" t="str">
        <f t="shared" si="22"/>
        <v>10011110110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110000110100011101110010111110100101011010010000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0011110110</v>
      </c>
      <c r="U59" s="6">
        <v>1.0</v>
      </c>
      <c r="V59" s="7">
        <f t="shared" ref="V59:V62" si="40">BITXOR(X44,X52)</f>
        <v>73</v>
      </c>
      <c r="W59" s="7" t="str">
        <f t="shared" ref="W59:W62" si="41">DEC2HEX(V59)</f>
        <v>49</v>
      </c>
      <c r="X59" s="7" t="str">
        <f t="shared" ref="X59:X62" si="42">HEX2BIN(W59,8)</f>
        <v>01001001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011110110</v>
      </c>
      <c r="U60" s="6">
        <v>2.0</v>
      </c>
      <c r="V60" s="7">
        <f t="shared" si="40"/>
        <v>218</v>
      </c>
      <c r="W60" s="7" t="str">
        <f t="shared" si="41"/>
        <v>DA</v>
      </c>
      <c r="X60" s="7" t="str">
        <f t="shared" si="42"/>
        <v>11011010</v>
      </c>
      <c r="Y60" s="7" t="str">
        <f>X59&amp;X60</f>
        <v>0100100111011010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11110110</v>
      </c>
      <c r="U61" s="6">
        <v>3.0</v>
      </c>
      <c r="V61" s="7">
        <f t="shared" si="40"/>
        <v>161</v>
      </c>
      <c r="W61" s="7" t="str">
        <f t="shared" si="41"/>
        <v>A1</v>
      </c>
      <c r="X61" s="7" t="str">
        <f t="shared" si="42"/>
        <v>10100001</v>
      </c>
      <c r="Y61" s="7" t="str">
        <f t="shared" ref="Y61:Y62" si="43">Y60&amp;X61</f>
        <v>010010011101101010100001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1110110</v>
      </c>
      <c r="U62" s="6">
        <v>4.0</v>
      </c>
      <c r="V62" s="7">
        <f t="shared" si="40"/>
        <v>41</v>
      </c>
      <c r="W62" s="7" t="str">
        <f t="shared" si="41"/>
        <v>29</v>
      </c>
      <c r="X62" s="7" t="str">
        <f t="shared" si="42"/>
        <v>00101001</v>
      </c>
      <c r="Y62" s="7" t="str">
        <f t="shared" si="43"/>
        <v>01001001110110101010000100101001</v>
      </c>
    </row>
    <row r="63">
      <c r="A63" s="6">
        <v>1.0</v>
      </c>
      <c r="B63" s="7" t="str">
        <f t="shared" ref="B63:B70" si="44">MID($B$59,(A63-1)*6+1,6)</f>
        <v>110000</v>
      </c>
      <c r="C63" s="7" t="str">
        <f t="shared" ref="C63:C70" si="45">LEFT(B63,1)&amp;RIGHT(B63,1)</f>
        <v>10</v>
      </c>
      <c r="D63" s="7" t="str">
        <f t="shared" ref="D63:D70" si="46">MID(B63,2,4)</f>
        <v>1000</v>
      </c>
      <c r="E63" s="7" t="str">
        <f t="shared" ref="E63:E70" si="47">C63&amp;D63</f>
        <v>101000</v>
      </c>
      <c r="F63" s="7">
        <f t="shared" ref="F63:F70" si="48">BIN2DEC(E63)</f>
        <v>40</v>
      </c>
      <c r="G63" s="7">
        <f>VLOOKUP(F63,$A$79:$I$142,2,TRUE)</f>
        <v>9</v>
      </c>
      <c r="H63" s="7" t="str">
        <f t="shared" ref="H63:H70" si="49">DEC2BIN(G63,4)</f>
        <v>1001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110110</v>
      </c>
    </row>
    <row r="64">
      <c r="A64" s="6">
        <v>2.0</v>
      </c>
      <c r="B64" s="7" t="str">
        <f t="shared" si="44"/>
        <v>110100</v>
      </c>
      <c r="C64" s="7" t="str">
        <f t="shared" si="45"/>
        <v>10</v>
      </c>
      <c r="D64" s="7" t="str">
        <f t="shared" si="46"/>
        <v>1010</v>
      </c>
      <c r="E64" s="7" t="str">
        <f t="shared" si="47"/>
        <v>101010</v>
      </c>
      <c r="F64" s="7">
        <f t="shared" si="48"/>
        <v>42</v>
      </c>
      <c r="G64" s="7">
        <f>VLOOKUP(F64,$A$79:$I$142,3,TRUE)</f>
        <v>9</v>
      </c>
      <c r="H64" s="7" t="str">
        <f t="shared" si="49"/>
        <v>1001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10110</v>
      </c>
    </row>
    <row r="65">
      <c r="A65" s="6">
        <v>3.0</v>
      </c>
      <c r="B65" s="7" t="str">
        <f t="shared" si="44"/>
        <v>011101</v>
      </c>
      <c r="C65" s="7" t="str">
        <f t="shared" si="45"/>
        <v>01</v>
      </c>
      <c r="D65" s="7" t="str">
        <f t="shared" si="46"/>
        <v>1110</v>
      </c>
      <c r="E65" s="7" t="str">
        <f t="shared" si="47"/>
        <v>011110</v>
      </c>
      <c r="F65" s="7">
        <f t="shared" si="48"/>
        <v>30</v>
      </c>
      <c r="G65" s="7">
        <f>VLOOKUP(F65,$A$79:$I$142,4,TRUE)</f>
        <v>8</v>
      </c>
      <c r="H65" s="7" t="str">
        <f t="shared" si="49"/>
        <v>1000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0110</v>
      </c>
    </row>
    <row r="66">
      <c r="A66" s="6">
        <v>4.0</v>
      </c>
      <c r="B66" s="7" t="str">
        <f t="shared" si="44"/>
        <v>110010</v>
      </c>
      <c r="C66" s="7" t="str">
        <f t="shared" si="45"/>
        <v>10</v>
      </c>
      <c r="D66" s="7" t="str">
        <f t="shared" si="46"/>
        <v>1001</v>
      </c>
      <c r="E66" s="7" t="str">
        <f t="shared" si="47"/>
        <v>101001</v>
      </c>
      <c r="F66" s="7">
        <f t="shared" si="48"/>
        <v>41</v>
      </c>
      <c r="G66" s="7">
        <f>VLOOKUP(F66,$A$79:$I$142,5,TRUE)</f>
        <v>5</v>
      </c>
      <c r="H66" s="7" t="str">
        <f t="shared" si="49"/>
        <v>0101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110</v>
      </c>
    </row>
    <row r="67">
      <c r="A67" s="6">
        <v>5.0</v>
      </c>
      <c r="B67" s="7" t="str">
        <f t="shared" si="44"/>
        <v>111110</v>
      </c>
      <c r="C67" s="7" t="str">
        <f t="shared" si="45"/>
        <v>10</v>
      </c>
      <c r="D67" s="7" t="str">
        <f t="shared" si="46"/>
        <v>1111</v>
      </c>
      <c r="E67" s="7" t="str">
        <f t="shared" si="47"/>
        <v>101111</v>
      </c>
      <c r="F67" s="7">
        <f t="shared" si="48"/>
        <v>47</v>
      </c>
      <c r="G67" s="7">
        <f>VLOOKUP(F67,$A$79:$I$142,6,TRUE)</f>
        <v>15</v>
      </c>
      <c r="H67" s="7" t="str">
        <f t="shared" si="49"/>
        <v>1111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10</v>
      </c>
    </row>
    <row r="68">
      <c r="A68" s="6">
        <v>6.0</v>
      </c>
      <c r="B68" s="7" t="str">
        <f t="shared" si="44"/>
        <v>100101</v>
      </c>
      <c r="C68" s="7" t="str">
        <f t="shared" si="45"/>
        <v>11</v>
      </c>
      <c r="D68" s="7" t="str">
        <f t="shared" si="46"/>
        <v>0010</v>
      </c>
      <c r="E68" s="7" t="str">
        <f t="shared" si="47"/>
        <v>110010</v>
      </c>
      <c r="F68" s="7">
        <f t="shared" si="48"/>
        <v>50</v>
      </c>
      <c r="G68" s="7">
        <f>VLOOKUP(F68,$A$79:$I$142,7,TRUE)</f>
        <v>0</v>
      </c>
      <c r="H68" s="7" t="str">
        <f t="shared" si="49"/>
        <v>0000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011010</v>
      </c>
      <c r="C69" s="7" t="str">
        <f t="shared" si="45"/>
        <v>00</v>
      </c>
      <c r="D69" s="7" t="str">
        <f t="shared" si="46"/>
        <v>1101</v>
      </c>
      <c r="E69" s="7" t="str">
        <f t="shared" si="47"/>
        <v>001101</v>
      </c>
      <c r="F69" s="7">
        <f t="shared" si="48"/>
        <v>13</v>
      </c>
      <c r="G69" s="7">
        <f>VLOOKUP(F69,$A$79:$I$142,8,TRUE)</f>
        <v>8</v>
      </c>
      <c r="H69" s="7" t="str">
        <f t="shared" si="49"/>
        <v>1000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010000</v>
      </c>
      <c r="C70" s="7" t="str">
        <f t="shared" si="45"/>
        <v>00</v>
      </c>
      <c r="D70" s="7" t="str">
        <f t="shared" si="46"/>
        <v>1000</v>
      </c>
      <c r="E70" s="7" t="str">
        <f t="shared" si="47"/>
        <v>001000</v>
      </c>
      <c r="F70" s="7">
        <f t="shared" si="48"/>
        <v>8</v>
      </c>
      <c r="G70" s="7">
        <f>VLOOKUP(F70,$A$79:$I$142,9,TRUE)</f>
        <v>10</v>
      </c>
      <c r="H70" s="7" t="str">
        <f t="shared" si="49"/>
        <v>1010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57</v>
      </c>
      <c r="Q1" s="6" t="s">
        <v>14</v>
      </c>
      <c r="R1" s="6" t="s">
        <v>4</v>
      </c>
      <c r="U1" s="6" t="s">
        <v>15</v>
      </c>
      <c r="V1" s="7" t="str">
        <f>S9</f>
        <v>01011101101001101001011101101101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5</v>
      </c>
      <c r="R2" s="7" t="str">
        <f t="shared" si="1"/>
        <v>0101</v>
      </c>
    </row>
    <row r="3">
      <c r="A3" s="1">
        <v>1.0</v>
      </c>
      <c r="B3" s="3" t="str">
        <f t="shared" ref="B3:B8" si="3">MID($B$1,(A3-1)*8+1,8)</f>
        <v>01010101</v>
      </c>
      <c r="C3" s="3" t="str">
        <f t="shared" ref="C3:C8" si="4">BIN2HEX(B3,2)</f>
        <v>55</v>
      </c>
      <c r="Q3" s="7">
        <f t="shared" ref="Q3:R3" si="2">G64</f>
        <v>13</v>
      </c>
      <c r="R3" s="7" t="str">
        <f t="shared" si="2"/>
        <v>1101</v>
      </c>
      <c r="S3" s="7" t="str">
        <f>R2&amp;R3</f>
        <v>01011101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11111100</v>
      </c>
      <c r="C4" s="3" t="str">
        <f t="shared" si="4"/>
        <v>FC</v>
      </c>
      <c r="Q4" s="7">
        <f t="shared" ref="Q4:R4" si="5">G65</f>
        <v>10</v>
      </c>
      <c r="R4" s="7" t="str">
        <f t="shared" si="5"/>
        <v>1010</v>
      </c>
      <c r="S4" s="7" t="str">
        <f t="shared" ref="S4:S9" si="7">S3&amp;R4</f>
        <v>010111011010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10001010</v>
      </c>
      <c r="C5" s="3" t="str">
        <f t="shared" si="4"/>
        <v>8A</v>
      </c>
      <c r="Q5" s="7">
        <f t="shared" ref="Q5:R5" si="6">G66</f>
        <v>6</v>
      </c>
      <c r="R5" s="7" t="str">
        <f t="shared" si="6"/>
        <v>0110</v>
      </c>
      <c r="S5" s="7" t="str">
        <f t="shared" si="7"/>
        <v>0101110110100110</v>
      </c>
      <c r="U5" s="8">
        <v>2.0</v>
      </c>
      <c r="V5" s="8">
        <v>7.0</v>
      </c>
      <c r="W5" s="7" t="str">
        <f t="shared" si="8"/>
        <v>0</v>
      </c>
      <c r="X5" s="7" t="str">
        <f>W4&amp;W5</f>
        <v>00</v>
      </c>
    </row>
    <row r="6">
      <c r="A6" s="1">
        <v>4.0</v>
      </c>
      <c r="B6" s="3" t="str">
        <f t="shared" si="3"/>
        <v>10110100</v>
      </c>
      <c r="C6" s="3" t="str">
        <f t="shared" si="4"/>
        <v>B4</v>
      </c>
      <c r="Q6" s="7">
        <f t="shared" ref="Q6:R6" si="9">G67</f>
        <v>9</v>
      </c>
      <c r="R6" s="7" t="str">
        <f t="shared" si="9"/>
        <v>1001</v>
      </c>
      <c r="S6" s="7" t="str">
        <f t="shared" si="7"/>
        <v>01011101101001101001</v>
      </c>
      <c r="U6" s="8">
        <v>3.0</v>
      </c>
      <c r="V6" s="8">
        <v>20.0</v>
      </c>
      <c r="W6" s="7" t="str">
        <f t="shared" si="8"/>
        <v>1</v>
      </c>
      <c r="X6" s="7" t="str">
        <f t="shared" ref="X6:X35" si="11">X5&amp;W6</f>
        <v>001</v>
      </c>
    </row>
    <row r="7">
      <c r="A7" s="1">
        <v>5.0</v>
      </c>
      <c r="B7" s="3" t="str">
        <f t="shared" si="3"/>
        <v>10101100</v>
      </c>
      <c r="C7" s="3" t="str">
        <f t="shared" si="4"/>
        <v>AC</v>
      </c>
      <c r="Q7" s="7">
        <f t="shared" ref="Q7:R7" si="10">G68</f>
        <v>7</v>
      </c>
      <c r="R7" s="7" t="str">
        <f t="shared" si="10"/>
        <v>0111</v>
      </c>
      <c r="S7" s="7" t="str">
        <f t="shared" si="7"/>
        <v>010111011010011010010111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0010</v>
      </c>
    </row>
    <row r="8">
      <c r="A8" s="1">
        <v>6.0</v>
      </c>
      <c r="B8" s="3" t="str">
        <f t="shared" si="3"/>
        <v>11010010</v>
      </c>
      <c r="C8" s="3" t="str">
        <f t="shared" si="4"/>
        <v>D2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6</v>
      </c>
      <c r="R8" s="7" t="str">
        <f t="shared" si="12"/>
        <v>0110</v>
      </c>
      <c r="S8" s="7" t="str">
        <f t="shared" si="7"/>
        <v>0101110110100110100101110110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00101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13</v>
      </c>
      <c r="R9" s="7" t="str">
        <f t="shared" si="13"/>
        <v>1101</v>
      </c>
      <c r="S9" s="7" t="str">
        <f t="shared" si="7"/>
        <v>01011101101001101001011101101101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001010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0010100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00101001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001010010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1</v>
      </c>
      <c r="X13" s="7" t="str">
        <f t="shared" si="11"/>
        <v>0010100101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1</v>
      </c>
      <c r="X14" s="7" t="str">
        <f t="shared" si="11"/>
        <v>00101001011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1</v>
      </c>
      <c r="X15" s="7" t="str">
        <f t="shared" si="11"/>
        <v>001010010111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0010100101111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00101001011110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001010010111100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0010100101111000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58</v>
      </c>
      <c r="N20" s="10" t="s">
        <v>55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00101001011110001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59</v>
      </c>
      <c r="N21" s="7" t="s">
        <v>60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101001010011111011110101010100000010100101010010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001010010111100011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01001010011111011110101010100000010100101010010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0010100101111000111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1001010011111011110101010100000010100101010010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00101001011110001111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10100101</v>
      </c>
      <c r="O24" s="3" t="str">
        <f t="shared" ref="O24:O31" si="24">BIN2HEX(N24,2)</f>
        <v>A5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001010011111011110101010100000010100101010010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001010010111100011111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00111110</v>
      </c>
      <c r="O25" s="3" t="str">
        <f t="shared" si="24"/>
        <v>3E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01010011111011110101010100000010100101010010</v>
      </c>
      <c r="U25" s="8">
        <v>22.0</v>
      </c>
      <c r="V25" s="8">
        <v>27.0</v>
      </c>
      <c r="W25" s="7" t="str">
        <f t="shared" si="8"/>
        <v>1</v>
      </c>
      <c r="X25" s="7" t="str">
        <f t="shared" si="11"/>
        <v>0010100101111000111111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11110101</v>
      </c>
      <c r="O26" s="3" t="str">
        <f t="shared" si="24"/>
        <v>F5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1010011111011110101010100000010100101010010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00101001011110001111110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01010000</v>
      </c>
      <c r="O27" s="3" t="str">
        <f t="shared" si="24"/>
        <v>50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010011111011110101010100000010100101010010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001010010111100011111101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00101001</v>
      </c>
      <c r="O28" s="3" t="str">
        <f t="shared" si="24"/>
        <v>29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10011111011110101010100000010100101010010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0010100101111000111111010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01010010</v>
      </c>
      <c r="O29" s="3" t="str">
        <f t="shared" si="24"/>
        <v>52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0011111011110101010100000010100101010010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00101001011110001111110100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0</v>
      </c>
      <c r="T30" s="7" t="str">
        <f t="shared" si="22"/>
        <v>011111011110101010100000010100101010010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001010010111100011111101001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1</v>
      </c>
      <c r="T31" s="7" t="str">
        <f t="shared" si="22"/>
        <v>11111011110101010100000010100101010010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0010100101111000111111010011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1</v>
      </c>
      <c r="T32" s="7" t="str">
        <f t="shared" si="22"/>
        <v>1111011110101010100000010100101010010</v>
      </c>
      <c r="U32" s="8">
        <v>29.0</v>
      </c>
      <c r="V32" s="8">
        <v>22.0</v>
      </c>
      <c r="W32" s="7" t="str">
        <f t="shared" si="8"/>
        <v>1</v>
      </c>
      <c r="X32" s="7" t="str">
        <f t="shared" si="11"/>
        <v>00101001011110001111110100111</v>
      </c>
    </row>
    <row r="33">
      <c r="A33" s="6" t="s">
        <v>12</v>
      </c>
      <c r="B33" s="7" t="str">
        <f>B1</f>
        <v>010101011111110010001010101101001010110011010010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1</v>
      </c>
      <c r="T33" s="7" t="str">
        <f t="shared" si="22"/>
        <v>111011110101010100000010100101010010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001010010111100011111101001111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1</v>
      </c>
      <c r="T34" s="7" t="str">
        <f t="shared" si="22"/>
        <v>11011110101010100000010100101010010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0010100101111000111111010011111</v>
      </c>
    </row>
    <row r="35">
      <c r="A35" s="1">
        <v>1.0</v>
      </c>
      <c r="B35" s="3" t="str">
        <f t="shared" ref="B35:B40" si="25">MID($B$1,(A35-1)*8+1,8)</f>
        <v>01010101</v>
      </c>
      <c r="C35" s="3" t="str">
        <f t="shared" ref="C35:C40" si="26">BIN2HEX(B35,2)</f>
        <v>55</v>
      </c>
      <c r="D35" s="3">
        <f t="shared" ref="D35:D40" si="27">BIN2DEC(B35)</f>
        <v>85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1011110101010100000010100101010010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00101001011110001111110100111110</v>
      </c>
    </row>
    <row r="36">
      <c r="A36" s="1">
        <v>2.0</v>
      </c>
      <c r="B36" s="3" t="str">
        <f t="shared" si="25"/>
        <v>11111100</v>
      </c>
      <c r="C36" s="3" t="str">
        <f t="shared" si="26"/>
        <v>FC</v>
      </c>
      <c r="D36" s="3">
        <f t="shared" si="27"/>
        <v>252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011110101010100000010100101010010</v>
      </c>
    </row>
    <row r="37">
      <c r="A37" s="1">
        <v>3.0</v>
      </c>
      <c r="B37" s="3" t="str">
        <f t="shared" si="25"/>
        <v>10001010</v>
      </c>
      <c r="C37" s="3" t="str">
        <f t="shared" si="26"/>
        <v>8A</v>
      </c>
      <c r="D37" s="3">
        <f t="shared" si="27"/>
        <v>138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1</v>
      </c>
      <c r="T37" s="7" t="str">
        <f t="shared" si="22"/>
        <v>11110101010100000010100101010010</v>
      </c>
    </row>
    <row r="38">
      <c r="A38" s="1">
        <v>4.0</v>
      </c>
      <c r="B38" s="3" t="str">
        <f t="shared" si="25"/>
        <v>10110100</v>
      </c>
      <c r="C38" s="3" t="str">
        <f t="shared" si="26"/>
        <v>B4</v>
      </c>
      <c r="D38" s="3">
        <f t="shared" si="27"/>
        <v>180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1110101010100000010100101010010</v>
      </c>
      <c r="U38" s="11" t="s">
        <v>27</v>
      </c>
      <c r="V38" s="12" t="str">
        <f>X35</f>
        <v>00101001011110001111110100111110</v>
      </c>
      <c r="W38" s="12"/>
      <c r="X38" s="12"/>
    </row>
    <row r="39">
      <c r="A39" s="1">
        <v>5.0</v>
      </c>
      <c r="B39" s="3" t="str">
        <f t="shared" si="25"/>
        <v>10101100</v>
      </c>
      <c r="C39" s="3" t="str">
        <f t="shared" si="26"/>
        <v>AC</v>
      </c>
      <c r="D39" s="3">
        <f t="shared" si="27"/>
        <v>172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1</v>
      </c>
      <c r="T39" s="7" t="str">
        <f t="shared" si="22"/>
        <v>110101010100000010100101010010</v>
      </c>
    </row>
    <row r="40">
      <c r="A40" s="1">
        <v>6.0</v>
      </c>
      <c r="B40" s="3" t="str">
        <f t="shared" si="25"/>
        <v>11010010</v>
      </c>
      <c r="C40" s="3" t="str">
        <f t="shared" si="26"/>
        <v>D2</v>
      </c>
      <c r="D40" s="3">
        <f t="shared" si="27"/>
        <v>210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10101010100000010100101010010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0</v>
      </c>
      <c r="T41" s="7" t="str">
        <f t="shared" si="22"/>
        <v>0101010100000010100101010010</v>
      </c>
      <c r="U41" s="6" t="s">
        <v>29</v>
      </c>
      <c r="V41" s="7" t="str">
        <f>N20</f>
        <v>01010111001101011011110110011011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101001010011111011110101010100000010100101010010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1</v>
      </c>
      <c r="T42" s="7" t="str">
        <f t="shared" si="22"/>
        <v>101010100000010100101010010</v>
      </c>
    </row>
    <row r="43">
      <c r="A43" s="1">
        <v>1.0</v>
      </c>
      <c r="B43" s="3" t="str">
        <f t="shared" ref="B43:B48" si="28">MID($T$21,(A43-1)*8+1,8)</f>
        <v>10100101</v>
      </c>
      <c r="C43" s="3" t="str">
        <f t="shared" ref="C43:C48" si="29">BIN2HEX(B43,2)</f>
        <v>A5</v>
      </c>
      <c r="D43" s="3">
        <f t="shared" ref="D43:D48" si="30">BIN2DEC(B43)</f>
        <v>165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01010100000010100101010010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00111110</v>
      </c>
      <c r="C44" s="3" t="str">
        <f t="shared" si="29"/>
        <v>3E</v>
      </c>
      <c r="D44" s="3">
        <f t="shared" si="30"/>
        <v>62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1010100000010100101010010</v>
      </c>
      <c r="U44" s="1">
        <v>1.0</v>
      </c>
      <c r="V44" s="3" t="str">
        <f t="shared" ref="V44:V47" si="31">MID($V$38,(U44-1)*8+1,8)</f>
        <v>00101001</v>
      </c>
      <c r="W44" s="3" t="str">
        <f t="shared" ref="W44:W47" si="32">BIN2HEX(V44,2)</f>
        <v>29</v>
      </c>
      <c r="X44" s="3">
        <f t="shared" ref="X44:X47" si="33">HEX2DEC(W44)</f>
        <v>41</v>
      </c>
    </row>
    <row r="45">
      <c r="A45" s="1">
        <v>3.0</v>
      </c>
      <c r="B45" s="3" t="str">
        <f t="shared" si="28"/>
        <v>11110101</v>
      </c>
      <c r="C45" s="3" t="str">
        <f t="shared" si="29"/>
        <v>F5</v>
      </c>
      <c r="D45" s="3">
        <f t="shared" si="30"/>
        <v>245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010100000010100101010010</v>
      </c>
      <c r="U45" s="1">
        <v>2.0</v>
      </c>
      <c r="V45" s="3" t="str">
        <f t="shared" si="31"/>
        <v>01111000</v>
      </c>
      <c r="W45" s="3" t="str">
        <f t="shared" si="32"/>
        <v>78</v>
      </c>
      <c r="X45" s="3">
        <f t="shared" si="33"/>
        <v>120</v>
      </c>
    </row>
    <row r="46">
      <c r="A46" s="1">
        <v>4.0</v>
      </c>
      <c r="B46" s="3" t="str">
        <f t="shared" si="28"/>
        <v>01010000</v>
      </c>
      <c r="C46" s="3" t="str">
        <f t="shared" si="29"/>
        <v>50</v>
      </c>
      <c r="D46" s="3">
        <f t="shared" si="30"/>
        <v>80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10100000010100101010010</v>
      </c>
      <c r="U46" s="1">
        <v>3.0</v>
      </c>
      <c r="V46" s="3" t="str">
        <f t="shared" si="31"/>
        <v>11111101</v>
      </c>
      <c r="W46" s="3" t="str">
        <f t="shared" si="32"/>
        <v>FD</v>
      </c>
      <c r="X46" s="3">
        <f t="shared" si="33"/>
        <v>253</v>
      </c>
    </row>
    <row r="47">
      <c r="A47" s="1">
        <v>5.0</v>
      </c>
      <c r="B47" s="3" t="str">
        <f t="shared" si="28"/>
        <v>00101001</v>
      </c>
      <c r="C47" s="3" t="str">
        <f t="shared" si="29"/>
        <v>29</v>
      </c>
      <c r="D47" s="3">
        <f t="shared" si="30"/>
        <v>41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0</v>
      </c>
      <c r="T47" s="7" t="str">
        <f t="shared" si="22"/>
        <v>0100000010100101010010</v>
      </c>
      <c r="U47" s="1">
        <v>4.0</v>
      </c>
      <c r="V47" s="3" t="str">
        <f t="shared" si="31"/>
        <v>00111110</v>
      </c>
      <c r="W47" s="3" t="str">
        <f t="shared" si="32"/>
        <v>3E</v>
      </c>
      <c r="X47" s="3">
        <f t="shared" si="33"/>
        <v>62</v>
      </c>
    </row>
    <row r="48">
      <c r="A48" s="1">
        <v>6.0</v>
      </c>
      <c r="B48" s="3" t="str">
        <f t="shared" si="28"/>
        <v>01010010</v>
      </c>
      <c r="C48" s="3" t="str">
        <f t="shared" si="29"/>
        <v>52</v>
      </c>
      <c r="D48" s="3">
        <f t="shared" si="30"/>
        <v>82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100000010100101010010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00000010100101010010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0000010100101010010</v>
      </c>
    </row>
    <row r="51">
      <c r="A51" s="6">
        <v>1.0</v>
      </c>
      <c r="B51" s="7">
        <f t="shared" ref="B51:B56" si="34">BITXOR(D35,D43)</f>
        <v>240</v>
      </c>
      <c r="C51" s="7" t="str">
        <f t="shared" ref="C51:C56" si="35">DEC2BIN(B51,8)</f>
        <v>11110000</v>
      </c>
      <c r="D51" s="7" t="str">
        <f t="shared" ref="D51:D56" si="36">DEC2HEX(B51,2)</f>
        <v>F0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000010100101010010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194</v>
      </c>
      <c r="C52" s="7" t="str">
        <f t="shared" si="35"/>
        <v>11000010</v>
      </c>
      <c r="D52" s="7" t="str">
        <f t="shared" si="36"/>
        <v>C2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00010100101010010</v>
      </c>
      <c r="U52" s="1">
        <v>1.0</v>
      </c>
      <c r="V52" s="3" t="str">
        <f t="shared" ref="V52:V55" si="37">MID($V$41,(U52-1)*8+1,8)</f>
        <v>01010111</v>
      </c>
      <c r="W52" s="3" t="str">
        <f t="shared" ref="W52:W55" si="38">BIN2HEX(V52,2)</f>
        <v>57</v>
      </c>
      <c r="X52" s="3">
        <f t="shared" ref="X52:X55" si="39">HEX2DEC(W52)</f>
        <v>87</v>
      </c>
    </row>
    <row r="53">
      <c r="A53" s="6">
        <v>3.0</v>
      </c>
      <c r="B53" s="7">
        <f t="shared" si="34"/>
        <v>127</v>
      </c>
      <c r="C53" s="7" t="str">
        <f t="shared" si="35"/>
        <v>01111111</v>
      </c>
      <c r="D53" s="7" t="str">
        <f t="shared" si="36"/>
        <v>7F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0010100101010010</v>
      </c>
      <c r="U53" s="1">
        <v>2.0</v>
      </c>
      <c r="V53" s="3" t="str">
        <f t="shared" si="37"/>
        <v>00110101</v>
      </c>
      <c r="W53" s="3" t="str">
        <f t="shared" si="38"/>
        <v>35</v>
      </c>
      <c r="X53" s="3">
        <f t="shared" si="39"/>
        <v>53</v>
      </c>
    </row>
    <row r="54">
      <c r="A54" s="6">
        <v>4.0</v>
      </c>
      <c r="B54" s="7">
        <f t="shared" si="34"/>
        <v>228</v>
      </c>
      <c r="C54" s="7" t="str">
        <f t="shared" si="35"/>
        <v>11100100</v>
      </c>
      <c r="D54" s="7" t="str">
        <f t="shared" si="36"/>
        <v>E4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010100101010010</v>
      </c>
      <c r="U54" s="1">
        <v>3.0</v>
      </c>
      <c r="V54" s="3" t="str">
        <f t="shared" si="37"/>
        <v>10111101</v>
      </c>
      <c r="W54" s="3" t="str">
        <f t="shared" si="38"/>
        <v>BD</v>
      </c>
      <c r="X54" s="3">
        <f t="shared" si="39"/>
        <v>189</v>
      </c>
    </row>
    <row r="55">
      <c r="A55" s="6">
        <v>5.0</v>
      </c>
      <c r="B55" s="7">
        <f t="shared" si="34"/>
        <v>133</v>
      </c>
      <c r="C55" s="7" t="str">
        <f t="shared" si="35"/>
        <v>10000101</v>
      </c>
      <c r="D55" s="7" t="str">
        <f t="shared" si="36"/>
        <v>85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10100101010010</v>
      </c>
      <c r="U55" s="1">
        <v>4.0</v>
      </c>
      <c r="V55" s="3" t="str">
        <f t="shared" si="37"/>
        <v>10011011</v>
      </c>
      <c r="W55" s="3" t="str">
        <f t="shared" si="38"/>
        <v>9B</v>
      </c>
      <c r="X55" s="3">
        <f t="shared" si="39"/>
        <v>155</v>
      </c>
    </row>
    <row r="56">
      <c r="A56" s="6">
        <v>6.0</v>
      </c>
      <c r="B56" s="7">
        <f t="shared" si="34"/>
        <v>128</v>
      </c>
      <c r="C56" s="7" t="str">
        <f t="shared" si="35"/>
        <v>10000000</v>
      </c>
      <c r="D56" s="7" t="str">
        <f t="shared" si="36"/>
        <v>80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0100101010010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100101010010</v>
      </c>
      <c r="U57" s="9" t="s">
        <v>61</v>
      </c>
      <c r="V57" s="10" t="str">
        <f>Y62</f>
        <v>01111110010011010100000010100101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00101010010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111100001100001001111111111001001000010110000000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0101010010</v>
      </c>
      <c r="U59" s="6">
        <v>1.0</v>
      </c>
      <c r="V59" s="7">
        <f t="shared" ref="V59:V62" si="40">BITXOR(X44,X52)</f>
        <v>126</v>
      </c>
      <c r="W59" s="7" t="str">
        <f t="shared" ref="W59:W62" si="41">DEC2HEX(V59)</f>
        <v>7E</v>
      </c>
      <c r="X59" s="7" t="str">
        <f t="shared" ref="X59:X62" si="42">HEX2BIN(W59,8)</f>
        <v>01111110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1</v>
      </c>
      <c r="T60" s="7" t="str">
        <f t="shared" si="22"/>
        <v>101010010</v>
      </c>
      <c r="U60" s="6">
        <v>2.0</v>
      </c>
      <c r="V60" s="7">
        <f t="shared" si="40"/>
        <v>77</v>
      </c>
      <c r="W60" s="7" t="str">
        <f t="shared" si="41"/>
        <v>4D</v>
      </c>
      <c r="X60" s="7" t="str">
        <f t="shared" si="42"/>
        <v>01001101</v>
      </c>
      <c r="Y60" s="7" t="str">
        <f>X59&amp;X60</f>
        <v>0111111001001101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0</v>
      </c>
      <c r="T61" s="7" t="str">
        <f t="shared" si="22"/>
        <v>01010010</v>
      </c>
      <c r="U61" s="6">
        <v>3.0</v>
      </c>
      <c r="V61" s="7">
        <f t="shared" si="40"/>
        <v>64</v>
      </c>
      <c r="W61" s="7" t="str">
        <f t="shared" si="41"/>
        <v>40</v>
      </c>
      <c r="X61" s="7" t="str">
        <f t="shared" si="42"/>
        <v>01000000</v>
      </c>
      <c r="Y61" s="7" t="str">
        <f t="shared" ref="Y61:Y62" si="43">Y60&amp;X61</f>
        <v>011111100100110101000000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1010010</v>
      </c>
      <c r="U62" s="6">
        <v>4.0</v>
      </c>
      <c r="V62" s="7">
        <f t="shared" si="40"/>
        <v>165</v>
      </c>
      <c r="W62" s="7" t="str">
        <f t="shared" si="41"/>
        <v>A5</v>
      </c>
      <c r="X62" s="7" t="str">
        <f t="shared" si="42"/>
        <v>10100101</v>
      </c>
      <c r="Y62" s="7" t="str">
        <f t="shared" si="43"/>
        <v>01111110010011010100000010100101</v>
      </c>
    </row>
    <row r="63">
      <c r="A63" s="6">
        <v>1.0</v>
      </c>
      <c r="B63" s="7" t="str">
        <f t="shared" ref="B63:B70" si="44">MID($B$59,(A63-1)*6+1,6)</f>
        <v>111100</v>
      </c>
      <c r="C63" s="7" t="str">
        <f t="shared" ref="C63:C70" si="45">LEFT(B63,1)&amp;RIGHT(B63,1)</f>
        <v>10</v>
      </c>
      <c r="D63" s="7" t="str">
        <f t="shared" ref="D63:D70" si="46">MID(B63,2,4)</f>
        <v>1110</v>
      </c>
      <c r="E63" s="7" t="str">
        <f t="shared" ref="E63:E70" si="47">C63&amp;D63</f>
        <v>101110</v>
      </c>
      <c r="F63" s="7">
        <f t="shared" ref="F63:F70" si="48">BIN2DEC(E63)</f>
        <v>46</v>
      </c>
      <c r="G63" s="7">
        <f>VLOOKUP(F63,$A$79:$I$142,2,TRUE)</f>
        <v>5</v>
      </c>
      <c r="H63" s="7" t="str">
        <f t="shared" ref="H63:H70" si="49">DEC2BIN(G63,4)</f>
        <v>0101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0</v>
      </c>
      <c r="T63" s="7" t="str">
        <f t="shared" si="22"/>
        <v>010010</v>
      </c>
    </row>
    <row r="64">
      <c r="A64" s="6">
        <v>2.0</v>
      </c>
      <c r="B64" s="7" t="str">
        <f t="shared" si="44"/>
        <v>001100</v>
      </c>
      <c r="C64" s="7" t="str">
        <f t="shared" si="45"/>
        <v>00</v>
      </c>
      <c r="D64" s="7" t="str">
        <f t="shared" si="46"/>
        <v>0110</v>
      </c>
      <c r="E64" s="7" t="str">
        <f t="shared" si="47"/>
        <v>000110</v>
      </c>
      <c r="F64" s="7">
        <f t="shared" si="48"/>
        <v>6</v>
      </c>
      <c r="G64" s="7">
        <f>VLOOKUP(F64,$A$79:$I$142,3,TRUE)</f>
        <v>13</v>
      </c>
      <c r="H64" s="7" t="str">
        <f t="shared" si="49"/>
        <v>1101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10010</v>
      </c>
    </row>
    <row r="65">
      <c r="A65" s="6">
        <v>3.0</v>
      </c>
      <c r="B65" s="7" t="str">
        <f t="shared" si="44"/>
        <v>001001</v>
      </c>
      <c r="C65" s="7" t="str">
        <f t="shared" si="45"/>
        <v>01</v>
      </c>
      <c r="D65" s="7" t="str">
        <f t="shared" si="46"/>
        <v>0100</v>
      </c>
      <c r="E65" s="7" t="str">
        <f t="shared" si="47"/>
        <v>010100</v>
      </c>
      <c r="F65" s="7">
        <f t="shared" si="48"/>
        <v>20</v>
      </c>
      <c r="G65" s="7">
        <f>VLOOKUP(F65,$A$79:$I$142,4,TRUE)</f>
        <v>10</v>
      </c>
      <c r="H65" s="7" t="str">
        <f t="shared" si="49"/>
        <v>1010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0010</v>
      </c>
    </row>
    <row r="66">
      <c r="A66" s="6">
        <v>4.0</v>
      </c>
      <c r="B66" s="7" t="str">
        <f t="shared" si="44"/>
        <v>111111</v>
      </c>
      <c r="C66" s="7" t="str">
        <f t="shared" si="45"/>
        <v>11</v>
      </c>
      <c r="D66" s="7" t="str">
        <f t="shared" si="46"/>
        <v>1111</v>
      </c>
      <c r="E66" s="7" t="str">
        <f t="shared" si="47"/>
        <v>111111</v>
      </c>
      <c r="F66" s="7">
        <f t="shared" si="48"/>
        <v>63</v>
      </c>
      <c r="G66" s="7">
        <f>VLOOKUP(F66,$A$79:$I$142,5,TRUE)</f>
        <v>6</v>
      </c>
      <c r="H66" s="7" t="str">
        <f t="shared" si="49"/>
        <v>0110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010</v>
      </c>
    </row>
    <row r="67">
      <c r="A67" s="6">
        <v>5.0</v>
      </c>
      <c r="B67" s="7" t="str">
        <f t="shared" si="44"/>
        <v>111001</v>
      </c>
      <c r="C67" s="7" t="str">
        <f t="shared" si="45"/>
        <v>11</v>
      </c>
      <c r="D67" s="7" t="str">
        <f t="shared" si="46"/>
        <v>1100</v>
      </c>
      <c r="E67" s="7" t="str">
        <f t="shared" si="47"/>
        <v>111100</v>
      </c>
      <c r="F67" s="7">
        <f t="shared" si="48"/>
        <v>60</v>
      </c>
      <c r="G67" s="7">
        <f>VLOOKUP(F67,$A$79:$I$142,6,TRUE)</f>
        <v>9</v>
      </c>
      <c r="H67" s="7" t="str">
        <f t="shared" si="49"/>
        <v>1001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10</v>
      </c>
    </row>
    <row r="68">
      <c r="A68" s="6">
        <v>6.0</v>
      </c>
      <c r="B68" s="7" t="str">
        <f t="shared" si="44"/>
        <v>001000</v>
      </c>
      <c r="C68" s="7" t="str">
        <f t="shared" si="45"/>
        <v>00</v>
      </c>
      <c r="D68" s="7" t="str">
        <f t="shared" si="46"/>
        <v>0100</v>
      </c>
      <c r="E68" s="7" t="str">
        <f t="shared" si="47"/>
        <v>000100</v>
      </c>
      <c r="F68" s="7">
        <f t="shared" si="48"/>
        <v>4</v>
      </c>
      <c r="G68" s="7">
        <f>VLOOKUP(F68,$A$79:$I$142,7,TRUE)</f>
        <v>7</v>
      </c>
      <c r="H68" s="7" t="str">
        <f t="shared" si="49"/>
        <v>0111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010110</v>
      </c>
      <c r="C69" s="7" t="str">
        <f t="shared" si="45"/>
        <v>00</v>
      </c>
      <c r="D69" s="7" t="str">
        <f t="shared" si="46"/>
        <v>1011</v>
      </c>
      <c r="E69" s="7" t="str">
        <f t="shared" si="47"/>
        <v>001011</v>
      </c>
      <c r="F69" s="7">
        <f t="shared" si="48"/>
        <v>11</v>
      </c>
      <c r="G69" s="7">
        <f>VLOOKUP(F69,$A$79:$I$142,8,TRUE)</f>
        <v>6</v>
      </c>
      <c r="H69" s="7" t="str">
        <f t="shared" si="49"/>
        <v>0110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000000</v>
      </c>
      <c r="C70" s="7" t="str">
        <f t="shared" si="45"/>
        <v>00</v>
      </c>
      <c r="D70" s="7" t="str">
        <f t="shared" si="46"/>
        <v>0000</v>
      </c>
      <c r="E70" s="7" t="str">
        <f t="shared" si="47"/>
        <v>000000</v>
      </c>
      <c r="F70" s="7">
        <f t="shared" si="48"/>
        <v>0</v>
      </c>
      <c r="G70" s="7">
        <f>VLOOKUP(F70,$A$79:$I$142,9,TRUE)</f>
        <v>13</v>
      </c>
      <c r="H70" s="7" t="str">
        <f t="shared" si="49"/>
        <v>1101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62</v>
      </c>
      <c r="Q1" s="6" t="s">
        <v>14</v>
      </c>
      <c r="R1" s="6" t="s">
        <v>4</v>
      </c>
      <c r="U1" s="6" t="s">
        <v>15</v>
      </c>
      <c r="V1" s="7" t="str">
        <f>S9</f>
        <v>10111011111001000100101111001110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11</v>
      </c>
      <c r="R2" s="7" t="str">
        <f t="shared" si="1"/>
        <v>1011</v>
      </c>
    </row>
    <row r="3">
      <c r="A3" s="1">
        <v>1.0</v>
      </c>
      <c r="B3" s="3" t="str">
        <f t="shared" ref="B3:B8" si="3">MID($B$1,(A3-1)*8+1,8)</f>
        <v>01110010</v>
      </c>
      <c r="C3" s="3" t="str">
        <f t="shared" ref="C3:C8" si="4">BIN2HEX(B3,2)</f>
        <v>72</v>
      </c>
      <c r="Q3" s="7">
        <f t="shared" ref="Q3:R3" si="2">G64</f>
        <v>11</v>
      </c>
      <c r="R3" s="7" t="str">
        <f t="shared" si="2"/>
        <v>1011</v>
      </c>
      <c r="S3" s="7" t="str">
        <f>R2&amp;R3</f>
        <v>10111011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10101101</v>
      </c>
      <c r="C4" s="3" t="str">
        <f t="shared" si="4"/>
        <v>AD</v>
      </c>
      <c r="Q4" s="7">
        <f t="shared" ref="Q4:R4" si="5">G65</f>
        <v>14</v>
      </c>
      <c r="R4" s="7" t="str">
        <f t="shared" si="5"/>
        <v>1110</v>
      </c>
      <c r="S4" s="7" t="str">
        <f t="shared" ref="S4:S9" si="7">S3&amp;R4</f>
        <v>101110111110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11010010</v>
      </c>
      <c r="C5" s="3" t="str">
        <f t="shared" si="4"/>
        <v>D2</v>
      </c>
      <c r="Q5" s="7">
        <f t="shared" ref="Q5:R5" si="6">G66</f>
        <v>4</v>
      </c>
      <c r="R5" s="7" t="str">
        <f t="shared" si="6"/>
        <v>0100</v>
      </c>
      <c r="S5" s="7" t="str">
        <f t="shared" si="7"/>
        <v>1011101111100100</v>
      </c>
      <c r="U5" s="8">
        <v>2.0</v>
      </c>
      <c r="V5" s="8">
        <v>7.0</v>
      </c>
      <c r="W5" s="7" t="str">
        <f t="shared" si="8"/>
        <v>1</v>
      </c>
      <c r="X5" s="7" t="str">
        <f>W4&amp;W5</f>
        <v>01</v>
      </c>
    </row>
    <row r="6">
      <c r="A6" s="1">
        <v>4.0</v>
      </c>
      <c r="B6" s="3" t="str">
        <f t="shared" si="3"/>
        <v>10101101</v>
      </c>
      <c r="C6" s="3" t="str">
        <f t="shared" si="4"/>
        <v>AD</v>
      </c>
      <c r="Q6" s="7">
        <f t="shared" ref="Q6:R6" si="9">G67</f>
        <v>4</v>
      </c>
      <c r="R6" s="7" t="str">
        <f t="shared" si="9"/>
        <v>0100</v>
      </c>
      <c r="S6" s="7" t="str">
        <f t="shared" si="7"/>
        <v>10111011111001000100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010</v>
      </c>
    </row>
    <row r="7">
      <c r="A7" s="1">
        <v>5.0</v>
      </c>
      <c r="B7" s="3" t="str">
        <f t="shared" si="3"/>
        <v>10000110</v>
      </c>
      <c r="C7" s="3" t="str">
        <f t="shared" si="4"/>
        <v>86</v>
      </c>
      <c r="Q7" s="7">
        <f t="shared" ref="Q7:R7" si="10">G68</f>
        <v>11</v>
      </c>
      <c r="R7" s="7" t="str">
        <f t="shared" si="10"/>
        <v>1011</v>
      </c>
      <c r="S7" s="7" t="str">
        <f t="shared" si="7"/>
        <v>101110111110010001001011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0101</v>
      </c>
    </row>
    <row r="8">
      <c r="A8" s="1">
        <v>6.0</v>
      </c>
      <c r="B8" s="3" t="str">
        <f t="shared" si="3"/>
        <v>01010111</v>
      </c>
      <c r="C8" s="3" t="str">
        <f t="shared" si="4"/>
        <v>57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12</v>
      </c>
      <c r="R8" s="7" t="str">
        <f t="shared" si="12"/>
        <v>1100</v>
      </c>
      <c r="S8" s="7" t="str">
        <f t="shared" si="7"/>
        <v>1011101111100100010010111100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01011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14</v>
      </c>
      <c r="R9" s="7" t="str">
        <f t="shared" si="13"/>
        <v>1110</v>
      </c>
      <c r="S9" s="7" t="str">
        <f t="shared" si="7"/>
        <v>10111011111001000100101111001110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010110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0101100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01011000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1</v>
      </c>
      <c r="X12" s="7" t="str">
        <f t="shared" si="11"/>
        <v>010110001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0101100010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1</v>
      </c>
      <c r="X14" s="7" t="str">
        <f t="shared" si="11"/>
        <v>01011000101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1</v>
      </c>
      <c r="X15" s="7" t="str">
        <f t="shared" si="11"/>
        <v>010110001011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0101100010111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01011000101111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010110001011111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0101100010111111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63</v>
      </c>
      <c r="N20" s="10" t="s">
        <v>60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0</v>
      </c>
      <c r="X20" s="7" t="str">
        <f t="shared" si="11"/>
        <v>01011000101111110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64</v>
      </c>
      <c r="N21" s="7" t="s">
        <v>65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101111111100001001011010101000000001010100001010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010110001011111101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01111111100001001011010101000000001010100001010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0101100010111111011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1111111100001001011010101000000001010100001010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01011000101111110111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29" si="23">MID($T$21,(M24-1)*8+1,8)</f>
        <v>10111111</v>
      </c>
      <c r="O24" s="3" t="str">
        <f t="shared" ref="O24:O29" si="24">BIN2HEX(N24,2)</f>
        <v>BF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111111100001001011010101000000001010100001010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010110001011111101110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11000010</v>
      </c>
      <c r="O25" s="3" t="str">
        <f t="shared" si="24"/>
        <v>C2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11111100001001011010101000000001010100001010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0101100010111111011100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01011010</v>
      </c>
      <c r="O26" s="3" t="str">
        <f t="shared" si="24"/>
        <v>5A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1111100001001011010101000000001010100001010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01011000101111110111001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10100000</v>
      </c>
      <c r="O27" s="3" t="str">
        <f t="shared" si="24"/>
        <v>A0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111100001001011010101000000001010100001010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010110001011111101110011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00010101</v>
      </c>
      <c r="O28" s="3" t="str">
        <f t="shared" si="24"/>
        <v>15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11100001001011010101000000001010100001010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0101100010111111011100110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00001010</v>
      </c>
      <c r="O29" s="3" t="str">
        <f t="shared" si="24"/>
        <v>0A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1100001001011010101000000001010100001010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01011000101111110111001100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/>
      <c r="N30" s="3"/>
      <c r="O30" s="3"/>
      <c r="Q30" s="8">
        <v>10.0</v>
      </c>
      <c r="R30" s="8">
        <v>7.0</v>
      </c>
      <c r="S30" s="7" t="str">
        <f t="shared" si="21"/>
        <v>1</v>
      </c>
      <c r="T30" s="7" t="str">
        <f t="shared" si="22"/>
        <v>100001001011010101000000001010100001010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010110001011111101110011001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/>
      <c r="N31" s="3"/>
      <c r="O31" s="3"/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00001001011010101000000001010100001010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0101100010111111011100110010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0001001011010101000000001010100001010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01011000101111110111001100100</v>
      </c>
    </row>
    <row r="33">
      <c r="A33" s="6" t="s">
        <v>12</v>
      </c>
      <c r="B33" s="7" t="str">
        <f>B1</f>
        <v>011100101010110111010010101011011000011001010111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001001011010101000000001010100001010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010110001011111101110011001001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01001011010101000000001010100001010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0101100010111111011100110010011</v>
      </c>
    </row>
    <row r="35">
      <c r="A35" s="1">
        <v>1.0</v>
      </c>
      <c r="B35" s="3" t="str">
        <f t="shared" ref="B35:B40" si="25">MID($B$1,(A35-1)*8+1,8)</f>
        <v>01110010</v>
      </c>
      <c r="C35" s="3" t="str">
        <f t="shared" ref="C35:C40" si="26">BIN2HEX(B35,2)</f>
        <v>72</v>
      </c>
      <c r="D35" s="3">
        <f t="shared" ref="D35:D40" si="27">BIN2DEC(B35)</f>
        <v>114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1001011010101000000001010100001010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01011000101111110111001100100111</v>
      </c>
    </row>
    <row r="36">
      <c r="A36" s="1">
        <v>2.0</v>
      </c>
      <c r="B36" s="3" t="str">
        <f t="shared" si="25"/>
        <v>10101101</v>
      </c>
      <c r="C36" s="3" t="str">
        <f t="shared" si="26"/>
        <v>AD</v>
      </c>
      <c r="D36" s="3">
        <f t="shared" si="27"/>
        <v>173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001011010101000000001010100001010</v>
      </c>
    </row>
    <row r="37">
      <c r="A37" s="1">
        <v>3.0</v>
      </c>
      <c r="B37" s="3" t="str">
        <f t="shared" si="25"/>
        <v>11010010</v>
      </c>
      <c r="C37" s="3" t="str">
        <f t="shared" si="26"/>
        <v>D2</v>
      </c>
      <c r="D37" s="3">
        <f t="shared" si="27"/>
        <v>210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01011010101000000001010100001010</v>
      </c>
    </row>
    <row r="38">
      <c r="A38" s="1">
        <v>4.0</v>
      </c>
      <c r="B38" s="3" t="str">
        <f t="shared" si="25"/>
        <v>10101101</v>
      </c>
      <c r="C38" s="3" t="str">
        <f t="shared" si="26"/>
        <v>AD</v>
      </c>
      <c r="D38" s="3">
        <f t="shared" si="27"/>
        <v>173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1011010101000000001010100001010</v>
      </c>
      <c r="U38" s="11" t="s">
        <v>27</v>
      </c>
      <c r="V38" s="12" t="str">
        <f>X35</f>
        <v>01011000101111110111001100100111</v>
      </c>
      <c r="W38" s="12"/>
      <c r="X38" s="12"/>
    </row>
    <row r="39">
      <c r="A39" s="1">
        <v>5.0</v>
      </c>
      <c r="B39" s="3" t="str">
        <f t="shared" si="25"/>
        <v>10000110</v>
      </c>
      <c r="C39" s="3" t="str">
        <f t="shared" si="26"/>
        <v>86</v>
      </c>
      <c r="D39" s="3">
        <f t="shared" si="27"/>
        <v>134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011010101000000001010100001010</v>
      </c>
    </row>
    <row r="40">
      <c r="A40" s="1">
        <v>6.0</v>
      </c>
      <c r="B40" s="3" t="str">
        <f t="shared" si="25"/>
        <v>01010111</v>
      </c>
      <c r="C40" s="3" t="str">
        <f t="shared" si="26"/>
        <v>57</v>
      </c>
      <c r="D40" s="3">
        <f t="shared" si="27"/>
        <v>87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11010101000000001010100001010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1010101000000001010100001010</v>
      </c>
      <c r="U41" s="6" t="s">
        <v>29</v>
      </c>
      <c r="V41" s="7" t="str">
        <f>N20</f>
        <v>01001001110110101010000100101001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101111111100001001011010101000000001010100001010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010101000000001010100001010</v>
      </c>
    </row>
    <row r="43">
      <c r="A43" s="1">
        <v>1.0</v>
      </c>
      <c r="B43" s="3" t="str">
        <f t="shared" ref="B43:B48" si="28">MID($T$21,(A43-1)*8+1,8)</f>
        <v>10111111</v>
      </c>
      <c r="C43" s="3" t="str">
        <f t="shared" ref="C43:C48" si="29">BIN2HEX(B43,2)</f>
        <v>BF</v>
      </c>
      <c r="D43" s="3">
        <f t="shared" ref="D43:D48" si="30">BIN2DEC(B43)</f>
        <v>191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10101000000001010100001010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11000010</v>
      </c>
      <c r="C44" s="3" t="str">
        <f t="shared" si="29"/>
        <v>C2</v>
      </c>
      <c r="D44" s="3">
        <f t="shared" si="30"/>
        <v>194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0101000000001010100001010</v>
      </c>
      <c r="U44" s="1">
        <v>1.0</v>
      </c>
      <c r="V44" s="3" t="str">
        <f t="shared" ref="V44:V47" si="31">MID($V$38,(U44-1)*8+1,8)</f>
        <v>01011000</v>
      </c>
      <c r="W44" s="3" t="str">
        <f t="shared" ref="W44:W47" si="32">BIN2HEX(V44,2)</f>
        <v>58</v>
      </c>
      <c r="X44" s="3">
        <f t="shared" ref="X44:X47" si="33">HEX2DEC(W44)</f>
        <v>88</v>
      </c>
    </row>
    <row r="45">
      <c r="A45" s="1">
        <v>3.0</v>
      </c>
      <c r="B45" s="3" t="str">
        <f t="shared" si="28"/>
        <v>01011010</v>
      </c>
      <c r="C45" s="3" t="str">
        <f t="shared" si="29"/>
        <v>5A</v>
      </c>
      <c r="D45" s="3">
        <f t="shared" si="30"/>
        <v>90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101000000001010100001010</v>
      </c>
      <c r="U45" s="1">
        <v>2.0</v>
      </c>
      <c r="V45" s="3" t="str">
        <f t="shared" si="31"/>
        <v>10111111</v>
      </c>
      <c r="W45" s="3" t="str">
        <f t="shared" si="32"/>
        <v>BF</v>
      </c>
      <c r="X45" s="3">
        <f t="shared" si="33"/>
        <v>191</v>
      </c>
    </row>
    <row r="46">
      <c r="A46" s="1">
        <v>4.0</v>
      </c>
      <c r="B46" s="3" t="str">
        <f t="shared" si="28"/>
        <v>10100000</v>
      </c>
      <c r="C46" s="3" t="str">
        <f t="shared" si="29"/>
        <v>A0</v>
      </c>
      <c r="D46" s="3">
        <f t="shared" si="30"/>
        <v>160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01000000001010100001010</v>
      </c>
      <c r="U46" s="1">
        <v>3.0</v>
      </c>
      <c r="V46" s="3" t="str">
        <f t="shared" si="31"/>
        <v>01110011</v>
      </c>
      <c r="W46" s="3" t="str">
        <f t="shared" si="32"/>
        <v>73</v>
      </c>
      <c r="X46" s="3">
        <f t="shared" si="33"/>
        <v>115</v>
      </c>
    </row>
    <row r="47">
      <c r="A47" s="1">
        <v>5.0</v>
      </c>
      <c r="B47" s="3" t="str">
        <f t="shared" si="28"/>
        <v>00010101</v>
      </c>
      <c r="C47" s="3" t="str">
        <f t="shared" si="29"/>
        <v>15</v>
      </c>
      <c r="D47" s="3">
        <f t="shared" si="30"/>
        <v>21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1000000001010100001010</v>
      </c>
      <c r="U47" s="1">
        <v>4.0</v>
      </c>
      <c r="V47" s="3" t="str">
        <f t="shared" si="31"/>
        <v>00100111</v>
      </c>
      <c r="W47" s="3" t="str">
        <f t="shared" si="32"/>
        <v>27</v>
      </c>
      <c r="X47" s="3">
        <f t="shared" si="33"/>
        <v>39</v>
      </c>
    </row>
    <row r="48">
      <c r="A48" s="1">
        <v>6.0</v>
      </c>
      <c r="B48" s="3" t="str">
        <f t="shared" si="28"/>
        <v>00001010</v>
      </c>
      <c r="C48" s="3" t="str">
        <f t="shared" si="29"/>
        <v>0A</v>
      </c>
      <c r="D48" s="3">
        <f t="shared" si="30"/>
        <v>10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000000001010100001010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00000001010100001010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0000001010100001010</v>
      </c>
    </row>
    <row r="51">
      <c r="A51" s="6">
        <v>1.0</v>
      </c>
      <c r="B51" s="7">
        <f t="shared" ref="B51:B56" si="34">BITXOR(D35,D43)</f>
        <v>205</v>
      </c>
      <c r="C51" s="7" t="str">
        <f t="shared" ref="C51:C56" si="35">DEC2BIN(B51,8)</f>
        <v>11001101</v>
      </c>
      <c r="D51" s="7" t="str">
        <f t="shared" ref="D51:D56" si="36">DEC2HEX(B51,2)</f>
        <v>CD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000001010100001010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111</v>
      </c>
      <c r="C52" s="7" t="str">
        <f t="shared" si="35"/>
        <v>01101111</v>
      </c>
      <c r="D52" s="7" t="str">
        <f t="shared" si="36"/>
        <v>6F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00001010100001010</v>
      </c>
      <c r="U52" s="1">
        <v>1.0</v>
      </c>
      <c r="V52" s="3" t="str">
        <f t="shared" ref="V52:V55" si="37">MID($V$41,(U52-1)*8+1,8)</f>
        <v>01001001</v>
      </c>
      <c r="W52" s="3" t="str">
        <f t="shared" ref="W52:W55" si="38">BIN2HEX(V52,2)</f>
        <v>49</v>
      </c>
      <c r="X52" s="3">
        <f t="shared" ref="X52:X55" si="39">HEX2DEC(W52)</f>
        <v>73</v>
      </c>
    </row>
    <row r="53">
      <c r="A53" s="6">
        <v>3.0</v>
      </c>
      <c r="B53" s="7">
        <f t="shared" si="34"/>
        <v>136</v>
      </c>
      <c r="C53" s="7" t="str">
        <f t="shared" si="35"/>
        <v>10001000</v>
      </c>
      <c r="D53" s="7" t="str">
        <f t="shared" si="36"/>
        <v>88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0001010100001010</v>
      </c>
      <c r="U53" s="1">
        <v>2.0</v>
      </c>
      <c r="V53" s="3" t="str">
        <f t="shared" si="37"/>
        <v>11011010</v>
      </c>
      <c r="W53" s="3" t="str">
        <f t="shared" si="38"/>
        <v>DA</v>
      </c>
      <c r="X53" s="3">
        <f t="shared" si="39"/>
        <v>218</v>
      </c>
    </row>
    <row r="54">
      <c r="A54" s="6">
        <v>4.0</v>
      </c>
      <c r="B54" s="7">
        <f t="shared" si="34"/>
        <v>13</v>
      </c>
      <c r="C54" s="7" t="str">
        <f t="shared" si="35"/>
        <v>00001101</v>
      </c>
      <c r="D54" s="7" t="str">
        <f t="shared" si="36"/>
        <v>0D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001010100001010</v>
      </c>
      <c r="U54" s="1">
        <v>3.0</v>
      </c>
      <c r="V54" s="3" t="str">
        <f t="shared" si="37"/>
        <v>10100001</v>
      </c>
      <c r="W54" s="3" t="str">
        <f t="shared" si="38"/>
        <v>A1</v>
      </c>
      <c r="X54" s="3">
        <f t="shared" si="39"/>
        <v>161</v>
      </c>
    </row>
    <row r="55">
      <c r="A55" s="6">
        <v>5.0</v>
      </c>
      <c r="B55" s="7">
        <f t="shared" si="34"/>
        <v>147</v>
      </c>
      <c r="C55" s="7" t="str">
        <f t="shared" si="35"/>
        <v>10010011</v>
      </c>
      <c r="D55" s="7" t="str">
        <f t="shared" si="36"/>
        <v>93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01010100001010</v>
      </c>
      <c r="U55" s="1">
        <v>4.0</v>
      </c>
      <c r="V55" s="3" t="str">
        <f t="shared" si="37"/>
        <v>00101001</v>
      </c>
      <c r="W55" s="3" t="str">
        <f t="shared" si="38"/>
        <v>29</v>
      </c>
      <c r="X55" s="3">
        <f t="shared" si="39"/>
        <v>41</v>
      </c>
    </row>
    <row r="56">
      <c r="A56" s="6">
        <v>6.0</v>
      </c>
      <c r="B56" s="7">
        <f t="shared" si="34"/>
        <v>93</v>
      </c>
      <c r="C56" s="7" t="str">
        <f t="shared" si="35"/>
        <v>01011101</v>
      </c>
      <c r="D56" s="7" t="str">
        <f t="shared" si="36"/>
        <v>5D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1</v>
      </c>
      <c r="T56" s="7" t="str">
        <f t="shared" si="22"/>
        <v>1010100001010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010100001010</v>
      </c>
      <c r="U57" s="9" t="s">
        <v>66</v>
      </c>
      <c r="V57" s="10" t="str">
        <f>Y62</f>
        <v>00010001011001011101001000001110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1</v>
      </c>
      <c r="T58" s="7" t="str">
        <f t="shared" si="22"/>
        <v>10100001010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110011010110111110001000000011011001001101011101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0100001010</v>
      </c>
      <c r="U59" s="6">
        <v>1.0</v>
      </c>
      <c r="V59" s="7">
        <f t="shared" ref="V59:V62" si="40">BITXOR(X44,X52)</f>
        <v>17</v>
      </c>
      <c r="W59" s="7" t="str">
        <f t="shared" ref="W59:W62" si="41">DEC2HEX(V59)</f>
        <v>11</v>
      </c>
      <c r="X59" s="7" t="str">
        <f t="shared" ref="X59:X62" si="42">HEX2BIN(W59,8)</f>
        <v>00010001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1</v>
      </c>
      <c r="T60" s="7" t="str">
        <f t="shared" si="22"/>
        <v>100001010</v>
      </c>
      <c r="U60" s="6">
        <v>2.0</v>
      </c>
      <c r="V60" s="7">
        <f t="shared" si="40"/>
        <v>101</v>
      </c>
      <c r="W60" s="7" t="str">
        <f t="shared" si="41"/>
        <v>65</v>
      </c>
      <c r="X60" s="7" t="str">
        <f t="shared" si="42"/>
        <v>01100101</v>
      </c>
      <c r="Y60" s="7" t="str">
        <f>X59&amp;X60</f>
        <v>0001000101100101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0</v>
      </c>
      <c r="T61" s="7" t="str">
        <f t="shared" si="22"/>
        <v>00001010</v>
      </c>
      <c r="U61" s="6">
        <v>3.0</v>
      </c>
      <c r="V61" s="7">
        <f t="shared" si="40"/>
        <v>210</v>
      </c>
      <c r="W61" s="7" t="str">
        <f t="shared" si="41"/>
        <v>D2</v>
      </c>
      <c r="X61" s="7" t="str">
        <f t="shared" si="42"/>
        <v>11010010</v>
      </c>
      <c r="Y61" s="7" t="str">
        <f t="shared" ref="Y61:Y62" si="43">Y60&amp;X61</f>
        <v>000100010110010111010010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0</v>
      </c>
      <c r="T62" s="7" t="str">
        <f t="shared" si="22"/>
        <v>0001010</v>
      </c>
      <c r="U62" s="6">
        <v>4.0</v>
      </c>
      <c r="V62" s="7">
        <f t="shared" si="40"/>
        <v>14</v>
      </c>
      <c r="W62" s="7" t="str">
        <f t="shared" si="41"/>
        <v>E</v>
      </c>
      <c r="X62" s="7" t="str">
        <f t="shared" si="42"/>
        <v>00001110</v>
      </c>
      <c r="Y62" s="7" t="str">
        <f t="shared" si="43"/>
        <v>00010001011001011101001000001110</v>
      </c>
    </row>
    <row r="63">
      <c r="A63" s="6">
        <v>1.0</v>
      </c>
      <c r="B63" s="7" t="str">
        <f t="shared" ref="B63:B70" si="44">MID($B$59,(A63-1)*6+1,6)</f>
        <v>110011</v>
      </c>
      <c r="C63" s="7" t="str">
        <f t="shared" ref="C63:C70" si="45">LEFT(B63,1)&amp;RIGHT(B63,1)</f>
        <v>11</v>
      </c>
      <c r="D63" s="7" t="str">
        <f t="shared" ref="D63:D70" si="46">MID(B63,2,4)</f>
        <v>1001</v>
      </c>
      <c r="E63" s="7" t="str">
        <f t="shared" ref="E63:E70" si="47">C63&amp;D63</f>
        <v>111001</v>
      </c>
      <c r="F63" s="7">
        <f t="shared" ref="F63:F70" si="48">BIN2DEC(E63)</f>
        <v>57</v>
      </c>
      <c r="G63" s="7">
        <f>VLOOKUP(F63,$A$79:$I$142,2,TRUE)</f>
        <v>11</v>
      </c>
      <c r="H63" s="7" t="str">
        <f t="shared" ref="H63:H70" si="49">DEC2BIN(G63,4)</f>
        <v>1011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0</v>
      </c>
      <c r="T63" s="7" t="str">
        <f t="shared" si="22"/>
        <v>001010</v>
      </c>
    </row>
    <row r="64">
      <c r="A64" s="6">
        <v>2.0</v>
      </c>
      <c r="B64" s="7" t="str">
        <f t="shared" si="44"/>
        <v>010110</v>
      </c>
      <c r="C64" s="7" t="str">
        <f t="shared" si="45"/>
        <v>00</v>
      </c>
      <c r="D64" s="7" t="str">
        <f t="shared" si="46"/>
        <v>1011</v>
      </c>
      <c r="E64" s="7" t="str">
        <f t="shared" si="47"/>
        <v>001011</v>
      </c>
      <c r="F64" s="7">
        <f t="shared" si="48"/>
        <v>11</v>
      </c>
      <c r="G64" s="7">
        <f>VLOOKUP(F64,$A$79:$I$142,3,TRUE)</f>
        <v>11</v>
      </c>
      <c r="H64" s="7" t="str">
        <f t="shared" si="49"/>
        <v>1011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0</v>
      </c>
      <c r="T64" s="7" t="str">
        <f t="shared" si="22"/>
        <v>01010</v>
      </c>
    </row>
    <row r="65">
      <c r="A65" s="6">
        <v>3.0</v>
      </c>
      <c r="B65" s="7" t="str">
        <f t="shared" si="44"/>
        <v>111110</v>
      </c>
      <c r="C65" s="7" t="str">
        <f t="shared" si="45"/>
        <v>10</v>
      </c>
      <c r="D65" s="7" t="str">
        <f t="shared" si="46"/>
        <v>1111</v>
      </c>
      <c r="E65" s="7" t="str">
        <f t="shared" si="47"/>
        <v>101111</v>
      </c>
      <c r="F65" s="7">
        <f t="shared" si="48"/>
        <v>47</v>
      </c>
      <c r="G65" s="7">
        <f>VLOOKUP(F65,$A$79:$I$142,4,TRUE)</f>
        <v>14</v>
      </c>
      <c r="H65" s="7" t="str">
        <f t="shared" si="49"/>
        <v>1110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1010</v>
      </c>
    </row>
    <row r="66">
      <c r="A66" s="6">
        <v>4.0</v>
      </c>
      <c r="B66" s="7" t="str">
        <f t="shared" si="44"/>
        <v>001000</v>
      </c>
      <c r="C66" s="7" t="str">
        <f t="shared" si="45"/>
        <v>00</v>
      </c>
      <c r="D66" s="7" t="str">
        <f t="shared" si="46"/>
        <v>0100</v>
      </c>
      <c r="E66" s="7" t="str">
        <f t="shared" si="47"/>
        <v>000100</v>
      </c>
      <c r="F66" s="7">
        <f t="shared" si="48"/>
        <v>4</v>
      </c>
      <c r="G66" s="7">
        <f>VLOOKUP(F66,$A$79:$I$142,5,TRUE)</f>
        <v>4</v>
      </c>
      <c r="H66" s="7" t="str">
        <f t="shared" si="49"/>
        <v>0100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010</v>
      </c>
    </row>
    <row r="67">
      <c r="A67" s="6">
        <v>5.0</v>
      </c>
      <c r="B67" s="7" t="str">
        <f t="shared" si="44"/>
        <v>000011</v>
      </c>
      <c r="C67" s="7" t="str">
        <f t="shared" si="45"/>
        <v>01</v>
      </c>
      <c r="D67" s="7" t="str">
        <f t="shared" si="46"/>
        <v>0001</v>
      </c>
      <c r="E67" s="7" t="str">
        <f t="shared" si="47"/>
        <v>010001</v>
      </c>
      <c r="F67" s="7">
        <f t="shared" si="48"/>
        <v>17</v>
      </c>
      <c r="G67" s="7">
        <f>VLOOKUP(F67,$A$79:$I$142,6,TRUE)</f>
        <v>4</v>
      </c>
      <c r="H67" s="7" t="str">
        <f t="shared" si="49"/>
        <v>0100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10</v>
      </c>
    </row>
    <row r="68">
      <c r="A68" s="6">
        <v>6.0</v>
      </c>
      <c r="B68" s="7" t="str">
        <f t="shared" si="44"/>
        <v>011001</v>
      </c>
      <c r="C68" s="7" t="str">
        <f t="shared" si="45"/>
        <v>01</v>
      </c>
      <c r="D68" s="7" t="str">
        <f t="shared" si="46"/>
        <v>1100</v>
      </c>
      <c r="E68" s="7" t="str">
        <f t="shared" si="47"/>
        <v>011100</v>
      </c>
      <c r="F68" s="7">
        <f t="shared" si="48"/>
        <v>28</v>
      </c>
      <c r="G68" s="7">
        <f>VLOOKUP(F68,$A$79:$I$142,7,TRUE)</f>
        <v>11</v>
      </c>
      <c r="H68" s="7" t="str">
        <f t="shared" si="49"/>
        <v>1011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001101</v>
      </c>
      <c r="C69" s="7" t="str">
        <f t="shared" si="45"/>
        <v>01</v>
      </c>
      <c r="D69" s="7" t="str">
        <f t="shared" si="46"/>
        <v>0110</v>
      </c>
      <c r="E69" s="7" t="str">
        <f t="shared" si="47"/>
        <v>010110</v>
      </c>
      <c r="F69" s="7">
        <f t="shared" si="48"/>
        <v>22</v>
      </c>
      <c r="G69" s="7">
        <f>VLOOKUP(F69,$A$79:$I$142,8,TRUE)</f>
        <v>12</v>
      </c>
      <c r="H69" s="7" t="str">
        <f t="shared" si="49"/>
        <v>1100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011101</v>
      </c>
      <c r="C70" s="7" t="str">
        <f t="shared" si="45"/>
        <v>01</v>
      </c>
      <c r="D70" s="7" t="str">
        <f t="shared" si="46"/>
        <v>1110</v>
      </c>
      <c r="E70" s="7" t="str">
        <f t="shared" si="47"/>
        <v>011110</v>
      </c>
      <c r="F70" s="7">
        <f t="shared" si="48"/>
        <v>30</v>
      </c>
      <c r="G70" s="7">
        <f>VLOOKUP(F70,$A$79:$I$142,9,TRUE)</f>
        <v>14</v>
      </c>
      <c r="H70" s="7" t="str">
        <f t="shared" si="49"/>
        <v>1110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67</v>
      </c>
      <c r="Q1" s="6" t="s">
        <v>14</v>
      </c>
      <c r="R1" s="6" t="s">
        <v>4</v>
      </c>
      <c r="U1" s="6" t="s">
        <v>15</v>
      </c>
      <c r="V1" s="7" t="str">
        <f>S9</f>
        <v>00111101000111001110000010001111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3</v>
      </c>
      <c r="R2" s="7" t="str">
        <f t="shared" si="1"/>
        <v>0011</v>
      </c>
    </row>
    <row r="3">
      <c r="A3" s="1">
        <v>1.0</v>
      </c>
      <c r="B3" s="3" t="str">
        <f t="shared" ref="B3:B8" si="3">MID($B$1,(A3-1)*8+1,8)</f>
        <v>01111100</v>
      </c>
      <c r="C3" s="3" t="str">
        <f t="shared" ref="C3:C8" si="4">BIN2HEX(B3,2)</f>
        <v>7C</v>
      </c>
      <c r="Q3" s="7">
        <f t="shared" ref="Q3:R3" si="2">G64</f>
        <v>13</v>
      </c>
      <c r="R3" s="7" t="str">
        <f t="shared" si="2"/>
        <v>1101</v>
      </c>
      <c r="S3" s="7" t="str">
        <f>R2&amp;R3</f>
        <v>00111101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11101100</v>
      </c>
      <c r="C4" s="3" t="str">
        <f t="shared" si="4"/>
        <v>EC</v>
      </c>
      <c r="Q4" s="7">
        <f t="shared" ref="Q4:R4" si="5">G65</f>
        <v>1</v>
      </c>
      <c r="R4" s="7" t="str">
        <f t="shared" si="5"/>
        <v>0001</v>
      </c>
      <c r="S4" s="7" t="str">
        <f t="shared" ref="S4:S9" si="7">S3&amp;R4</f>
        <v>001111010001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00000111</v>
      </c>
      <c r="C5" s="3" t="str">
        <f t="shared" si="4"/>
        <v>07</v>
      </c>
      <c r="Q5" s="7">
        <f t="shared" ref="Q5:R5" si="6">G66</f>
        <v>12</v>
      </c>
      <c r="R5" s="7" t="str">
        <f t="shared" si="6"/>
        <v>1100</v>
      </c>
      <c r="S5" s="7" t="str">
        <f t="shared" si="7"/>
        <v>0011110100011100</v>
      </c>
      <c r="U5" s="8">
        <v>2.0</v>
      </c>
      <c r="V5" s="8">
        <v>7.0</v>
      </c>
      <c r="W5" s="7" t="str">
        <f t="shared" si="8"/>
        <v>0</v>
      </c>
      <c r="X5" s="7" t="str">
        <f>W4&amp;W5</f>
        <v>00</v>
      </c>
    </row>
    <row r="6">
      <c r="A6" s="1">
        <v>4.0</v>
      </c>
      <c r="B6" s="3" t="str">
        <f t="shared" si="3"/>
        <v>00011111</v>
      </c>
      <c r="C6" s="3" t="str">
        <f t="shared" si="4"/>
        <v>1F</v>
      </c>
      <c r="Q6" s="7">
        <f t="shared" ref="Q6:R6" si="9">G67</f>
        <v>14</v>
      </c>
      <c r="R6" s="7" t="str">
        <f t="shared" si="9"/>
        <v>1110</v>
      </c>
      <c r="S6" s="7" t="str">
        <f t="shared" si="7"/>
        <v>00111101000111001110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000</v>
      </c>
    </row>
    <row r="7">
      <c r="A7" s="1">
        <v>5.0</v>
      </c>
      <c r="B7" s="3" t="str">
        <f t="shared" si="3"/>
        <v>11100110</v>
      </c>
      <c r="C7" s="3" t="str">
        <f t="shared" si="4"/>
        <v>E6</v>
      </c>
      <c r="Q7" s="7">
        <f t="shared" ref="Q7:R7" si="10">G68</f>
        <v>0</v>
      </c>
      <c r="R7" s="7" t="str">
        <f t="shared" si="10"/>
        <v>0000</v>
      </c>
      <c r="S7" s="7" t="str">
        <f t="shared" si="7"/>
        <v>001111010001110011100000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0000</v>
      </c>
    </row>
    <row r="8">
      <c r="A8" s="1">
        <v>6.0</v>
      </c>
      <c r="B8" s="3" t="str">
        <f t="shared" si="3"/>
        <v>11000010</v>
      </c>
      <c r="C8" s="3" t="str">
        <f t="shared" si="4"/>
        <v>C2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8</v>
      </c>
      <c r="R8" s="7" t="str">
        <f t="shared" si="12"/>
        <v>1000</v>
      </c>
      <c r="S8" s="7" t="str">
        <f t="shared" si="7"/>
        <v>0011110100011100111000001000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00001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15</v>
      </c>
      <c r="R9" s="7" t="str">
        <f t="shared" si="13"/>
        <v>1111</v>
      </c>
      <c r="S9" s="7" t="str">
        <f t="shared" si="7"/>
        <v>00111101000111001110000010001111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000011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0000110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00001101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000011010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0000110100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00001101000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000011010000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0000110100001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00001101000011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000011010000111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0000110100001110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68</v>
      </c>
      <c r="N20" s="10" t="s">
        <v>65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0</v>
      </c>
      <c r="X20" s="7" t="str">
        <f t="shared" si="11"/>
        <v>00001101000011100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69</v>
      </c>
      <c r="N21" s="7" t="s">
        <v>70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000010100010101100001011111010100100000001011100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000011010000111001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00010100010101100001011111010100100000001011100</v>
      </c>
      <c r="U22" s="8">
        <v>19.0</v>
      </c>
      <c r="V22" s="8">
        <v>24.0</v>
      </c>
      <c r="W22" s="7" t="str">
        <f t="shared" si="8"/>
        <v>0</v>
      </c>
      <c r="X22" s="7" t="str">
        <f t="shared" si="11"/>
        <v>0000110100001110010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0</v>
      </c>
      <c r="T23" s="7" t="str">
        <f t="shared" si="22"/>
        <v>0010100010101100001011111010100100000001011100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00001101000011100101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00001010</v>
      </c>
      <c r="O24" s="3" t="str">
        <f t="shared" ref="O24:O31" si="24">BIN2HEX(N24,2)</f>
        <v>0A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010100010101100001011111010100100000001011100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000011010000111001011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00101011</v>
      </c>
      <c r="O25" s="3" t="str">
        <f t="shared" si="24"/>
        <v>2B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10100010101100001011111010100100000001011100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0000110100001110010110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00001011</v>
      </c>
      <c r="O26" s="3" t="str">
        <f t="shared" si="24"/>
        <v>0B</v>
      </c>
      <c r="Q26" s="8">
        <v>6.0</v>
      </c>
      <c r="R26" s="8">
        <v>5.0</v>
      </c>
      <c r="S26" s="7" t="str">
        <f t="shared" si="21"/>
        <v>0</v>
      </c>
      <c r="T26" s="7" t="str">
        <f t="shared" si="22"/>
        <v>0100010101100001011111010100100000001011100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00001101000011100101101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11101010</v>
      </c>
      <c r="O27" s="3" t="str">
        <f t="shared" si="24"/>
        <v>EA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100010101100001011111010100100000001011100</v>
      </c>
      <c r="U27" s="8">
        <v>24.0</v>
      </c>
      <c r="V27" s="8">
        <v>9.0</v>
      </c>
      <c r="W27" s="7" t="str">
        <f t="shared" si="8"/>
        <v>0</v>
      </c>
      <c r="X27" s="7" t="str">
        <f t="shared" si="11"/>
        <v>000011010000111001011010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01000000</v>
      </c>
      <c r="O28" s="3" t="str">
        <f t="shared" si="24"/>
        <v>40</v>
      </c>
      <c r="Q28" s="8">
        <v>8.0</v>
      </c>
      <c r="R28" s="8">
        <v>5.0</v>
      </c>
      <c r="S28" s="7" t="str">
        <f t="shared" si="21"/>
        <v>0</v>
      </c>
      <c r="T28" s="7" t="str">
        <f t="shared" si="22"/>
        <v>00010101100001011111010100100000001011100</v>
      </c>
      <c r="U28" s="8">
        <v>25.0</v>
      </c>
      <c r="V28" s="8">
        <v>19.0</v>
      </c>
      <c r="W28" s="7" t="str">
        <f t="shared" si="8"/>
        <v>1</v>
      </c>
      <c r="X28" s="7" t="str">
        <f t="shared" si="11"/>
        <v>0000110100001110010110101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01011100</v>
      </c>
      <c r="O29" s="3" t="str">
        <f t="shared" si="24"/>
        <v>5C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0010101100001011111010100100000001011100</v>
      </c>
      <c r="U29" s="8">
        <v>26.0</v>
      </c>
      <c r="V29" s="8">
        <v>13.0</v>
      </c>
      <c r="W29" s="7" t="str">
        <f t="shared" si="8"/>
        <v>1</v>
      </c>
      <c r="X29" s="7" t="str">
        <f t="shared" si="11"/>
        <v>00001101000011100101101011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0</v>
      </c>
      <c r="T30" s="7" t="str">
        <f t="shared" si="22"/>
        <v>010101100001011111010100100000001011100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000011010000111001011010111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1</v>
      </c>
      <c r="T31" s="7" t="str">
        <f t="shared" si="22"/>
        <v>10101100001011111010100100000001011100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0000110100001110010110101111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0101100001011111010100100000001011100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00001101000011100101101011110</v>
      </c>
    </row>
    <row r="33">
      <c r="A33" s="6" t="s">
        <v>12</v>
      </c>
      <c r="B33" s="7" t="str">
        <f>B1</f>
        <v>011111001110110000000111000111111110011011000010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1</v>
      </c>
      <c r="T33" s="7" t="str">
        <f t="shared" si="22"/>
        <v>101100001011111010100100000001011100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000011010000111001011010111100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01100001011111010100100000001011100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0000110100001110010110101111001</v>
      </c>
    </row>
    <row r="35">
      <c r="A35" s="1">
        <v>1.0</v>
      </c>
      <c r="B35" s="3" t="str">
        <f t="shared" ref="B35:B40" si="25">MID($B$1,(A35-1)*8+1,8)</f>
        <v>01111100</v>
      </c>
      <c r="C35" s="3" t="str">
        <f t="shared" ref="C35:C40" si="26">BIN2HEX(B35,2)</f>
        <v>7C</v>
      </c>
      <c r="D35" s="3">
        <f t="shared" ref="D35:D40" si="27">BIN2DEC(B35)</f>
        <v>124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1100001011111010100100000001011100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00001101000011100101101011110011</v>
      </c>
    </row>
    <row r="36">
      <c r="A36" s="1">
        <v>2.0</v>
      </c>
      <c r="B36" s="3" t="str">
        <f t="shared" si="25"/>
        <v>11101100</v>
      </c>
      <c r="C36" s="3" t="str">
        <f t="shared" si="26"/>
        <v>EC</v>
      </c>
      <c r="D36" s="3">
        <f t="shared" si="27"/>
        <v>236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100001011111010100100000001011100</v>
      </c>
    </row>
    <row r="37">
      <c r="A37" s="1">
        <v>3.0</v>
      </c>
      <c r="B37" s="3" t="str">
        <f t="shared" si="25"/>
        <v>00000111</v>
      </c>
      <c r="C37" s="3" t="str">
        <f t="shared" si="26"/>
        <v>07</v>
      </c>
      <c r="D37" s="3">
        <f t="shared" si="27"/>
        <v>7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00001011111010100100000001011100</v>
      </c>
    </row>
    <row r="38">
      <c r="A38" s="1">
        <v>4.0</v>
      </c>
      <c r="B38" s="3" t="str">
        <f t="shared" si="25"/>
        <v>00011111</v>
      </c>
      <c r="C38" s="3" t="str">
        <f t="shared" si="26"/>
        <v>1F</v>
      </c>
      <c r="D38" s="3">
        <f t="shared" si="27"/>
        <v>31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0</v>
      </c>
      <c r="T38" s="7" t="str">
        <f t="shared" si="22"/>
        <v>0001011111010100100000001011100</v>
      </c>
      <c r="U38" s="11" t="s">
        <v>27</v>
      </c>
      <c r="V38" s="12" t="str">
        <f>X35</f>
        <v>00001101000011100101101011110011</v>
      </c>
      <c r="W38" s="12"/>
      <c r="X38" s="12"/>
    </row>
    <row r="39">
      <c r="A39" s="1">
        <v>5.0</v>
      </c>
      <c r="B39" s="3" t="str">
        <f t="shared" si="25"/>
        <v>11100110</v>
      </c>
      <c r="C39" s="3" t="str">
        <f t="shared" si="26"/>
        <v>E6</v>
      </c>
      <c r="D39" s="3">
        <f t="shared" si="27"/>
        <v>230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001011111010100100000001011100</v>
      </c>
    </row>
    <row r="40">
      <c r="A40" s="1">
        <v>6.0</v>
      </c>
      <c r="B40" s="3" t="str">
        <f t="shared" si="25"/>
        <v>11000010</v>
      </c>
      <c r="C40" s="3" t="str">
        <f t="shared" si="26"/>
        <v>C2</v>
      </c>
      <c r="D40" s="3">
        <f t="shared" si="27"/>
        <v>194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0</v>
      </c>
      <c r="T40" s="7" t="str">
        <f t="shared" si="22"/>
        <v>01011111010100100000001011100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1011111010100100000001011100</v>
      </c>
      <c r="U41" s="6" t="s">
        <v>29</v>
      </c>
      <c r="V41" s="7" t="str">
        <f>N20</f>
        <v>01111110010011010100000010100101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000010100010101100001011111010100100000001011100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011111010100100000001011100</v>
      </c>
    </row>
    <row r="43">
      <c r="A43" s="1">
        <v>1.0</v>
      </c>
      <c r="B43" s="3" t="str">
        <f t="shared" ref="B43:B48" si="28">MID($T$21,(A43-1)*8+1,8)</f>
        <v>00001010</v>
      </c>
      <c r="C43" s="3" t="str">
        <f t="shared" ref="C43:C48" si="29">BIN2HEX(B43,2)</f>
        <v>0A</v>
      </c>
      <c r="D43" s="3">
        <f t="shared" ref="D43:D48" si="30">BIN2DEC(B43)</f>
        <v>10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11111010100100000001011100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00101011</v>
      </c>
      <c r="C44" s="3" t="str">
        <f t="shared" si="29"/>
        <v>2B</v>
      </c>
      <c r="D44" s="3">
        <f t="shared" si="30"/>
        <v>43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1111010100100000001011100</v>
      </c>
      <c r="U44" s="1">
        <v>1.0</v>
      </c>
      <c r="V44" s="3" t="str">
        <f t="shared" ref="V44:V47" si="31">MID($V$38,(U44-1)*8+1,8)</f>
        <v>00001101</v>
      </c>
      <c r="W44" s="3" t="str">
        <f t="shared" ref="W44:W47" si="32">BIN2HEX(V44,2)</f>
        <v>0D</v>
      </c>
      <c r="X44" s="3">
        <f t="shared" ref="X44:X47" si="33">HEX2DEC(W44)</f>
        <v>13</v>
      </c>
    </row>
    <row r="45">
      <c r="A45" s="1">
        <v>3.0</v>
      </c>
      <c r="B45" s="3" t="str">
        <f t="shared" si="28"/>
        <v>00001011</v>
      </c>
      <c r="C45" s="3" t="str">
        <f t="shared" si="29"/>
        <v>0B</v>
      </c>
      <c r="D45" s="3">
        <f t="shared" si="30"/>
        <v>11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111010100100000001011100</v>
      </c>
      <c r="U45" s="1">
        <v>2.0</v>
      </c>
      <c r="V45" s="3" t="str">
        <f t="shared" si="31"/>
        <v>00001110</v>
      </c>
      <c r="W45" s="3" t="str">
        <f t="shared" si="32"/>
        <v>0E</v>
      </c>
      <c r="X45" s="3">
        <f t="shared" si="33"/>
        <v>14</v>
      </c>
    </row>
    <row r="46">
      <c r="A46" s="1">
        <v>4.0</v>
      </c>
      <c r="B46" s="3" t="str">
        <f t="shared" si="28"/>
        <v>11101010</v>
      </c>
      <c r="C46" s="3" t="str">
        <f t="shared" si="29"/>
        <v>EA</v>
      </c>
      <c r="D46" s="3">
        <f t="shared" si="30"/>
        <v>234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11010100100000001011100</v>
      </c>
      <c r="U46" s="1">
        <v>3.0</v>
      </c>
      <c r="V46" s="3" t="str">
        <f t="shared" si="31"/>
        <v>01011010</v>
      </c>
      <c r="W46" s="3" t="str">
        <f t="shared" si="32"/>
        <v>5A</v>
      </c>
      <c r="X46" s="3">
        <f t="shared" si="33"/>
        <v>90</v>
      </c>
    </row>
    <row r="47">
      <c r="A47" s="1">
        <v>5.0</v>
      </c>
      <c r="B47" s="3" t="str">
        <f t="shared" si="28"/>
        <v>01000000</v>
      </c>
      <c r="C47" s="3" t="str">
        <f t="shared" si="29"/>
        <v>40</v>
      </c>
      <c r="D47" s="3">
        <f t="shared" si="30"/>
        <v>64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1010100100000001011100</v>
      </c>
      <c r="U47" s="1">
        <v>4.0</v>
      </c>
      <c r="V47" s="3" t="str">
        <f t="shared" si="31"/>
        <v>11110011</v>
      </c>
      <c r="W47" s="3" t="str">
        <f t="shared" si="32"/>
        <v>F3</v>
      </c>
      <c r="X47" s="3">
        <f t="shared" si="33"/>
        <v>243</v>
      </c>
    </row>
    <row r="48">
      <c r="A48" s="1">
        <v>6.0</v>
      </c>
      <c r="B48" s="3" t="str">
        <f t="shared" si="28"/>
        <v>01011100</v>
      </c>
      <c r="C48" s="3" t="str">
        <f t="shared" si="29"/>
        <v>5C</v>
      </c>
      <c r="D48" s="3">
        <f t="shared" si="30"/>
        <v>92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010100100000001011100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10100100000001011100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0100100000001011100</v>
      </c>
    </row>
    <row r="51">
      <c r="A51" s="6">
        <v>1.0</v>
      </c>
      <c r="B51" s="7">
        <f t="shared" ref="B51:B56" si="34">BITXOR(D35,D43)</f>
        <v>118</v>
      </c>
      <c r="C51" s="7" t="str">
        <f t="shared" ref="C51:C56" si="35">DEC2BIN(B51,8)</f>
        <v>01110110</v>
      </c>
      <c r="D51" s="7" t="str">
        <f t="shared" ref="D51:D56" si="36">DEC2HEX(B51,2)</f>
        <v>76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100100000001011100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199</v>
      </c>
      <c r="C52" s="7" t="str">
        <f t="shared" si="35"/>
        <v>11000111</v>
      </c>
      <c r="D52" s="7" t="str">
        <f t="shared" si="36"/>
        <v>C7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00100000001011100</v>
      </c>
      <c r="U52" s="1">
        <v>1.0</v>
      </c>
      <c r="V52" s="3" t="str">
        <f t="shared" ref="V52:V55" si="37">MID($V$41,(U52-1)*8+1,8)</f>
        <v>01111110</v>
      </c>
      <c r="W52" s="3" t="str">
        <f t="shared" ref="W52:W55" si="38">BIN2HEX(V52,2)</f>
        <v>7E</v>
      </c>
      <c r="X52" s="3">
        <f t="shared" ref="X52:X55" si="39">HEX2DEC(W52)</f>
        <v>126</v>
      </c>
    </row>
    <row r="53">
      <c r="A53" s="6">
        <v>3.0</v>
      </c>
      <c r="B53" s="7">
        <f t="shared" si="34"/>
        <v>12</v>
      </c>
      <c r="C53" s="7" t="str">
        <f t="shared" si="35"/>
        <v>00001100</v>
      </c>
      <c r="D53" s="7" t="str">
        <f t="shared" si="36"/>
        <v>0C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0100000001011100</v>
      </c>
      <c r="U53" s="1">
        <v>2.0</v>
      </c>
      <c r="V53" s="3" t="str">
        <f t="shared" si="37"/>
        <v>01001101</v>
      </c>
      <c r="W53" s="3" t="str">
        <f t="shared" si="38"/>
        <v>4D</v>
      </c>
      <c r="X53" s="3">
        <f t="shared" si="39"/>
        <v>77</v>
      </c>
    </row>
    <row r="54">
      <c r="A54" s="6">
        <v>4.0</v>
      </c>
      <c r="B54" s="7">
        <f t="shared" si="34"/>
        <v>245</v>
      </c>
      <c r="C54" s="7" t="str">
        <f t="shared" si="35"/>
        <v>11110101</v>
      </c>
      <c r="D54" s="7" t="str">
        <f t="shared" si="36"/>
        <v>F5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1</v>
      </c>
      <c r="T54" s="7" t="str">
        <f t="shared" si="22"/>
        <v>100000001011100</v>
      </c>
      <c r="U54" s="1">
        <v>3.0</v>
      </c>
      <c r="V54" s="3" t="str">
        <f t="shared" si="37"/>
        <v>01000000</v>
      </c>
      <c r="W54" s="3" t="str">
        <f t="shared" si="38"/>
        <v>40</v>
      </c>
      <c r="X54" s="3">
        <f t="shared" si="39"/>
        <v>64</v>
      </c>
    </row>
    <row r="55">
      <c r="A55" s="6">
        <v>5.0</v>
      </c>
      <c r="B55" s="7">
        <f t="shared" si="34"/>
        <v>166</v>
      </c>
      <c r="C55" s="7" t="str">
        <f t="shared" si="35"/>
        <v>10100110</v>
      </c>
      <c r="D55" s="7" t="str">
        <f t="shared" si="36"/>
        <v>A6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00000001011100</v>
      </c>
      <c r="U55" s="1">
        <v>4.0</v>
      </c>
      <c r="V55" s="3" t="str">
        <f t="shared" si="37"/>
        <v>10100101</v>
      </c>
      <c r="W55" s="3" t="str">
        <f t="shared" si="38"/>
        <v>A5</v>
      </c>
      <c r="X55" s="3">
        <f t="shared" si="39"/>
        <v>165</v>
      </c>
    </row>
    <row r="56">
      <c r="A56" s="6">
        <v>6.0</v>
      </c>
      <c r="B56" s="7">
        <f t="shared" si="34"/>
        <v>158</v>
      </c>
      <c r="C56" s="7" t="str">
        <f t="shared" si="35"/>
        <v>10011110</v>
      </c>
      <c r="D56" s="7" t="str">
        <f t="shared" si="36"/>
        <v>9E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0000001011100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000001011100</v>
      </c>
      <c r="U57" s="9" t="s">
        <v>71</v>
      </c>
      <c r="V57" s="10" t="str">
        <f>Y62</f>
        <v>01110011010000110001101001010110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00001011100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011101101100011100001100111101011010011010011110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0001011100</v>
      </c>
      <c r="U59" s="6">
        <v>1.0</v>
      </c>
      <c r="V59" s="7">
        <f t="shared" ref="V59:V62" si="40">BITXOR(X44,X52)</f>
        <v>115</v>
      </c>
      <c r="W59" s="7" t="str">
        <f t="shared" ref="W59:W62" si="41">DEC2HEX(V59)</f>
        <v>73</v>
      </c>
      <c r="X59" s="7" t="str">
        <f t="shared" ref="X59:X62" si="42">HEX2BIN(W59,8)</f>
        <v>01110011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001011100</v>
      </c>
      <c r="U60" s="6">
        <v>2.0</v>
      </c>
      <c r="V60" s="7">
        <f t="shared" si="40"/>
        <v>67</v>
      </c>
      <c r="W60" s="7" t="str">
        <f t="shared" si="41"/>
        <v>43</v>
      </c>
      <c r="X60" s="7" t="str">
        <f t="shared" si="42"/>
        <v>01000011</v>
      </c>
      <c r="Y60" s="7" t="str">
        <f>X59&amp;X60</f>
        <v>0111001101000011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0</v>
      </c>
      <c r="T61" s="7" t="str">
        <f t="shared" si="22"/>
        <v>01011100</v>
      </c>
      <c r="U61" s="6">
        <v>3.0</v>
      </c>
      <c r="V61" s="7">
        <f t="shared" si="40"/>
        <v>26</v>
      </c>
      <c r="W61" s="7" t="str">
        <f t="shared" si="41"/>
        <v>1A</v>
      </c>
      <c r="X61" s="7" t="str">
        <f t="shared" si="42"/>
        <v>00011010</v>
      </c>
      <c r="Y61" s="7" t="str">
        <f t="shared" ref="Y61:Y62" si="43">Y60&amp;X61</f>
        <v>011100110100001100011010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1011100</v>
      </c>
      <c r="U62" s="6">
        <v>4.0</v>
      </c>
      <c r="V62" s="7">
        <f t="shared" si="40"/>
        <v>86</v>
      </c>
      <c r="W62" s="7" t="str">
        <f t="shared" si="41"/>
        <v>56</v>
      </c>
      <c r="X62" s="7" t="str">
        <f t="shared" si="42"/>
        <v>01010110</v>
      </c>
      <c r="Y62" s="7" t="str">
        <f t="shared" si="43"/>
        <v>01110011010000110001101001010110</v>
      </c>
    </row>
    <row r="63">
      <c r="A63" s="6">
        <v>1.0</v>
      </c>
      <c r="B63" s="7" t="str">
        <f t="shared" ref="B63:B70" si="44">MID($B$59,(A63-1)*6+1,6)</f>
        <v>011101</v>
      </c>
      <c r="C63" s="7" t="str">
        <f t="shared" ref="C63:C70" si="45">LEFT(B63,1)&amp;RIGHT(B63,1)</f>
        <v>01</v>
      </c>
      <c r="D63" s="7" t="str">
        <f t="shared" ref="D63:D70" si="46">MID(B63,2,4)</f>
        <v>1110</v>
      </c>
      <c r="E63" s="7" t="str">
        <f t="shared" ref="E63:E70" si="47">C63&amp;D63</f>
        <v>011110</v>
      </c>
      <c r="F63" s="7">
        <f t="shared" ref="F63:F70" si="48">BIN2DEC(E63)</f>
        <v>30</v>
      </c>
      <c r="G63" s="7">
        <f>VLOOKUP(F63,$A$79:$I$142,2,TRUE)</f>
        <v>3</v>
      </c>
      <c r="H63" s="7" t="str">
        <f t="shared" ref="H63:H70" si="49">DEC2BIN(G63,4)</f>
        <v>0011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0</v>
      </c>
      <c r="T63" s="7" t="str">
        <f t="shared" si="22"/>
        <v>011100</v>
      </c>
    </row>
    <row r="64">
      <c r="A64" s="6">
        <v>2.0</v>
      </c>
      <c r="B64" s="7" t="str">
        <f t="shared" si="44"/>
        <v>101100</v>
      </c>
      <c r="C64" s="7" t="str">
        <f t="shared" si="45"/>
        <v>10</v>
      </c>
      <c r="D64" s="7" t="str">
        <f t="shared" si="46"/>
        <v>0110</v>
      </c>
      <c r="E64" s="7" t="str">
        <f t="shared" si="47"/>
        <v>100110</v>
      </c>
      <c r="F64" s="7">
        <f t="shared" si="48"/>
        <v>38</v>
      </c>
      <c r="G64" s="7">
        <f>VLOOKUP(F64,$A$79:$I$142,3,TRUE)</f>
        <v>13</v>
      </c>
      <c r="H64" s="7" t="str">
        <f t="shared" si="49"/>
        <v>1101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11100</v>
      </c>
    </row>
    <row r="65">
      <c r="A65" s="6">
        <v>3.0</v>
      </c>
      <c r="B65" s="7" t="str">
        <f t="shared" si="44"/>
        <v>011100</v>
      </c>
      <c r="C65" s="7" t="str">
        <f t="shared" si="45"/>
        <v>00</v>
      </c>
      <c r="D65" s="7" t="str">
        <f t="shared" si="46"/>
        <v>1110</v>
      </c>
      <c r="E65" s="7" t="str">
        <f t="shared" si="47"/>
        <v>001110</v>
      </c>
      <c r="F65" s="7">
        <f t="shared" si="48"/>
        <v>14</v>
      </c>
      <c r="G65" s="7">
        <f>VLOOKUP(F65,$A$79:$I$142,4,TRUE)</f>
        <v>1</v>
      </c>
      <c r="H65" s="7" t="str">
        <f t="shared" si="49"/>
        <v>0001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1100</v>
      </c>
    </row>
    <row r="66">
      <c r="A66" s="6">
        <v>4.0</v>
      </c>
      <c r="B66" s="7" t="str">
        <f t="shared" si="44"/>
        <v>001100</v>
      </c>
      <c r="C66" s="7" t="str">
        <f t="shared" si="45"/>
        <v>00</v>
      </c>
      <c r="D66" s="7" t="str">
        <f t="shared" si="46"/>
        <v>0110</v>
      </c>
      <c r="E66" s="7" t="str">
        <f t="shared" si="47"/>
        <v>000110</v>
      </c>
      <c r="F66" s="7">
        <f t="shared" si="48"/>
        <v>6</v>
      </c>
      <c r="G66" s="7">
        <f>VLOOKUP(F66,$A$79:$I$142,5,TRUE)</f>
        <v>12</v>
      </c>
      <c r="H66" s="7" t="str">
        <f t="shared" si="49"/>
        <v>1100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100</v>
      </c>
    </row>
    <row r="67">
      <c r="A67" s="6">
        <v>5.0</v>
      </c>
      <c r="B67" s="7" t="str">
        <f t="shared" si="44"/>
        <v>111101</v>
      </c>
      <c r="C67" s="7" t="str">
        <f t="shared" si="45"/>
        <v>11</v>
      </c>
      <c r="D67" s="7" t="str">
        <f t="shared" si="46"/>
        <v>1110</v>
      </c>
      <c r="E67" s="7" t="str">
        <f t="shared" si="47"/>
        <v>111110</v>
      </c>
      <c r="F67" s="7">
        <f t="shared" si="48"/>
        <v>62</v>
      </c>
      <c r="G67" s="7">
        <f>VLOOKUP(F67,$A$79:$I$142,6,TRUE)</f>
        <v>14</v>
      </c>
      <c r="H67" s="7" t="str">
        <f t="shared" si="49"/>
        <v>1110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00</v>
      </c>
    </row>
    <row r="68">
      <c r="A68" s="6">
        <v>6.0</v>
      </c>
      <c r="B68" s="7" t="str">
        <f t="shared" si="44"/>
        <v>011010</v>
      </c>
      <c r="C68" s="7" t="str">
        <f t="shared" si="45"/>
        <v>00</v>
      </c>
      <c r="D68" s="7" t="str">
        <f t="shared" si="46"/>
        <v>1101</v>
      </c>
      <c r="E68" s="7" t="str">
        <f t="shared" si="47"/>
        <v>001101</v>
      </c>
      <c r="F68" s="7">
        <f t="shared" si="48"/>
        <v>13</v>
      </c>
      <c r="G68" s="7">
        <f>VLOOKUP(F68,$A$79:$I$142,7,TRUE)</f>
        <v>0</v>
      </c>
      <c r="H68" s="7" t="str">
        <f t="shared" si="49"/>
        <v>0000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011010</v>
      </c>
      <c r="C69" s="7" t="str">
        <f t="shared" si="45"/>
        <v>00</v>
      </c>
      <c r="D69" s="7" t="str">
        <f t="shared" si="46"/>
        <v>1101</v>
      </c>
      <c r="E69" s="7" t="str">
        <f t="shared" si="47"/>
        <v>001101</v>
      </c>
      <c r="F69" s="7">
        <f t="shared" si="48"/>
        <v>13</v>
      </c>
      <c r="G69" s="7">
        <f>VLOOKUP(F69,$A$79:$I$142,8,TRUE)</f>
        <v>8</v>
      </c>
      <c r="H69" s="7" t="str">
        <f t="shared" si="49"/>
        <v>1000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011110</v>
      </c>
      <c r="C70" s="7" t="str">
        <f t="shared" si="45"/>
        <v>00</v>
      </c>
      <c r="D70" s="7" t="str">
        <f t="shared" si="46"/>
        <v>1111</v>
      </c>
      <c r="E70" s="7" t="str">
        <f t="shared" si="47"/>
        <v>001111</v>
      </c>
      <c r="F70" s="7">
        <f t="shared" si="48"/>
        <v>15</v>
      </c>
      <c r="G70" s="7">
        <f>VLOOKUP(F70,$A$79:$I$142,9,TRUE)</f>
        <v>15</v>
      </c>
      <c r="H70" s="7" t="str">
        <f t="shared" si="49"/>
        <v>1111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72</v>
      </c>
      <c r="Q1" s="6" t="s">
        <v>14</v>
      </c>
      <c r="R1" s="6" t="s">
        <v>4</v>
      </c>
      <c r="U1" s="6" t="s">
        <v>15</v>
      </c>
      <c r="V1" s="7" t="str">
        <f>S9</f>
        <v>11001110110000100000100010111010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12</v>
      </c>
      <c r="R2" s="7" t="str">
        <f t="shared" si="1"/>
        <v>1100</v>
      </c>
    </row>
    <row r="3">
      <c r="A3" s="1">
        <v>1.0</v>
      </c>
      <c r="B3" s="3" t="str">
        <f t="shared" ref="B3:B8" si="3">MID($B$1,(A3-1)*8+1,8)</f>
        <v>01100011</v>
      </c>
      <c r="C3" s="3" t="str">
        <f t="shared" ref="C3:C8" si="4">BIN2HEX(B3,2)</f>
        <v>63</v>
      </c>
      <c r="Q3" s="7">
        <f t="shared" ref="Q3:R3" si="2">G64</f>
        <v>14</v>
      </c>
      <c r="R3" s="7" t="str">
        <f t="shared" si="2"/>
        <v>1110</v>
      </c>
      <c r="S3" s="7" t="str">
        <f>R2&amp;R3</f>
        <v>11001110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10100101</v>
      </c>
      <c r="C4" s="3" t="str">
        <f t="shared" si="4"/>
        <v>A5</v>
      </c>
      <c r="Q4" s="7">
        <f t="shared" ref="Q4:R4" si="5">G65</f>
        <v>12</v>
      </c>
      <c r="R4" s="7" t="str">
        <f t="shared" si="5"/>
        <v>1100</v>
      </c>
      <c r="S4" s="7" t="str">
        <f t="shared" ref="S4:S9" si="7">S3&amp;R4</f>
        <v>110011101100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00011110</v>
      </c>
      <c r="C5" s="3" t="str">
        <f t="shared" si="4"/>
        <v>1E</v>
      </c>
      <c r="Q5" s="7">
        <f t="shared" ref="Q5:R5" si="6">G66</f>
        <v>2</v>
      </c>
      <c r="R5" s="7" t="str">
        <f t="shared" si="6"/>
        <v>0010</v>
      </c>
      <c r="S5" s="7" t="str">
        <f t="shared" si="7"/>
        <v>1100111011000010</v>
      </c>
      <c r="U5" s="8">
        <v>2.0</v>
      </c>
      <c r="V5" s="8">
        <v>7.0</v>
      </c>
      <c r="W5" s="7" t="str">
        <f t="shared" si="8"/>
        <v>1</v>
      </c>
      <c r="X5" s="7" t="str">
        <f>W4&amp;W5</f>
        <v>01</v>
      </c>
    </row>
    <row r="6">
      <c r="A6" s="1">
        <v>4.0</v>
      </c>
      <c r="B6" s="3" t="str">
        <f t="shared" si="3"/>
        <v>00111100</v>
      </c>
      <c r="C6" s="3" t="str">
        <f t="shared" si="4"/>
        <v>3C</v>
      </c>
      <c r="Q6" s="7">
        <f t="shared" ref="Q6:R6" si="9">G67</f>
        <v>0</v>
      </c>
      <c r="R6" s="7" t="str">
        <f t="shared" si="9"/>
        <v>0000</v>
      </c>
      <c r="S6" s="7" t="str">
        <f t="shared" si="7"/>
        <v>11001110110000100000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010</v>
      </c>
    </row>
    <row r="7">
      <c r="A7" s="1">
        <v>5.0</v>
      </c>
      <c r="B7" s="3" t="str">
        <f t="shared" si="3"/>
        <v>11000101</v>
      </c>
      <c r="C7" s="3" t="str">
        <f t="shared" si="4"/>
        <v>C5</v>
      </c>
      <c r="Q7" s="7">
        <f t="shared" ref="Q7:R7" si="10">G68</f>
        <v>8</v>
      </c>
      <c r="R7" s="7" t="str">
        <f t="shared" si="10"/>
        <v>1000</v>
      </c>
      <c r="S7" s="7" t="str">
        <f t="shared" si="7"/>
        <v>110011101100001000001000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0101</v>
      </c>
    </row>
    <row r="8">
      <c r="A8" s="1">
        <v>6.0</v>
      </c>
      <c r="B8" s="3" t="str">
        <f t="shared" si="3"/>
        <v>01000101</v>
      </c>
      <c r="C8" s="3" t="str">
        <f t="shared" si="4"/>
        <v>45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11</v>
      </c>
      <c r="R8" s="7" t="str">
        <f t="shared" si="12"/>
        <v>1011</v>
      </c>
      <c r="S8" s="7" t="str">
        <f t="shared" si="7"/>
        <v>1100111011000010000010001011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01011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10</v>
      </c>
      <c r="R9" s="7" t="str">
        <f t="shared" si="13"/>
        <v>1010</v>
      </c>
      <c r="S9" s="7" t="str">
        <f t="shared" si="7"/>
        <v>11001110110000100000100010111010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010110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0101101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01011010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1</v>
      </c>
      <c r="X12" s="7" t="str">
        <f t="shared" si="11"/>
        <v>010110101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1</v>
      </c>
      <c r="X13" s="7" t="str">
        <f t="shared" si="11"/>
        <v>0101101011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01011010110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010110101100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0101101011001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01011010110010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010110101100101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0101101011001011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73</v>
      </c>
      <c r="N20" s="10" t="s">
        <v>70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01011010110010111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74</v>
      </c>
      <c r="N21" s="7" t="s">
        <v>75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001110100110101000000110100011110100001010101100</v>
      </c>
      <c r="U21" s="8">
        <v>18.0</v>
      </c>
      <c r="V21" s="8">
        <v>8.0</v>
      </c>
      <c r="W21" s="7" t="str">
        <f t="shared" si="8"/>
        <v>0</v>
      </c>
      <c r="X21" s="7" t="str">
        <f t="shared" si="11"/>
        <v>010110101100101110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01110100110101000000110100011110100001010101100</v>
      </c>
      <c r="U22" s="8">
        <v>19.0</v>
      </c>
      <c r="V22" s="8">
        <v>24.0</v>
      </c>
      <c r="W22" s="7" t="str">
        <f t="shared" si="8"/>
        <v>0</v>
      </c>
      <c r="X22" s="7" t="str">
        <f t="shared" si="11"/>
        <v>0101101011001011100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1110100110101000000110100011110100001010101100</v>
      </c>
      <c r="U23" s="8">
        <v>20.0</v>
      </c>
      <c r="V23" s="8">
        <v>14.0</v>
      </c>
      <c r="W23" s="7" t="str">
        <f t="shared" si="8"/>
        <v>0</v>
      </c>
      <c r="X23" s="7" t="str">
        <f t="shared" si="11"/>
        <v>01011010110010111000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00111010</v>
      </c>
      <c r="O24" s="3" t="str">
        <f t="shared" ref="O24:O31" si="24">BIN2HEX(N24,2)</f>
        <v>3A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110100110101000000110100011110100001010101100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010110101100101110000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01101010</v>
      </c>
      <c r="O25" s="3" t="str">
        <f t="shared" si="24"/>
        <v>6A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10100110101000000110100011110100001010101100</v>
      </c>
      <c r="U25" s="8">
        <v>22.0</v>
      </c>
      <c r="V25" s="8">
        <v>27.0</v>
      </c>
      <c r="W25" s="7" t="str">
        <f t="shared" si="8"/>
        <v>1</v>
      </c>
      <c r="X25" s="7" t="str">
        <f t="shared" si="11"/>
        <v>0101101011001011100001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00000110</v>
      </c>
      <c r="O26" s="3" t="str">
        <f t="shared" si="24"/>
        <v>06</v>
      </c>
      <c r="Q26" s="8">
        <v>6.0</v>
      </c>
      <c r="R26" s="8">
        <v>5.0</v>
      </c>
      <c r="S26" s="7" t="str">
        <f t="shared" si="21"/>
        <v>0</v>
      </c>
      <c r="T26" s="7" t="str">
        <f t="shared" si="22"/>
        <v>0100110101000000110100011110100001010101100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01011010110010111000010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10001111</v>
      </c>
      <c r="O27" s="3" t="str">
        <f t="shared" si="24"/>
        <v>8F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100110101000000110100011110100001010101100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010110101100101110000101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01000010</v>
      </c>
      <c r="O28" s="3" t="str">
        <f t="shared" si="24"/>
        <v>42</v>
      </c>
      <c r="Q28" s="8">
        <v>8.0</v>
      </c>
      <c r="R28" s="8">
        <v>5.0</v>
      </c>
      <c r="S28" s="7" t="str">
        <f t="shared" si="21"/>
        <v>0</v>
      </c>
      <c r="T28" s="7" t="str">
        <f t="shared" si="22"/>
        <v>00110101000000110100011110100001010101100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0101101011001011100001010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10101100</v>
      </c>
      <c r="O29" s="3" t="str">
        <f t="shared" si="24"/>
        <v>AC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0110101000000110100011110100001010101100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01011010110010111000010100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110101000000110100011110100001010101100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010110101100101110000101000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1</v>
      </c>
      <c r="T31" s="7" t="str">
        <f t="shared" si="22"/>
        <v>10101000000110100011110100001010101100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0101101011001011100001010001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0101000000110100011110100001010101100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01011010110010111000010100010</v>
      </c>
    </row>
    <row r="33">
      <c r="A33" s="6" t="s">
        <v>12</v>
      </c>
      <c r="B33" s="7" t="str">
        <f>B1</f>
        <v>011000111010010100011110001111001100010101000101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1</v>
      </c>
      <c r="T33" s="7" t="str">
        <f t="shared" si="22"/>
        <v>101000000110100011110100001010101100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010110101100101110000101000100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01000000110100011110100001010101100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0101101011001011100001010001000</v>
      </c>
    </row>
    <row r="35">
      <c r="A35" s="1">
        <v>1.0</v>
      </c>
      <c r="B35" s="3" t="str">
        <f t="shared" ref="B35:B40" si="25">MID($B$1,(A35-1)*8+1,8)</f>
        <v>01100011</v>
      </c>
      <c r="C35" s="3" t="str">
        <f t="shared" ref="C35:C40" si="26">BIN2HEX(B35,2)</f>
        <v>63</v>
      </c>
      <c r="D35" s="3">
        <f t="shared" ref="D35:D40" si="27">BIN2DEC(B35)</f>
        <v>99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1000000110100011110100001010101100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01011010110010111000010100010001</v>
      </c>
    </row>
    <row r="36">
      <c r="A36" s="1">
        <v>2.0</v>
      </c>
      <c r="B36" s="3" t="str">
        <f t="shared" si="25"/>
        <v>10100101</v>
      </c>
      <c r="C36" s="3" t="str">
        <f t="shared" si="26"/>
        <v>A5</v>
      </c>
      <c r="D36" s="3">
        <f t="shared" si="27"/>
        <v>165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000000110100011110100001010101100</v>
      </c>
    </row>
    <row r="37">
      <c r="A37" s="1">
        <v>3.0</v>
      </c>
      <c r="B37" s="3" t="str">
        <f t="shared" si="25"/>
        <v>00011110</v>
      </c>
      <c r="C37" s="3" t="str">
        <f t="shared" si="26"/>
        <v>1E</v>
      </c>
      <c r="D37" s="3">
        <f t="shared" si="27"/>
        <v>30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00000110100011110100001010101100</v>
      </c>
    </row>
    <row r="38">
      <c r="A38" s="1">
        <v>4.0</v>
      </c>
      <c r="B38" s="3" t="str">
        <f t="shared" si="25"/>
        <v>00111100</v>
      </c>
      <c r="C38" s="3" t="str">
        <f t="shared" si="26"/>
        <v>3C</v>
      </c>
      <c r="D38" s="3">
        <f t="shared" si="27"/>
        <v>60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0</v>
      </c>
      <c r="T38" s="7" t="str">
        <f t="shared" si="22"/>
        <v>0000110100011110100001010101100</v>
      </c>
      <c r="U38" s="11" t="s">
        <v>27</v>
      </c>
      <c r="V38" s="12" t="str">
        <f>X35</f>
        <v>01011010110010111000010100010001</v>
      </c>
      <c r="W38" s="12"/>
      <c r="X38" s="12"/>
    </row>
    <row r="39">
      <c r="A39" s="1">
        <v>5.0</v>
      </c>
      <c r="B39" s="3" t="str">
        <f t="shared" si="25"/>
        <v>11000101</v>
      </c>
      <c r="C39" s="3" t="str">
        <f t="shared" si="26"/>
        <v>C5</v>
      </c>
      <c r="D39" s="3">
        <f t="shared" si="27"/>
        <v>197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000110100011110100001010101100</v>
      </c>
    </row>
    <row r="40">
      <c r="A40" s="1">
        <v>6.0</v>
      </c>
      <c r="B40" s="3" t="str">
        <f t="shared" si="25"/>
        <v>01000101</v>
      </c>
      <c r="C40" s="3" t="str">
        <f t="shared" si="26"/>
        <v>45</v>
      </c>
      <c r="D40" s="3">
        <f t="shared" si="27"/>
        <v>69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0</v>
      </c>
      <c r="T40" s="7" t="str">
        <f t="shared" si="22"/>
        <v>00110100011110100001010101100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0</v>
      </c>
      <c r="T41" s="7" t="str">
        <f t="shared" si="22"/>
        <v>0110100011110100001010101100</v>
      </c>
      <c r="U41" s="6" t="s">
        <v>29</v>
      </c>
      <c r="V41" s="7" t="str">
        <f>N20</f>
        <v>00010001011001011101001000001110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001110100110101000000110100011110100001010101100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1</v>
      </c>
      <c r="T42" s="7" t="str">
        <f t="shared" si="22"/>
        <v>110100011110100001010101100</v>
      </c>
    </row>
    <row r="43">
      <c r="A43" s="1">
        <v>1.0</v>
      </c>
      <c r="B43" s="3" t="str">
        <f t="shared" ref="B43:B48" si="28">MID($T$21,(A43-1)*8+1,8)</f>
        <v>00111010</v>
      </c>
      <c r="C43" s="3" t="str">
        <f t="shared" ref="C43:C48" si="29">BIN2HEX(B43,2)</f>
        <v>3A</v>
      </c>
      <c r="D43" s="3">
        <f t="shared" ref="D43:D48" si="30">BIN2DEC(B43)</f>
        <v>58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10100011110100001010101100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01101010</v>
      </c>
      <c r="C44" s="3" t="str">
        <f t="shared" si="29"/>
        <v>6A</v>
      </c>
      <c r="D44" s="3">
        <f t="shared" si="30"/>
        <v>106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0100011110100001010101100</v>
      </c>
      <c r="U44" s="1">
        <v>1.0</v>
      </c>
      <c r="V44" s="3" t="str">
        <f t="shared" ref="V44:V47" si="31">MID($V$38,(U44-1)*8+1,8)</f>
        <v>01011010</v>
      </c>
      <c r="W44" s="3" t="str">
        <f t="shared" ref="W44:W47" si="32">BIN2HEX(V44,2)</f>
        <v>5A</v>
      </c>
      <c r="X44" s="3">
        <f t="shared" ref="X44:X47" si="33">HEX2DEC(W44)</f>
        <v>90</v>
      </c>
    </row>
    <row r="45">
      <c r="A45" s="1">
        <v>3.0</v>
      </c>
      <c r="B45" s="3" t="str">
        <f t="shared" si="28"/>
        <v>00000110</v>
      </c>
      <c r="C45" s="3" t="str">
        <f t="shared" si="29"/>
        <v>06</v>
      </c>
      <c r="D45" s="3">
        <f t="shared" si="30"/>
        <v>6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100011110100001010101100</v>
      </c>
      <c r="U45" s="1">
        <v>2.0</v>
      </c>
      <c r="V45" s="3" t="str">
        <f t="shared" si="31"/>
        <v>11001011</v>
      </c>
      <c r="W45" s="3" t="str">
        <f t="shared" si="32"/>
        <v>CB</v>
      </c>
      <c r="X45" s="3">
        <f t="shared" si="33"/>
        <v>203</v>
      </c>
    </row>
    <row r="46">
      <c r="A46" s="1">
        <v>4.0</v>
      </c>
      <c r="B46" s="3" t="str">
        <f t="shared" si="28"/>
        <v>10001111</v>
      </c>
      <c r="C46" s="3" t="str">
        <f t="shared" si="29"/>
        <v>8F</v>
      </c>
      <c r="D46" s="3">
        <f t="shared" si="30"/>
        <v>143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00011110100001010101100</v>
      </c>
      <c r="U46" s="1">
        <v>3.0</v>
      </c>
      <c r="V46" s="3" t="str">
        <f t="shared" si="31"/>
        <v>10000101</v>
      </c>
      <c r="W46" s="3" t="str">
        <f t="shared" si="32"/>
        <v>85</v>
      </c>
      <c r="X46" s="3">
        <f t="shared" si="33"/>
        <v>133</v>
      </c>
    </row>
    <row r="47">
      <c r="A47" s="1">
        <v>5.0</v>
      </c>
      <c r="B47" s="3" t="str">
        <f t="shared" si="28"/>
        <v>01000010</v>
      </c>
      <c r="C47" s="3" t="str">
        <f t="shared" si="29"/>
        <v>42</v>
      </c>
      <c r="D47" s="3">
        <f t="shared" si="30"/>
        <v>66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0</v>
      </c>
      <c r="T47" s="7" t="str">
        <f t="shared" si="22"/>
        <v>0011110100001010101100</v>
      </c>
      <c r="U47" s="1">
        <v>4.0</v>
      </c>
      <c r="V47" s="3" t="str">
        <f t="shared" si="31"/>
        <v>00010001</v>
      </c>
      <c r="W47" s="3" t="str">
        <f t="shared" si="32"/>
        <v>11</v>
      </c>
      <c r="X47" s="3">
        <f t="shared" si="33"/>
        <v>17</v>
      </c>
    </row>
    <row r="48">
      <c r="A48" s="1">
        <v>6.0</v>
      </c>
      <c r="B48" s="3" t="str">
        <f t="shared" si="28"/>
        <v>10101100</v>
      </c>
      <c r="C48" s="3" t="str">
        <f t="shared" si="29"/>
        <v>AC</v>
      </c>
      <c r="D48" s="3">
        <f t="shared" si="30"/>
        <v>172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011110100001010101100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11110100001010101100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1110100001010101100</v>
      </c>
    </row>
    <row r="51">
      <c r="A51" s="6">
        <v>1.0</v>
      </c>
      <c r="B51" s="7">
        <f t="shared" ref="B51:B56" si="34">BITXOR(D35,D43)</f>
        <v>89</v>
      </c>
      <c r="C51" s="7" t="str">
        <f t="shared" ref="C51:C56" si="35">DEC2BIN(B51,8)</f>
        <v>01011001</v>
      </c>
      <c r="D51" s="7" t="str">
        <f t="shared" ref="D51:D56" si="36">DEC2HEX(B51,2)</f>
        <v>59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110100001010101100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207</v>
      </c>
      <c r="C52" s="7" t="str">
        <f t="shared" si="35"/>
        <v>11001111</v>
      </c>
      <c r="D52" s="7" t="str">
        <f t="shared" si="36"/>
        <v>CF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10100001010101100</v>
      </c>
      <c r="U52" s="1">
        <v>1.0</v>
      </c>
      <c r="V52" s="3" t="str">
        <f t="shared" ref="V52:V55" si="37">MID($V$41,(U52-1)*8+1,8)</f>
        <v>00010001</v>
      </c>
      <c r="W52" s="3" t="str">
        <f t="shared" ref="W52:W55" si="38">BIN2HEX(V52,2)</f>
        <v>11</v>
      </c>
      <c r="X52" s="3">
        <f t="shared" ref="X52:X55" si="39">HEX2DEC(W52)</f>
        <v>17</v>
      </c>
    </row>
    <row r="53">
      <c r="A53" s="6">
        <v>3.0</v>
      </c>
      <c r="B53" s="7">
        <f t="shared" si="34"/>
        <v>24</v>
      </c>
      <c r="C53" s="7" t="str">
        <f t="shared" si="35"/>
        <v>00011000</v>
      </c>
      <c r="D53" s="7" t="str">
        <f t="shared" si="36"/>
        <v>18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0100001010101100</v>
      </c>
      <c r="U53" s="1">
        <v>2.0</v>
      </c>
      <c r="V53" s="3" t="str">
        <f t="shared" si="37"/>
        <v>01100101</v>
      </c>
      <c r="W53" s="3" t="str">
        <f t="shared" si="38"/>
        <v>65</v>
      </c>
      <c r="X53" s="3">
        <f t="shared" si="39"/>
        <v>101</v>
      </c>
    </row>
    <row r="54">
      <c r="A54" s="6">
        <v>4.0</v>
      </c>
      <c r="B54" s="7">
        <f t="shared" si="34"/>
        <v>179</v>
      </c>
      <c r="C54" s="7" t="str">
        <f t="shared" si="35"/>
        <v>10110011</v>
      </c>
      <c r="D54" s="7" t="str">
        <f t="shared" si="36"/>
        <v>B3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1</v>
      </c>
      <c r="T54" s="7" t="str">
        <f t="shared" si="22"/>
        <v>100001010101100</v>
      </c>
      <c r="U54" s="1">
        <v>3.0</v>
      </c>
      <c r="V54" s="3" t="str">
        <f t="shared" si="37"/>
        <v>11010010</v>
      </c>
      <c r="W54" s="3" t="str">
        <f t="shared" si="38"/>
        <v>D2</v>
      </c>
      <c r="X54" s="3">
        <f t="shared" si="39"/>
        <v>210</v>
      </c>
    </row>
    <row r="55">
      <c r="A55" s="6">
        <v>5.0</v>
      </c>
      <c r="B55" s="7">
        <f t="shared" si="34"/>
        <v>135</v>
      </c>
      <c r="C55" s="7" t="str">
        <f t="shared" si="35"/>
        <v>10000111</v>
      </c>
      <c r="D55" s="7" t="str">
        <f t="shared" si="36"/>
        <v>87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00001010101100</v>
      </c>
      <c r="U55" s="1">
        <v>4.0</v>
      </c>
      <c r="V55" s="3" t="str">
        <f t="shared" si="37"/>
        <v>00001110</v>
      </c>
      <c r="W55" s="3" t="str">
        <f t="shared" si="38"/>
        <v>0E</v>
      </c>
      <c r="X55" s="3">
        <f t="shared" si="39"/>
        <v>14</v>
      </c>
    </row>
    <row r="56">
      <c r="A56" s="6">
        <v>6.0</v>
      </c>
      <c r="B56" s="7">
        <f t="shared" si="34"/>
        <v>233</v>
      </c>
      <c r="C56" s="7" t="str">
        <f t="shared" si="35"/>
        <v>11101001</v>
      </c>
      <c r="D56" s="7" t="str">
        <f t="shared" si="36"/>
        <v>E9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0001010101100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001010101100</v>
      </c>
      <c r="U57" s="9" t="s">
        <v>76</v>
      </c>
      <c r="V57" s="10" t="str">
        <f>Y62</f>
        <v>01001011101011100101011100011111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01010101100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010110011100111100011000101100111000011111101001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1</v>
      </c>
      <c r="T59" s="7" t="str">
        <f t="shared" si="22"/>
        <v>1010101100</v>
      </c>
      <c r="U59" s="6">
        <v>1.0</v>
      </c>
      <c r="V59" s="7">
        <f t="shared" ref="V59:V62" si="40">BITXOR(X44,X52)</f>
        <v>75</v>
      </c>
      <c r="W59" s="7" t="str">
        <f t="shared" ref="W59:W62" si="41">DEC2HEX(V59)</f>
        <v>4B</v>
      </c>
      <c r="X59" s="7" t="str">
        <f t="shared" ref="X59:X62" si="42">HEX2BIN(W59,8)</f>
        <v>01001011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010101100</v>
      </c>
      <c r="U60" s="6">
        <v>2.0</v>
      </c>
      <c r="V60" s="7">
        <f t="shared" si="40"/>
        <v>174</v>
      </c>
      <c r="W60" s="7" t="str">
        <f t="shared" si="41"/>
        <v>AE</v>
      </c>
      <c r="X60" s="7" t="str">
        <f t="shared" si="42"/>
        <v>10101110</v>
      </c>
      <c r="Y60" s="7" t="str">
        <f>X59&amp;X60</f>
        <v>0100101110101110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10101100</v>
      </c>
      <c r="U61" s="6">
        <v>3.0</v>
      </c>
      <c r="V61" s="7">
        <f t="shared" si="40"/>
        <v>87</v>
      </c>
      <c r="W61" s="7" t="str">
        <f t="shared" si="41"/>
        <v>57</v>
      </c>
      <c r="X61" s="7" t="str">
        <f t="shared" si="42"/>
        <v>01010111</v>
      </c>
      <c r="Y61" s="7" t="str">
        <f t="shared" ref="Y61:Y62" si="43">Y60&amp;X61</f>
        <v>010010111010111001010111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0</v>
      </c>
      <c r="T62" s="7" t="str">
        <f t="shared" si="22"/>
        <v>0101100</v>
      </c>
      <c r="U62" s="6">
        <v>4.0</v>
      </c>
      <c r="V62" s="7">
        <f t="shared" si="40"/>
        <v>31</v>
      </c>
      <c r="W62" s="7" t="str">
        <f t="shared" si="41"/>
        <v>1F</v>
      </c>
      <c r="X62" s="7" t="str">
        <f t="shared" si="42"/>
        <v>00011111</v>
      </c>
      <c r="Y62" s="7" t="str">
        <f t="shared" si="43"/>
        <v>01001011101011100101011100011111</v>
      </c>
    </row>
    <row r="63">
      <c r="A63" s="6">
        <v>1.0</v>
      </c>
      <c r="B63" s="7" t="str">
        <f t="shared" ref="B63:B70" si="44">MID($B$59,(A63-1)*6+1,6)</f>
        <v>010110</v>
      </c>
      <c r="C63" s="7" t="str">
        <f t="shared" ref="C63:C70" si="45">LEFT(B63,1)&amp;RIGHT(B63,1)</f>
        <v>00</v>
      </c>
      <c r="D63" s="7" t="str">
        <f t="shared" ref="D63:D70" si="46">MID(B63,2,4)</f>
        <v>1011</v>
      </c>
      <c r="E63" s="7" t="str">
        <f t="shared" ref="E63:E70" si="47">C63&amp;D63</f>
        <v>001011</v>
      </c>
      <c r="F63" s="7">
        <f t="shared" ref="F63:F70" si="48">BIN2DEC(E63)</f>
        <v>11</v>
      </c>
      <c r="G63" s="7">
        <f>VLOOKUP(F63,$A$79:$I$142,2,TRUE)</f>
        <v>12</v>
      </c>
      <c r="H63" s="7" t="str">
        <f t="shared" ref="H63:H70" si="49">DEC2BIN(G63,4)</f>
        <v>1100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101100</v>
      </c>
    </row>
    <row r="64">
      <c r="A64" s="6">
        <v>2.0</v>
      </c>
      <c r="B64" s="7" t="str">
        <f t="shared" si="44"/>
        <v>011100</v>
      </c>
      <c r="C64" s="7" t="str">
        <f t="shared" si="45"/>
        <v>00</v>
      </c>
      <c r="D64" s="7" t="str">
        <f t="shared" si="46"/>
        <v>1110</v>
      </c>
      <c r="E64" s="7" t="str">
        <f t="shared" si="47"/>
        <v>001110</v>
      </c>
      <c r="F64" s="7">
        <f t="shared" si="48"/>
        <v>14</v>
      </c>
      <c r="G64" s="7">
        <f>VLOOKUP(F64,$A$79:$I$142,3,TRUE)</f>
        <v>14</v>
      </c>
      <c r="H64" s="7" t="str">
        <f t="shared" si="49"/>
        <v>1110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0</v>
      </c>
      <c r="T64" s="7" t="str">
        <f t="shared" si="22"/>
        <v>01100</v>
      </c>
    </row>
    <row r="65">
      <c r="A65" s="6">
        <v>3.0</v>
      </c>
      <c r="B65" s="7" t="str">
        <f t="shared" si="44"/>
        <v>111100</v>
      </c>
      <c r="C65" s="7" t="str">
        <f t="shared" si="45"/>
        <v>10</v>
      </c>
      <c r="D65" s="7" t="str">
        <f t="shared" si="46"/>
        <v>1110</v>
      </c>
      <c r="E65" s="7" t="str">
        <f t="shared" si="47"/>
        <v>101110</v>
      </c>
      <c r="F65" s="7">
        <f t="shared" si="48"/>
        <v>46</v>
      </c>
      <c r="G65" s="7">
        <f>VLOOKUP(F65,$A$79:$I$142,4,TRUE)</f>
        <v>12</v>
      </c>
      <c r="H65" s="7" t="str">
        <f t="shared" si="49"/>
        <v>1100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1100</v>
      </c>
    </row>
    <row r="66">
      <c r="A66" s="6">
        <v>4.0</v>
      </c>
      <c r="B66" s="7" t="str">
        <f t="shared" si="44"/>
        <v>011000</v>
      </c>
      <c r="C66" s="7" t="str">
        <f t="shared" si="45"/>
        <v>00</v>
      </c>
      <c r="D66" s="7" t="str">
        <f t="shared" si="46"/>
        <v>1100</v>
      </c>
      <c r="E66" s="7" t="str">
        <f t="shared" si="47"/>
        <v>001100</v>
      </c>
      <c r="F66" s="7">
        <f t="shared" si="48"/>
        <v>12</v>
      </c>
      <c r="G66" s="7">
        <f>VLOOKUP(F66,$A$79:$I$142,5,TRUE)</f>
        <v>2</v>
      </c>
      <c r="H66" s="7" t="str">
        <f t="shared" si="49"/>
        <v>0010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100</v>
      </c>
    </row>
    <row r="67">
      <c r="A67" s="6">
        <v>5.0</v>
      </c>
      <c r="B67" s="7" t="str">
        <f t="shared" si="44"/>
        <v>101100</v>
      </c>
      <c r="C67" s="7" t="str">
        <f t="shared" si="45"/>
        <v>10</v>
      </c>
      <c r="D67" s="7" t="str">
        <f t="shared" si="46"/>
        <v>0110</v>
      </c>
      <c r="E67" s="7" t="str">
        <f t="shared" si="47"/>
        <v>100110</v>
      </c>
      <c r="F67" s="7">
        <f t="shared" si="48"/>
        <v>38</v>
      </c>
      <c r="G67" s="7">
        <f>VLOOKUP(F67,$A$79:$I$142,6,TRUE)</f>
        <v>0</v>
      </c>
      <c r="H67" s="7" t="str">
        <f t="shared" si="49"/>
        <v>0000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00</v>
      </c>
    </row>
    <row r="68">
      <c r="A68" s="6">
        <v>6.0</v>
      </c>
      <c r="B68" s="7" t="str">
        <f t="shared" si="44"/>
        <v>111000</v>
      </c>
      <c r="C68" s="7" t="str">
        <f t="shared" si="45"/>
        <v>10</v>
      </c>
      <c r="D68" s="7" t="str">
        <f t="shared" si="46"/>
        <v>1100</v>
      </c>
      <c r="E68" s="7" t="str">
        <f t="shared" si="47"/>
        <v>101100</v>
      </c>
      <c r="F68" s="7">
        <f t="shared" si="48"/>
        <v>44</v>
      </c>
      <c r="G68" s="7">
        <f>VLOOKUP(F68,$A$79:$I$142,7,TRUE)</f>
        <v>8</v>
      </c>
      <c r="H68" s="7" t="str">
        <f t="shared" si="49"/>
        <v>1000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011111</v>
      </c>
      <c r="C69" s="7" t="str">
        <f t="shared" si="45"/>
        <v>01</v>
      </c>
      <c r="D69" s="7" t="str">
        <f t="shared" si="46"/>
        <v>1111</v>
      </c>
      <c r="E69" s="7" t="str">
        <f t="shared" si="47"/>
        <v>011111</v>
      </c>
      <c r="F69" s="7">
        <f t="shared" si="48"/>
        <v>31</v>
      </c>
      <c r="G69" s="7">
        <f>VLOOKUP(F69,$A$79:$I$142,8,TRUE)</f>
        <v>11</v>
      </c>
      <c r="H69" s="7" t="str">
        <f t="shared" si="49"/>
        <v>1011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101001</v>
      </c>
      <c r="C70" s="7" t="str">
        <f t="shared" si="45"/>
        <v>11</v>
      </c>
      <c r="D70" s="7" t="str">
        <f t="shared" si="46"/>
        <v>0100</v>
      </c>
      <c r="E70" s="7" t="str">
        <f t="shared" si="47"/>
        <v>110100</v>
      </c>
      <c r="F70" s="7">
        <f t="shared" si="48"/>
        <v>52</v>
      </c>
      <c r="G70" s="7">
        <f>VLOOKUP(F70,$A$79:$I$142,9,TRUE)</f>
        <v>10</v>
      </c>
      <c r="H70" s="7" t="str">
        <f t="shared" si="49"/>
        <v>1010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77</v>
      </c>
      <c r="Q1" s="6" t="s">
        <v>14</v>
      </c>
      <c r="R1" s="6" t="s">
        <v>4</v>
      </c>
      <c r="U1" s="6" t="s">
        <v>15</v>
      </c>
      <c r="V1" s="7" t="str">
        <f>S9</f>
        <v>01111111000101011010010010010110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7</v>
      </c>
      <c r="R2" s="7" t="str">
        <f t="shared" si="1"/>
        <v>0111</v>
      </c>
    </row>
    <row r="3">
      <c r="A3" s="1">
        <v>1.0</v>
      </c>
      <c r="B3" s="3" t="str">
        <f t="shared" ref="B3:B8" si="3">MID($B$1,(A3-1)*8+1,8)</f>
        <v>01101100</v>
      </c>
      <c r="C3" s="3" t="str">
        <f t="shared" ref="C3:C8" si="4">BIN2HEX(B3,2)</f>
        <v>6C</v>
      </c>
      <c r="Q3" s="7">
        <f t="shared" ref="Q3:R3" si="2">G64</f>
        <v>15</v>
      </c>
      <c r="R3" s="7" t="str">
        <f t="shared" si="2"/>
        <v>1111</v>
      </c>
      <c r="S3" s="7" t="str">
        <f>R2&amp;R3</f>
        <v>01111111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10000100</v>
      </c>
      <c r="C4" s="3" t="str">
        <f t="shared" si="4"/>
        <v>84</v>
      </c>
      <c r="Q4" s="7">
        <f t="shared" ref="Q4:R4" si="5">G65</f>
        <v>1</v>
      </c>
      <c r="R4" s="7" t="str">
        <f t="shared" si="5"/>
        <v>0001</v>
      </c>
      <c r="S4" s="7" t="str">
        <f t="shared" ref="S4:S9" si="7">S3&amp;R4</f>
        <v>011111110001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10110111</v>
      </c>
      <c r="C5" s="3" t="str">
        <f t="shared" si="4"/>
        <v>B7</v>
      </c>
      <c r="Q5" s="7">
        <f t="shared" ref="Q5:R5" si="6">G66</f>
        <v>5</v>
      </c>
      <c r="R5" s="7" t="str">
        <f t="shared" si="6"/>
        <v>0101</v>
      </c>
      <c r="S5" s="7" t="str">
        <f t="shared" si="7"/>
        <v>0111111100010101</v>
      </c>
      <c r="U5" s="8">
        <v>2.0</v>
      </c>
      <c r="V5" s="8">
        <v>7.0</v>
      </c>
      <c r="W5" s="7" t="str">
        <f t="shared" si="8"/>
        <v>1</v>
      </c>
      <c r="X5" s="7" t="str">
        <f>W4&amp;W5</f>
        <v>11</v>
      </c>
    </row>
    <row r="6">
      <c r="A6" s="1">
        <v>4.0</v>
      </c>
      <c r="B6" s="3" t="str">
        <f t="shared" si="3"/>
        <v>10001010</v>
      </c>
      <c r="C6" s="3" t="str">
        <f t="shared" si="4"/>
        <v>8A</v>
      </c>
      <c r="Q6" s="7">
        <f t="shared" ref="Q6:R6" si="9">G67</f>
        <v>10</v>
      </c>
      <c r="R6" s="7" t="str">
        <f t="shared" si="9"/>
        <v>1010</v>
      </c>
      <c r="S6" s="7" t="str">
        <f t="shared" si="7"/>
        <v>01111111000101011010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110</v>
      </c>
    </row>
    <row r="7">
      <c r="A7" s="1">
        <v>5.0</v>
      </c>
      <c r="B7" s="3" t="str">
        <f t="shared" si="3"/>
        <v>11100100</v>
      </c>
      <c r="C7" s="3" t="str">
        <f t="shared" si="4"/>
        <v>E4</v>
      </c>
      <c r="Q7" s="7">
        <f t="shared" ref="Q7:R7" si="10">G68</f>
        <v>4</v>
      </c>
      <c r="R7" s="7" t="str">
        <f t="shared" si="10"/>
        <v>0100</v>
      </c>
      <c r="S7" s="7" t="str">
        <f t="shared" si="7"/>
        <v>011111110001010110100100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1100</v>
      </c>
    </row>
    <row r="8">
      <c r="A8" s="1">
        <v>6.0</v>
      </c>
      <c r="B8" s="3" t="str">
        <f t="shared" si="3"/>
        <v>11000110</v>
      </c>
      <c r="C8" s="3" t="str">
        <f t="shared" si="4"/>
        <v>C6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9</v>
      </c>
      <c r="R8" s="7" t="str">
        <f t="shared" si="12"/>
        <v>1001</v>
      </c>
      <c r="S8" s="7" t="str">
        <f t="shared" si="7"/>
        <v>0111111100010101101001001001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11000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6</v>
      </c>
      <c r="R9" s="7" t="str">
        <f t="shared" si="13"/>
        <v>0110</v>
      </c>
      <c r="S9" s="7" t="str">
        <f t="shared" si="7"/>
        <v>01111111000101011010010010010110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110001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1100011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11000111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110001110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1100011100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11000111000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110001110000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1100011100001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11000111000010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110001110000101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1100011100001010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78</v>
      </c>
      <c r="N20" s="10" t="s">
        <v>75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11000111000010101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79</v>
      </c>
      <c r="N21" s="7" t="s">
        <v>80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101001010111110101011100001010101110100011111110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110001110000101011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01001010111110101011100001010101110100011111110</v>
      </c>
      <c r="U22" s="8">
        <v>19.0</v>
      </c>
      <c r="V22" s="8">
        <v>24.0</v>
      </c>
      <c r="W22" s="7" t="str">
        <f t="shared" si="8"/>
        <v>0</v>
      </c>
      <c r="X22" s="7" t="str">
        <f t="shared" si="11"/>
        <v>1100011100001010110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1001010111110101011100001010101110100011111110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11000111000010101101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10100101</v>
      </c>
      <c r="O24" s="3" t="str">
        <f t="shared" ref="O24:O31" si="24">BIN2HEX(N24,2)</f>
        <v>A5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001010111110101011100001010101110100011111110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110001110000101011010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01111101</v>
      </c>
      <c r="O25" s="3" t="str">
        <f t="shared" si="24"/>
        <v>7D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01010111110101011100001010101110100011111110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1100011100001010110100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01011100</v>
      </c>
      <c r="O26" s="3" t="str">
        <f t="shared" si="24"/>
        <v>5C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1010111110101011100001010101110100011111110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11000111000010101101001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00101010</v>
      </c>
      <c r="O27" s="3" t="str">
        <f t="shared" si="24"/>
        <v>2A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010111110101011100001010101110100011111110</v>
      </c>
      <c r="U27" s="8">
        <v>24.0</v>
      </c>
      <c r="V27" s="8">
        <v>9.0</v>
      </c>
      <c r="W27" s="7" t="str">
        <f t="shared" si="8"/>
        <v>0</v>
      </c>
      <c r="X27" s="7" t="str">
        <f t="shared" si="11"/>
        <v>110001110000101011010010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11101000</v>
      </c>
      <c r="O28" s="3" t="str">
        <f t="shared" si="24"/>
        <v>E8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10111110101011100001010101110100011111110</v>
      </c>
      <c r="U28" s="8">
        <v>25.0</v>
      </c>
      <c r="V28" s="8">
        <v>19.0</v>
      </c>
      <c r="W28" s="7" t="str">
        <f t="shared" si="8"/>
        <v>1</v>
      </c>
      <c r="X28" s="7" t="str">
        <f t="shared" si="11"/>
        <v>1100011100001010110100101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11111110</v>
      </c>
      <c r="O29" s="3" t="str">
        <f t="shared" si="24"/>
        <v>FE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0111110101011100001010101110100011111110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11000111000010101101001010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111110101011100001010101110100011111110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110001110000101011010010101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1</v>
      </c>
      <c r="T31" s="7" t="str">
        <f t="shared" si="22"/>
        <v>11110101011100001010101110100011111110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1100011100001010110100101011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1</v>
      </c>
      <c r="T32" s="7" t="str">
        <f t="shared" si="22"/>
        <v>1110101011100001010101110100011111110</v>
      </c>
      <c r="U32" s="8">
        <v>29.0</v>
      </c>
      <c r="V32" s="8">
        <v>22.0</v>
      </c>
      <c r="W32" s="7" t="str">
        <f t="shared" si="8"/>
        <v>1</v>
      </c>
      <c r="X32" s="7" t="str">
        <f t="shared" si="11"/>
        <v>11000111000010101101001010111</v>
      </c>
    </row>
    <row r="33">
      <c r="A33" s="6" t="s">
        <v>12</v>
      </c>
      <c r="B33" s="7" t="str">
        <f>B1</f>
        <v>011011001000010010110111100010101110010011000110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1</v>
      </c>
      <c r="T33" s="7" t="str">
        <f t="shared" si="22"/>
        <v>110101011100001010101110100011111110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110001110000101011010010101110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1</v>
      </c>
      <c r="T34" s="7" t="str">
        <f t="shared" si="22"/>
        <v>10101011100001010101110100011111110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1100011100001010110100101011101</v>
      </c>
    </row>
    <row r="35">
      <c r="A35" s="1">
        <v>1.0</v>
      </c>
      <c r="B35" s="3" t="str">
        <f t="shared" ref="B35:B40" si="25">MID($B$1,(A35-1)*8+1,8)</f>
        <v>01101100</v>
      </c>
      <c r="C35" s="3" t="str">
        <f t="shared" ref="C35:C40" si="26">BIN2HEX(B35,2)</f>
        <v>6C</v>
      </c>
      <c r="D35" s="3">
        <f t="shared" ref="D35:D40" si="27">BIN2DEC(B35)</f>
        <v>108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0</v>
      </c>
      <c r="T35" s="7" t="str">
        <f t="shared" si="22"/>
        <v>0101011100001010101110100011111110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11000111000010101101001010111011</v>
      </c>
    </row>
    <row r="36">
      <c r="A36" s="1">
        <v>2.0</v>
      </c>
      <c r="B36" s="3" t="str">
        <f t="shared" si="25"/>
        <v>10000100</v>
      </c>
      <c r="C36" s="3" t="str">
        <f t="shared" si="26"/>
        <v>84</v>
      </c>
      <c r="D36" s="3">
        <f t="shared" si="27"/>
        <v>132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101011100001010101110100011111110</v>
      </c>
    </row>
    <row r="37">
      <c r="A37" s="1">
        <v>3.0</v>
      </c>
      <c r="B37" s="3" t="str">
        <f t="shared" si="25"/>
        <v>10110111</v>
      </c>
      <c r="C37" s="3" t="str">
        <f t="shared" si="26"/>
        <v>B7</v>
      </c>
      <c r="D37" s="3">
        <f t="shared" si="27"/>
        <v>183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01011100001010101110100011111110</v>
      </c>
    </row>
    <row r="38">
      <c r="A38" s="1">
        <v>4.0</v>
      </c>
      <c r="B38" s="3" t="str">
        <f t="shared" si="25"/>
        <v>10001010</v>
      </c>
      <c r="C38" s="3" t="str">
        <f t="shared" si="26"/>
        <v>8A</v>
      </c>
      <c r="D38" s="3">
        <f t="shared" si="27"/>
        <v>138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1011100001010101110100011111110</v>
      </c>
      <c r="U38" s="11" t="s">
        <v>27</v>
      </c>
      <c r="V38" s="12" t="str">
        <f>X35</f>
        <v>11000111000010101101001010111011</v>
      </c>
      <c r="W38" s="12"/>
      <c r="X38" s="12"/>
    </row>
    <row r="39">
      <c r="A39" s="1">
        <v>5.0</v>
      </c>
      <c r="B39" s="3" t="str">
        <f t="shared" si="25"/>
        <v>11100100</v>
      </c>
      <c r="C39" s="3" t="str">
        <f t="shared" si="26"/>
        <v>E4</v>
      </c>
      <c r="D39" s="3">
        <f t="shared" si="27"/>
        <v>228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011100001010101110100011111110</v>
      </c>
    </row>
    <row r="40">
      <c r="A40" s="1">
        <v>6.0</v>
      </c>
      <c r="B40" s="3" t="str">
        <f t="shared" si="25"/>
        <v>11000110</v>
      </c>
      <c r="C40" s="3" t="str">
        <f t="shared" si="26"/>
        <v>C6</v>
      </c>
      <c r="D40" s="3">
        <f t="shared" si="27"/>
        <v>198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11100001010101110100011111110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1100001010101110100011111110</v>
      </c>
      <c r="U41" s="6" t="s">
        <v>29</v>
      </c>
      <c r="V41" s="7" t="str">
        <f>N20</f>
        <v>01110011010000110001101001010110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101001010111110101011100001010101110100011111110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1</v>
      </c>
      <c r="T42" s="7" t="str">
        <f t="shared" si="22"/>
        <v>100001010101110100011111110</v>
      </c>
    </row>
    <row r="43">
      <c r="A43" s="1">
        <v>1.0</v>
      </c>
      <c r="B43" s="3" t="str">
        <f t="shared" ref="B43:B48" si="28">MID($T$21,(A43-1)*8+1,8)</f>
        <v>10100101</v>
      </c>
      <c r="C43" s="3" t="str">
        <f t="shared" ref="C43:C48" si="29">BIN2HEX(B43,2)</f>
        <v>A5</v>
      </c>
      <c r="D43" s="3">
        <f t="shared" ref="D43:D48" si="30">BIN2DEC(B43)</f>
        <v>165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00001010101110100011111110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01111101</v>
      </c>
      <c r="C44" s="3" t="str">
        <f t="shared" si="29"/>
        <v>7D</v>
      </c>
      <c r="D44" s="3">
        <f t="shared" si="30"/>
        <v>125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0001010101110100011111110</v>
      </c>
      <c r="U44" s="1">
        <v>1.0</v>
      </c>
      <c r="V44" s="3" t="str">
        <f t="shared" ref="V44:V47" si="31">MID($V$38,(U44-1)*8+1,8)</f>
        <v>11000111</v>
      </c>
      <c r="W44" s="3" t="str">
        <f t="shared" ref="W44:W47" si="32">BIN2HEX(V44,2)</f>
        <v>C7</v>
      </c>
      <c r="X44" s="3">
        <f t="shared" ref="X44:X47" si="33">HEX2DEC(W44)</f>
        <v>199</v>
      </c>
    </row>
    <row r="45">
      <c r="A45" s="1">
        <v>3.0</v>
      </c>
      <c r="B45" s="3" t="str">
        <f t="shared" si="28"/>
        <v>01011100</v>
      </c>
      <c r="C45" s="3" t="str">
        <f t="shared" si="29"/>
        <v>5C</v>
      </c>
      <c r="D45" s="3">
        <f t="shared" si="30"/>
        <v>92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001010101110100011111110</v>
      </c>
      <c r="U45" s="1">
        <v>2.0</v>
      </c>
      <c r="V45" s="3" t="str">
        <f t="shared" si="31"/>
        <v>00001010</v>
      </c>
      <c r="W45" s="3" t="str">
        <f t="shared" si="32"/>
        <v>0A</v>
      </c>
      <c r="X45" s="3">
        <f t="shared" si="33"/>
        <v>10</v>
      </c>
    </row>
    <row r="46">
      <c r="A46" s="1">
        <v>4.0</v>
      </c>
      <c r="B46" s="3" t="str">
        <f t="shared" si="28"/>
        <v>00101010</v>
      </c>
      <c r="C46" s="3" t="str">
        <f t="shared" si="29"/>
        <v>2A</v>
      </c>
      <c r="D46" s="3">
        <f t="shared" si="30"/>
        <v>42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01010101110100011111110</v>
      </c>
      <c r="U46" s="1">
        <v>3.0</v>
      </c>
      <c r="V46" s="3" t="str">
        <f t="shared" si="31"/>
        <v>11010010</v>
      </c>
      <c r="W46" s="3" t="str">
        <f t="shared" si="32"/>
        <v>D2</v>
      </c>
      <c r="X46" s="3">
        <f t="shared" si="33"/>
        <v>210</v>
      </c>
    </row>
    <row r="47">
      <c r="A47" s="1">
        <v>5.0</v>
      </c>
      <c r="B47" s="3" t="str">
        <f t="shared" si="28"/>
        <v>11101000</v>
      </c>
      <c r="C47" s="3" t="str">
        <f t="shared" si="29"/>
        <v>E8</v>
      </c>
      <c r="D47" s="3">
        <f t="shared" si="30"/>
        <v>232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1010101110100011111110</v>
      </c>
      <c r="U47" s="1">
        <v>4.0</v>
      </c>
      <c r="V47" s="3" t="str">
        <f t="shared" si="31"/>
        <v>10111011</v>
      </c>
      <c r="W47" s="3" t="str">
        <f t="shared" si="32"/>
        <v>BB</v>
      </c>
      <c r="X47" s="3">
        <f t="shared" si="33"/>
        <v>187</v>
      </c>
    </row>
    <row r="48">
      <c r="A48" s="1">
        <v>6.0</v>
      </c>
      <c r="B48" s="3" t="str">
        <f t="shared" si="28"/>
        <v>11111110</v>
      </c>
      <c r="C48" s="3" t="str">
        <f t="shared" si="29"/>
        <v>FE</v>
      </c>
      <c r="D48" s="3">
        <f t="shared" si="30"/>
        <v>254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010101110100011111110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10101110100011111110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0101110100011111110</v>
      </c>
    </row>
    <row r="51">
      <c r="A51" s="6">
        <v>1.0</v>
      </c>
      <c r="B51" s="7">
        <f t="shared" ref="B51:B56" si="34">BITXOR(D35,D43)</f>
        <v>201</v>
      </c>
      <c r="C51" s="7" t="str">
        <f t="shared" ref="C51:C56" si="35">DEC2BIN(B51,8)</f>
        <v>11001001</v>
      </c>
      <c r="D51" s="7" t="str">
        <f t="shared" ref="D51:D56" si="36">DEC2HEX(B51,2)</f>
        <v>C9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101110100011111110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249</v>
      </c>
      <c r="C52" s="7" t="str">
        <f t="shared" si="35"/>
        <v>11111001</v>
      </c>
      <c r="D52" s="7" t="str">
        <f t="shared" si="36"/>
        <v>F9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01110100011111110</v>
      </c>
      <c r="U52" s="1">
        <v>1.0</v>
      </c>
      <c r="V52" s="3" t="str">
        <f t="shared" ref="V52:V55" si="37">MID($V$41,(U52-1)*8+1,8)</f>
        <v>01110011</v>
      </c>
      <c r="W52" s="3" t="str">
        <f t="shared" ref="W52:W55" si="38">BIN2HEX(V52,2)</f>
        <v>73</v>
      </c>
      <c r="X52" s="3">
        <f t="shared" ref="X52:X55" si="39">HEX2DEC(W52)</f>
        <v>115</v>
      </c>
    </row>
    <row r="53">
      <c r="A53" s="6">
        <v>3.0</v>
      </c>
      <c r="B53" s="7">
        <f t="shared" si="34"/>
        <v>235</v>
      </c>
      <c r="C53" s="7" t="str">
        <f t="shared" si="35"/>
        <v>11101011</v>
      </c>
      <c r="D53" s="7" t="str">
        <f t="shared" si="36"/>
        <v>EB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1</v>
      </c>
      <c r="T53" s="7" t="str">
        <f t="shared" si="22"/>
        <v>1110100011111110</v>
      </c>
      <c r="U53" s="1">
        <v>2.0</v>
      </c>
      <c r="V53" s="3" t="str">
        <f t="shared" si="37"/>
        <v>01000011</v>
      </c>
      <c r="W53" s="3" t="str">
        <f t="shared" si="38"/>
        <v>43</v>
      </c>
      <c r="X53" s="3">
        <f t="shared" si="39"/>
        <v>67</v>
      </c>
    </row>
    <row r="54">
      <c r="A54" s="6">
        <v>4.0</v>
      </c>
      <c r="B54" s="7">
        <f t="shared" si="34"/>
        <v>160</v>
      </c>
      <c r="C54" s="7" t="str">
        <f t="shared" si="35"/>
        <v>10100000</v>
      </c>
      <c r="D54" s="7" t="str">
        <f t="shared" si="36"/>
        <v>A0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1</v>
      </c>
      <c r="T54" s="7" t="str">
        <f t="shared" si="22"/>
        <v>110100011111110</v>
      </c>
      <c r="U54" s="1">
        <v>3.0</v>
      </c>
      <c r="V54" s="3" t="str">
        <f t="shared" si="37"/>
        <v>00011010</v>
      </c>
      <c r="W54" s="3" t="str">
        <f t="shared" si="38"/>
        <v>1A</v>
      </c>
      <c r="X54" s="3">
        <f t="shared" si="39"/>
        <v>26</v>
      </c>
    </row>
    <row r="55">
      <c r="A55" s="6">
        <v>5.0</v>
      </c>
      <c r="B55" s="7">
        <f t="shared" si="34"/>
        <v>12</v>
      </c>
      <c r="C55" s="7" t="str">
        <f t="shared" si="35"/>
        <v>00001100</v>
      </c>
      <c r="D55" s="7" t="str">
        <f t="shared" si="36"/>
        <v>0C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10100011111110</v>
      </c>
      <c r="U55" s="1">
        <v>4.0</v>
      </c>
      <c r="V55" s="3" t="str">
        <f t="shared" si="37"/>
        <v>01010110</v>
      </c>
      <c r="W55" s="3" t="str">
        <f t="shared" si="38"/>
        <v>56</v>
      </c>
      <c r="X55" s="3">
        <f t="shared" si="39"/>
        <v>86</v>
      </c>
    </row>
    <row r="56">
      <c r="A56" s="6">
        <v>6.0</v>
      </c>
      <c r="B56" s="7">
        <f t="shared" si="34"/>
        <v>56</v>
      </c>
      <c r="C56" s="7" t="str">
        <f t="shared" si="35"/>
        <v>00111000</v>
      </c>
      <c r="D56" s="7" t="str">
        <f t="shared" si="36"/>
        <v>38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0100011111110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100011111110</v>
      </c>
      <c r="U57" s="9" t="s">
        <v>81</v>
      </c>
      <c r="V57" s="10" t="str">
        <f>Y62</f>
        <v>10110100010010011100100011101101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00011111110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110010011111100111101011101000000000110000111000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0011111110</v>
      </c>
      <c r="U59" s="6">
        <v>1.0</v>
      </c>
      <c r="V59" s="7">
        <f t="shared" ref="V59:V62" si="40">BITXOR(X44,X52)</f>
        <v>180</v>
      </c>
      <c r="W59" s="7" t="str">
        <f t="shared" ref="W59:W62" si="41">DEC2HEX(V59)</f>
        <v>B4</v>
      </c>
      <c r="X59" s="7" t="str">
        <f t="shared" ref="X59:X62" si="42">HEX2BIN(W59,8)</f>
        <v>10110100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011111110</v>
      </c>
      <c r="U60" s="6">
        <v>2.0</v>
      </c>
      <c r="V60" s="7">
        <f t="shared" si="40"/>
        <v>73</v>
      </c>
      <c r="W60" s="7" t="str">
        <f t="shared" si="41"/>
        <v>49</v>
      </c>
      <c r="X60" s="7" t="str">
        <f t="shared" si="42"/>
        <v>01001001</v>
      </c>
      <c r="Y60" s="7" t="str">
        <f>X59&amp;X60</f>
        <v>1011010001001001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11111110</v>
      </c>
      <c r="U61" s="6">
        <v>3.0</v>
      </c>
      <c r="V61" s="7">
        <f t="shared" si="40"/>
        <v>200</v>
      </c>
      <c r="W61" s="7" t="str">
        <f t="shared" si="41"/>
        <v>C8</v>
      </c>
      <c r="X61" s="7" t="str">
        <f t="shared" si="42"/>
        <v>11001000</v>
      </c>
      <c r="Y61" s="7" t="str">
        <f t="shared" ref="Y61:Y62" si="43">Y60&amp;X61</f>
        <v>101101000100100111001000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1111110</v>
      </c>
      <c r="U62" s="6">
        <v>4.0</v>
      </c>
      <c r="V62" s="7">
        <f t="shared" si="40"/>
        <v>237</v>
      </c>
      <c r="W62" s="7" t="str">
        <f t="shared" si="41"/>
        <v>ED</v>
      </c>
      <c r="X62" s="7" t="str">
        <f t="shared" si="42"/>
        <v>11101101</v>
      </c>
      <c r="Y62" s="7" t="str">
        <f t="shared" si="43"/>
        <v>10110100010010011100100011101101</v>
      </c>
    </row>
    <row r="63">
      <c r="A63" s="6">
        <v>1.0</v>
      </c>
      <c r="B63" s="7" t="str">
        <f t="shared" ref="B63:B70" si="44">MID($B$59,(A63-1)*6+1,6)</f>
        <v>110010</v>
      </c>
      <c r="C63" s="7" t="str">
        <f t="shared" ref="C63:C70" si="45">LEFT(B63,1)&amp;RIGHT(B63,1)</f>
        <v>10</v>
      </c>
      <c r="D63" s="7" t="str">
        <f t="shared" ref="D63:D70" si="46">MID(B63,2,4)</f>
        <v>1001</v>
      </c>
      <c r="E63" s="7" t="str">
        <f t="shared" ref="E63:E70" si="47">C63&amp;D63</f>
        <v>101001</v>
      </c>
      <c r="F63" s="7">
        <f t="shared" ref="F63:F70" si="48">BIN2DEC(E63)</f>
        <v>41</v>
      </c>
      <c r="G63" s="7">
        <f>VLOOKUP(F63,$A$79:$I$142,2,TRUE)</f>
        <v>7</v>
      </c>
      <c r="H63" s="7" t="str">
        <f t="shared" ref="H63:H70" si="49">DEC2BIN(G63,4)</f>
        <v>0111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111110</v>
      </c>
    </row>
    <row r="64">
      <c r="A64" s="6">
        <v>2.0</v>
      </c>
      <c r="B64" s="7" t="str">
        <f t="shared" si="44"/>
        <v>011111</v>
      </c>
      <c r="C64" s="7" t="str">
        <f t="shared" si="45"/>
        <v>01</v>
      </c>
      <c r="D64" s="7" t="str">
        <f t="shared" si="46"/>
        <v>1111</v>
      </c>
      <c r="E64" s="7" t="str">
        <f t="shared" si="47"/>
        <v>011111</v>
      </c>
      <c r="F64" s="7">
        <f t="shared" si="48"/>
        <v>31</v>
      </c>
      <c r="G64" s="7">
        <f>VLOOKUP(F64,$A$79:$I$142,3,TRUE)</f>
        <v>15</v>
      </c>
      <c r="H64" s="7" t="str">
        <f t="shared" si="49"/>
        <v>1111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11110</v>
      </c>
    </row>
    <row r="65">
      <c r="A65" s="6">
        <v>3.0</v>
      </c>
      <c r="B65" s="7" t="str">
        <f t="shared" si="44"/>
        <v>100111</v>
      </c>
      <c r="C65" s="7" t="str">
        <f t="shared" si="45"/>
        <v>11</v>
      </c>
      <c r="D65" s="7" t="str">
        <f t="shared" si="46"/>
        <v>0011</v>
      </c>
      <c r="E65" s="7" t="str">
        <f t="shared" si="47"/>
        <v>110011</v>
      </c>
      <c r="F65" s="7">
        <f t="shared" si="48"/>
        <v>51</v>
      </c>
      <c r="G65" s="7">
        <f>VLOOKUP(F65,$A$79:$I$142,4,TRUE)</f>
        <v>1</v>
      </c>
      <c r="H65" s="7" t="str">
        <f t="shared" si="49"/>
        <v>0001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1110</v>
      </c>
    </row>
    <row r="66">
      <c r="A66" s="6">
        <v>4.0</v>
      </c>
      <c r="B66" s="7" t="str">
        <f t="shared" si="44"/>
        <v>101011</v>
      </c>
      <c r="C66" s="7" t="str">
        <f t="shared" si="45"/>
        <v>11</v>
      </c>
      <c r="D66" s="7" t="str">
        <f t="shared" si="46"/>
        <v>0101</v>
      </c>
      <c r="E66" s="7" t="str">
        <f t="shared" si="47"/>
        <v>110101</v>
      </c>
      <c r="F66" s="7">
        <f t="shared" si="48"/>
        <v>53</v>
      </c>
      <c r="G66" s="7">
        <f>VLOOKUP(F66,$A$79:$I$142,5,TRUE)</f>
        <v>5</v>
      </c>
      <c r="H66" s="7" t="str">
        <f t="shared" si="49"/>
        <v>0101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110</v>
      </c>
    </row>
    <row r="67">
      <c r="A67" s="6">
        <v>5.0</v>
      </c>
      <c r="B67" s="7" t="str">
        <f t="shared" si="44"/>
        <v>101000</v>
      </c>
      <c r="C67" s="7" t="str">
        <f t="shared" si="45"/>
        <v>10</v>
      </c>
      <c r="D67" s="7" t="str">
        <f t="shared" si="46"/>
        <v>0100</v>
      </c>
      <c r="E67" s="7" t="str">
        <f t="shared" si="47"/>
        <v>100100</v>
      </c>
      <c r="F67" s="7">
        <f t="shared" si="48"/>
        <v>36</v>
      </c>
      <c r="G67" s="7">
        <f>VLOOKUP(F67,$A$79:$I$142,6,TRUE)</f>
        <v>10</v>
      </c>
      <c r="H67" s="7" t="str">
        <f t="shared" si="49"/>
        <v>1010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10</v>
      </c>
    </row>
    <row r="68">
      <c r="A68" s="6">
        <v>6.0</v>
      </c>
      <c r="B68" s="7" t="str">
        <f t="shared" si="44"/>
        <v>000000</v>
      </c>
      <c r="C68" s="7" t="str">
        <f t="shared" si="45"/>
        <v>00</v>
      </c>
      <c r="D68" s="7" t="str">
        <f t="shared" si="46"/>
        <v>0000</v>
      </c>
      <c r="E68" s="7" t="str">
        <f t="shared" si="47"/>
        <v>000000</v>
      </c>
      <c r="F68" s="7">
        <f t="shared" si="48"/>
        <v>0</v>
      </c>
      <c r="G68" s="7">
        <f>VLOOKUP(F68,$A$79:$I$142,7,TRUE)</f>
        <v>4</v>
      </c>
      <c r="H68" s="7" t="str">
        <f t="shared" si="49"/>
        <v>0100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110000</v>
      </c>
      <c r="C69" s="7" t="str">
        <f t="shared" si="45"/>
        <v>10</v>
      </c>
      <c r="D69" s="7" t="str">
        <f t="shared" si="46"/>
        <v>1000</v>
      </c>
      <c r="E69" s="7" t="str">
        <f t="shared" si="47"/>
        <v>101000</v>
      </c>
      <c r="F69" s="7">
        <f t="shared" si="48"/>
        <v>40</v>
      </c>
      <c r="G69" s="7">
        <f>VLOOKUP(F69,$A$79:$I$142,8,TRUE)</f>
        <v>9</v>
      </c>
      <c r="H69" s="7" t="str">
        <f t="shared" si="49"/>
        <v>1001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111000</v>
      </c>
      <c r="C70" s="7" t="str">
        <f t="shared" si="45"/>
        <v>10</v>
      </c>
      <c r="D70" s="7" t="str">
        <f t="shared" si="46"/>
        <v>1100</v>
      </c>
      <c r="E70" s="7" t="str">
        <f t="shared" si="47"/>
        <v>101100</v>
      </c>
      <c r="F70" s="7">
        <f t="shared" si="48"/>
        <v>44</v>
      </c>
      <c r="G70" s="7">
        <f>VLOOKUP(F70,$A$79:$I$142,9,TRUE)</f>
        <v>6</v>
      </c>
      <c r="H70" s="7" t="str">
        <f t="shared" si="49"/>
        <v>0110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82</v>
      </c>
      <c r="Q1" s="6" t="s">
        <v>14</v>
      </c>
      <c r="R1" s="6" t="s">
        <v>4</v>
      </c>
      <c r="U1" s="6" t="s">
        <v>15</v>
      </c>
      <c r="V1" s="7" t="str">
        <f>S9</f>
        <v>01100000101000011000100100010001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6</v>
      </c>
      <c r="R2" s="7" t="str">
        <f t="shared" si="1"/>
        <v>0110</v>
      </c>
    </row>
    <row r="3">
      <c r="A3" s="1">
        <v>1.0</v>
      </c>
      <c r="B3" s="3" t="str">
        <f t="shared" ref="B3:B8" si="3">MID($B$1,(A3-1)*8+1,8)</f>
        <v>11110111</v>
      </c>
      <c r="C3" s="3" t="str">
        <f t="shared" ref="C3:C8" si="4">BIN2HEX(B3,2)</f>
        <v>F7</v>
      </c>
      <c r="Q3" s="7">
        <f t="shared" ref="Q3:R3" si="2">G64</f>
        <v>0</v>
      </c>
      <c r="R3" s="7" t="str">
        <f t="shared" si="2"/>
        <v>0000</v>
      </c>
      <c r="S3" s="7" t="str">
        <f>R2&amp;R3</f>
        <v>01100000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10001000</v>
      </c>
      <c r="C4" s="3" t="str">
        <f t="shared" si="4"/>
        <v>88</v>
      </c>
      <c r="Q4" s="7">
        <f t="shared" ref="Q4:R4" si="5">G65</f>
        <v>10</v>
      </c>
      <c r="R4" s="7" t="str">
        <f t="shared" si="5"/>
        <v>1010</v>
      </c>
      <c r="S4" s="7" t="str">
        <f t="shared" ref="S4:S9" si="7">S3&amp;R4</f>
        <v>011000001010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00111010</v>
      </c>
      <c r="C5" s="3" t="str">
        <f t="shared" si="4"/>
        <v>3A</v>
      </c>
      <c r="Q5" s="7">
        <f t="shared" ref="Q5:R5" si="6">G66</f>
        <v>1</v>
      </c>
      <c r="R5" s="7" t="str">
        <f t="shared" si="6"/>
        <v>0001</v>
      </c>
      <c r="S5" s="7" t="str">
        <f t="shared" si="7"/>
        <v>0110000010100001</v>
      </c>
      <c r="U5" s="8">
        <v>2.0</v>
      </c>
      <c r="V5" s="8">
        <v>7.0</v>
      </c>
      <c r="W5" s="7" t="str">
        <f t="shared" si="8"/>
        <v>0</v>
      </c>
      <c r="X5" s="7" t="str">
        <f>W4&amp;W5</f>
        <v>10</v>
      </c>
    </row>
    <row r="6">
      <c r="A6" s="1">
        <v>4.0</v>
      </c>
      <c r="B6" s="3" t="str">
        <f t="shared" si="3"/>
        <v>11101100</v>
      </c>
      <c r="C6" s="3" t="str">
        <f t="shared" si="4"/>
        <v>EC</v>
      </c>
      <c r="Q6" s="7">
        <f t="shared" ref="Q6:R6" si="9">G67</f>
        <v>8</v>
      </c>
      <c r="R6" s="7" t="str">
        <f t="shared" si="9"/>
        <v>1000</v>
      </c>
      <c r="S6" s="7" t="str">
        <f t="shared" si="7"/>
        <v>01100000101000011000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100</v>
      </c>
    </row>
    <row r="7">
      <c r="A7" s="1">
        <v>5.0</v>
      </c>
      <c r="B7" s="3" t="str">
        <f t="shared" si="3"/>
        <v>11100111</v>
      </c>
      <c r="C7" s="3" t="str">
        <f t="shared" si="4"/>
        <v>E7</v>
      </c>
      <c r="Q7" s="7">
        <f t="shared" ref="Q7:R7" si="10">G68</f>
        <v>9</v>
      </c>
      <c r="R7" s="7" t="str">
        <f t="shared" si="10"/>
        <v>1001</v>
      </c>
      <c r="S7" s="7" t="str">
        <f t="shared" si="7"/>
        <v>011000001010000110001001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1001</v>
      </c>
    </row>
    <row r="8">
      <c r="A8" s="1">
        <v>6.0</v>
      </c>
      <c r="B8" s="3" t="str">
        <f t="shared" si="3"/>
        <v>10000001</v>
      </c>
      <c r="C8" s="3" t="str">
        <f t="shared" si="4"/>
        <v>81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</v>
      </c>
      <c r="R8" s="7" t="str">
        <f t="shared" si="12"/>
        <v>0001</v>
      </c>
      <c r="S8" s="7" t="str">
        <f t="shared" si="7"/>
        <v>0110000010100001100010010001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10010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</v>
      </c>
      <c r="R9" s="7" t="str">
        <f t="shared" si="13"/>
        <v>0001</v>
      </c>
      <c r="S9" s="7" t="str">
        <f t="shared" si="7"/>
        <v>01100000101000011000100100010001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100100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1001001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10010011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100100110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1001001100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10010011000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100100110000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1001001100000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10010011000000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100100110000000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1001001100000000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83</v>
      </c>
      <c r="N20" s="10" t="s">
        <v>80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10010011000000001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84</v>
      </c>
      <c r="N21" s="7" t="s">
        <v>85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110110101000001001010011111001010001011101011011</v>
      </c>
      <c r="U21" s="8">
        <v>18.0</v>
      </c>
      <c r="V21" s="8">
        <v>8.0</v>
      </c>
      <c r="W21" s="7" t="str">
        <f t="shared" si="8"/>
        <v>0</v>
      </c>
      <c r="X21" s="7" t="str">
        <f t="shared" si="11"/>
        <v>100100110000000010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10110101000001001010011111001010001011101011011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1001001100000000101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0</v>
      </c>
      <c r="T23" s="7" t="str">
        <f t="shared" si="22"/>
        <v>0110101000001001010011111001010001011101011011</v>
      </c>
      <c r="U23" s="8">
        <v>20.0</v>
      </c>
      <c r="V23" s="8">
        <v>14.0</v>
      </c>
      <c r="W23" s="7" t="str">
        <f t="shared" si="8"/>
        <v>0</v>
      </c>
      <c r="X23" s="7" t="str">
        <f t="shared" si="11"/>
        <v>10010011000000001010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11011010</v>
      </c>
      <c r="O24" s="3" t="str">
        <f t="shared" ref="O24:O31" si="24">BIN2HEX(N24,2)</f>
        <v>DA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110101000001001010011111001010001011101011011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100100110000000010101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10000010</v>
      </c>
      <c r="O25" s="3" t="str">
        <f t="shared" si="24"/>
        <v>82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10101000001001010011111001010001011101011011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1001001100000000101010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01010011</v>
      </c>
      <c r="O26" s="3" t="str">
        <f t="shared" si="24"/>
        <v>53</v>
      </c>
      <c r="Q26" s="8">
        <v>6.0</v>
      </c>
      <c r="R26" s="8">
        <v>5.0</v>
      </c>
      <c r="S26" s="7" t="str">
        <f t="shared" si="21"/>
        <v>0</v>
      </c>
      <c r="T26" s="7" t="str">
        <f t="shared" si="22"/>
        <v>0101000001001010011111001010001011101011011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10010011000000001010101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11100101</v>
      </c>
      <c r="O27" s="3" t="str">
        <f t="shared" si="24"/>
        <v>E5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101000001001010011111001010001011101011011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100100110000000010101011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00010111</v>
      </c>
      <c r="O28" s="3" t="str">
        <f t="shared" si="24"/>
        <v>17</v>
      </c>
      <c r="Q28" s="8">
        <v>8.0</v>
      </c>
      <c r="R28" s="8">
        <v>5.0</v>
      </c>
      <c r="S28" s="7" t="str">
        <f t="shared" si="21"/>
        <v>0</v>
      </c>
      <c r="T28" s="7" t="str">
        <f t="shared" si="22"/>
        <v>01000001001010011111001010001011101011011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1001001100000000101010110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01011011</v>
      </c>
      <c r="O29" s="3" t="str">
        <f t="shared" si="24"/>
        <v>5B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1000001001010011111001010001011101011011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10010011000000001010101100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0</v>
      </c>
      <c r="T30" s="7" t="str">
        <f t="shared" si="22"/>
        <v>000001001010011111001010001011101011011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100100110000000010101011000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00001001010011111001010001011101011011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1001001100000000101010110000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0001001010011111001010001011101011011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10010011000000001010101100000</v>
      </c>
    </row>
    <row r="33">
      <c r="A33" s="6" t="s">
        <v>12</v>
      </c>
      <c r="B33" s="7" t="str">
        <f>B1</f>
        <v>111101111000100000111010111011001110011110000001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001001010011111001010001011101011011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100100110000000010101011000001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01001010011111001010001011101011011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1001001100000000101010110000010</v>
      </c>
    </row>
    <row r="35">
      <c r="A35" s="1">
        <v>1.0</v>
      </c>
      <c r="B35" s="3" t="str">
        <f t="shared" ref="B35:B40" si="25">MID($B$1,(A35-1)*8+1,8)</f>
        <v>11110111</v>
      </c>
      <c r="C35" s="3" t="str">
        <f t="shared" ref="C35:C40" si="26">BIN2HEX(B35,2)</f>
        <v>F7</v>
      </c>
      <c r="D35" s="3">
        <f t="shared" ref="D35:D40" si="27">BIN2DEC(B35)</f>
        <v>247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1001010011111001010001011101011011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10010011000000001010101100000100</v>
      </c>
    </row>
    <row r="36">
      <c r="A36" s="1">
        <v>2.0</v>
      </c>
      <c r="B36" s="3" t="str">
        <f t="shared" si="25"/>
        <v>10001000</v>
      </c>
      <c r="C36" s="3" t="str">
        <f t="shared" si="26"/>
        <v>88</v>
      </c>
      <c r="D36" s="3">
        <f t="shared" si="27"/>
        <v>136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001010011111001010001011101011011</v>
      </c>
    </row>
    <row r="37">
      <c r="A37" s="1">
        <v>3.0</v>
      </c>
      <c r="B37" s="3" t="str">
        <f t="shared" si="25"/>
        <v>00111010</v>
      </c>
      <c r="C37" s="3" t="str">
        <f t="shared" si="26"/>
        <v>3A</v>
      </c>
      <c r="D37" s="3">
        <f t="shared" si="27"/>
        <v>58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01010011111001010001011101011011</v>
      </c>
    </row>
    <row r="38">
      <c r="A38" s="1">
        <v>4.0</v>
      </c>
      <c r="B38" s="3" t="str">
        <f t="shared" si="25"/>
        <v>11101100</v>
      </c>
      <c r="C38" s="3" t="str">
        <f t="shared" si="26"/>
        <v>EC</v>
      </c>
      <c r="D38" s="3">
        <f t="shared" si="27"/>
        <v>236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1010011111001010001011101011011</v>
      </c>
      <c r="U38" s="11" t="s">
        <v>27</v>
      </c>
      <c r="V38" s="12" t="str">
        <f>X35</f>
        <v>10010011000000001010101100000100</v>
      </c>
      <c r="W38" s="12"/>
      <c r="X38" s="12"/>
    </row>
    <row r="39">
      <c r="A39" s="1">
        <v>5.0</v>
      </c>
      <c r="B39" s="3" t="str">
        <f t="shared" si="25"/>
        <v>11100111</v>
      </c>
      <c r="C39" s="3" t="str">
        <f t="shared" si="26"/>
        <v>E7</v>
      </c>
      <c r="D39" s="3">
        <f t="shared" si="27"/>
        <v>231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010011111001010001011101011011</v>
      </c>
    </row>
    <row r="40">
      <c r="A40" s="1">
        <v>6.0</v>
      </c>
      <c r="B40" s="3" t="str">
        <f t="shared" si="25"/>
        <v>10000001</v>
      </c>
      <c r="C40" s="3" t="str">
        <f t="shared" si="26"/>
        <v>81</v>
      </c>
      <c r="D40" s="3">
        <f t="shared" si="27"/>
        <v>129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10011111001010001011101011011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0</v>
      </c>
      <c r="T41" s="7" t="str">
        <f t="shared" si="22"/>
        <v>0011111001010001011101011011</v>
      </c>
      <c r="U41" s="6" t="s">
        <v>29</v>
      </c>
      <c r="V41" s="7" t="str">
        <f>N20</f>
        <v>01001011101011100101011100011111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110110101000001001010011111001010001011101011011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011111001010001011101011011</v>
      </c>
    </row>
    <row r="43">
      <c r="A43" s="1">
        <v>1.0</v>
      </c>
      <c r="B43" s="3" t="str">
        <f t="shared" ref="B43:B48" si="28">MID($T$21,(A43-1)*8+1,8)</f>
        <v>11011010</v>
      </c>
      <c r="C43" s="3" t="str">
        <f t="shared" ref="C43:C48" si="29">BIN2HEX(B43,2)</f>
        <v>DA</v>
      </c>
      <c r="D43" s="3">
        <f t="shared" ref="D43:D48" si="30">BIN2DEC(B43)</f>
        <v>218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11111001010001011101011011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10000010</v>
      </c>
      <c r="C44" s="3" t="str">
        <f t="shared" si="29"/>
        <v>82</v>
      </c>
      <c r="D44" s="3">
        <f t="shared" si="30"/>
        <v>130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1111001010001011101011011</v>
      </c>
      <c r="U44" s="1">
        <v>1.0</v>
      </c>
      <c r="V44" s="3" t="str">
        <f t="shared" ref="V44:V47" si="31">MID($V$38,(U44-1)*8+1,8)</f>
        <v>10010011</v>
      </c>
      <c r="W44" s="3" t="str">
        <f t="shared" ref="W44:W47" si="32">BIN2HEX(V44,2)</f>
        <v>93</v>
      </c>
      <c r="X44" s="3">
        <f t="shared" ref="X44:X47" si="33">HEX2DEC(W44)</f>
        <v>147</v>
      </c>
    </row>
    <row r="45">
      <c r="A45" s="1">
        <v>3.0</v>
      </c>
      <c r="B45" s="3" t="str">
        <f t="shared" si="28"/>
        <v>01010011</v>
      </c>
      <c r="C45" s="3" t="str">
        <f t="shared" si="29"/>
        <v>53</v>
      </c>
      <c r="D45" s="3">
        <f t="shared" si="30"/>
        <v>83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111001010001011101011011</v>
      </c>
      <c r="U45" s="1">
        <v>2.0</v>
      </c>
      <c r="V45" s="3" t="str">
        <f t="shared" si="31"/>
        <v>00000000</v>
      </c>
      <c r="W45" s="3" t="str">
        <f t="shared" si="32"/>
        <v>00</v>
      </c>
      <c r="X45" s="3">
        <f t="shared" si="33"/>
        <v>0</v>
      </c>
    </row>
    <row r="46">
      <c r="A46" s="1">
        <v>4.0</v>
      </c>
      <c r="B46" s="3" t="str">
        <f t="shared" si="28"/>
        <v>11100101</v>
      </c>
      <c r="C46" s="3" t="str">
        <f t="shared" si="29"/>
        <v>E5</v>
      </c>
      <c r="D46" s="3">
        <f t="shared" si="30"/>
        <v>229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11001010001011101011011</v>
      </c>
      <c r="U46" s="1">
        <v>3.0</v>
      </c>
      <c r="V46" s="3" t="str">
        <f t="shared" si="31"/>
        <v>10101011</v>
      </c>
      <c r="W46" s="3" t="str">
        <f t="shared" si="32"/>
        <v>AB</v>
      </c>
      <c r="X46" s="3">
        <f t="shared" si="33"/>
        <v>171</v>
      </c>
    </row>
    <row r="47">
      <c r="A47" s="1">
        <v>5.0</v>
      </c>
      <c r="B47" s="3" t="str">
        <f t="shared" si="28"/>
        <v>00010111</v>
      </c>
      <c r="C47" s="3" t="str">
        <f t="shared" si="29"/>
        <v>17</v>
      </c>
      <c r="D47" s="3">
        <f t="shared" si="30"/>
        <v>23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1001010001011101011011</v>
      </c>
      <c r="U47" s="1">
        <v>4.0</v>
      </c>
      <c r="V47" s="3" t="str">
        <f t="shared" si="31"/>
        <v>00000100</v>
      </c>
      <c r="W47" s="3" t="str">
        <f t="shared" si="32"/>
        <v>04</v>
      </c>
      <c r="X47" s="3">
        <f t="shared" si="33"/>
        <v>4</v>
      </c>
    </row>
    <row r="48">
      <c r="A48" s="1">
        <v>6.0</v>
      </c>
      <c r="B48" s="3" t="str">
        <f t="shared" si="28"/>
        <v>01011011</v>
      </c>
      <c r="C48" s="3" t="str">
        <f t="shared" si="29"/>
        <v>5B</v>
      </c>
      <c r="D48" s="3">
        <f t="shared" si="30"/>
        <v>91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001010001011101011011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01010001011101011011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1010001011101011011</v>
      </c>
    </row>
    <row r="51">
      <c r="A51" s="6">
        <v>1.0</v>
      </c>
      <c r="B51" s="7">
        <f t="shared" ref="B51:B56" si="34">BITXOR(D35,D43)</f>
        <v>45</v>
      </c>
      <c r="C51" s="7" t="str">
        <f t="shared" ref="C51:C56" si="35">DEC2BIN(B51,8)</f>
        <v>00101101</v>
      </c>
      <c r="D51" s="7" t="str">
        <f t="shared" ref="D51:D56" si="36">DEC2HEX(B51,2)</f>
        <v>2D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010001011101011011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10</v>
      </c>
      <c r="C52" s="7" t="str">
        <f t="shared" si="35"/>
        <v>00001010</v>
      </c>
      <c r="D52" s="7" t="str">
        <f t="shared" si="36"/>
        <v>0A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10001011101011011</v>
      </c>
      <c r="U52" s="1">
        <v>1.0</v>
      </c>
      <c r="V52" s="3" t="str">
        <f t="shared" ref="V52:V55" si="37">MID($V$41,(U52-1)*8+1,8)</f>
        <v>01001011</v>
      </c>
      <c r="W52" s="3" t="str">
        <f t="shared" ref="W52:W55" si="38">BIN2HEX(V52,2)</f>
        <v>4B</v>
      </c>
      <c r="X52" s="3">
        <f t="shared" ref="X52:X55" si="39">HEX2DEC(W52)</f>
        <v>75</v>
      </c>
    </row>
    <row r="53">
      <c r="A53" s="6">
        <v>3.0</v>
      </c>
      <c r="B53" s="7">
        <f t="shared" si="34"/>
        <v>105</v>
      </c>
      <c r="C53" s="7" t="str">
        <f t="shared" si="35"/>
        <v>01101001</v>
      </c>
      <c r="D53" s="7" t="str">
        <f t="shared" si="36"/>
        <v>69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0001011101011011</v>
      </c>
      <c r="U53" s="1">
        <v>2.0</v>
      </c>
      <c r="V53" s="3" t="str">
        <f t="shared" si="37"/>
        <v>10101110</v>
      </c>
      <c r="W53" s="3" t="str">
        <f t="shared" si="38"/>
        <v>AE</v>
      </c>
      <c r="X53" s="3">
        <f t="shared" si="39"/>
        <v>174</v>
      </c>
    </row>
    <row r="54">
      <c r="A54" s="6">
        <v>4.0</v>
      </c>
      <c r="B54" s="7">
        <f t="shared" si="34"/>
        <v>9</v>
      </c>
      <c r="C54" s="7" t="str">
        <f t="shared" si="35"/>
        <v>00001001</v>
      </c>
      <c r="D54" s="7" t="str">
        <f t="shared" si="36"/>
        <v>09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001011101011011</v>
      </c>
      <c r="U54" s="1">
        <v>3.0</v>
      </c>
      <c r="V54" s="3" t="str">
        <f t="shared" si="37"/>
        <v>01010111</v>
      </c>
      <c r="W54" s="3" t="str">
        <f t="shared" si="38"/>
        <v>57</v>
      </c>
      <c r="X54" s="3">
        <f t="shared" si="39"/>
        <v>87</v>
      </c>
    </row>
    <row r="55">
      <c r="A55" s="6">
        <v>5.0</v>
      </c>
      <c r="B55" s="7">
        <f t="shared" si="34"/>
        <v>240</v>
      </c>
      <c r="C55" s="7" t="str">
        <f t="shared" si="35"/>
        <v>11110000</v>
      </c>
      <c r="D55" s="7" t="str">
        <f t="shared" si="36"/>
        <v>F0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01011101011011</v>
      </c>
      <c r="U55" s="1">
        <v>4.0</v>
      </c>
      <c r="V55" s="3" t="str">
        <f t="shared" si="37"/>
        <v>00011111</v>
      </c>
      <c r="W55" s="3" t="str">
        <f t="shared" si="38"/>
        <v>1F</v>
      </c>
      <c r="X55" s="3">
        <f t="shared" si="39"/>
        <v>31</v>
      </c>
    </row>
    <row r="56">
      <c r="A56" s="6">
        <v>6.0</v>
      </c>
      <c r="B56" s="7">
        <f t="shared" si="34"/>
        <v>218</v>
      </c>
      <c r="C56" s="7" t="str">
        <f t="shared" si="35"/>
        <v>11011010</v>
      </c>
      <c r="D56" s="7" t="str">
        <f t="shared" si="36"/>
        <v>DA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1</v>
      </c>
      <c r="T56" s="7" t="str">
        <f t="shared" si="22"/>
        <v>1011101011011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011101011011</v>
      </c>
      <c r="U57" s="9" t="s">
        <v>86</v>
      </c>
      <c r="V57" s="10" t="str">
        <f>Y62</f>
        <v>11011000101011101111110000011011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1</v>
      </c>
      <c r="T58" s="7" t="str">
        <f t="shared" si="22"/>
        <v>11101011011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001011010000101001101001000010011111000011011010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1</v>
      </c>
      <c r="T59" s="7" t="str">
        <f t="shared" si="22"/>
        <v>1101011011</v>
      </c>
      <c r="U59" s="6">
        <v>1.0</v>
      </c>
      <c r="V59" s="7">
        <f t="shared" ref="V59:V62" si="40">BITXOR(X44,X52)</f>
        <v>216</v>
      </c>
      <c r="W59" s="7" t="str">
        <f t="shared" ref="W59:W62" si="41">DEC2HEX(V59)</f>
        <v>D8</v>
      </c>
      <c r="X59" s="7" t="str">
        <f t="shared" ref="X59:X62" si="42">HEX2BIN(W59,8)</f>
        <v>11011000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1</v>
      </c>
      <c r="T60" s="7" t="str">
        <f t="shared" si="22"/>
        <v>101011011</v>
      </c>
      <c r="U60" s="6">
        <v>2.0</v>
      </c>
      <c r="V60" s="7">
        <f t="shared" si="40"/>
        <v>174</v>
      </c>
      <c r="W60" s="7" t="str">
        <f t="shared" si="41"/>
        <v>AE</v>
      </c>
      <c r="X60" s="7" t="str">
        <f t="shared" si="42"/>
        <v>10101110</v>
      </c>
      <c r="Y60" s="7" t="str">
        <f>X59&amp;X60</f>
        <v>1101100010101110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0</v>
      </c>
      <c r="T61" s="7" t="str">
        <f t="shared" si="22"/>
        <v>01011011</v>
      </c>
      <c r="U61" s="6">
        <v>3.0</v>
      </c>
      <c r="V61" s="7">
        <f t="shared" si="40"/>
        <v>252</v>
      </c>
      <c r="W61" s="7" t="str">
        <f t="shared" si="41"/>
        <v>FC</v>
      </c>
      <c r="X61" s="7" t="str">
        <f t="shared" si="42"/>
        <v>11111100</v>
      </c>
      <c r="Y61" s="7" t="str">
        <f t="shared" ref="Y61:Y62" si="43">Y60&amp;X61</f>
        <v>110110001010111011111100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1011011</v>
      </c>
      <c r="U62" s="6">
        <v>4.0</v>
      </c>
      <c r="V62" s="7">
        <f t="shared" si="40"/>
        <v>27</v>
      </c>
      <c r="W62" s="7" t="str">
        <f t="shared" si="41"/>
        <v>1B</v>
      </c>
      <c r="X62" s="7" t="str">
        <f t="shared" si="42"/>
        <v>00011011</v>
      </c>
      <c r="Y62" s="7" t="str">
        <f t="shared" si="43"/>
        <v>11011000101011101111110000011011</v>
      </c>
    </row>
    <row r="63">
      <c r="A63" s="6">
        <v>1.0</v>
      </c>
      <c r="B63" s="7" t="str">
        <f t="shared" ref="B63:B70" si="44">MID($B$59,(A63-1)*6+1,6)</f>
        <v>001011</v>
      </c>
      <c r="C63" s="7" t="str">
        <f t="shared" ref="C63:C70" si="45">LEFT(B63,1)&amp;RIGHT(B63,1)</f>
        <v>01</v>
      </c>
      <c r="D63" s="7" t="str">
        <f t="shared" ref="D63:D70" si="46">MID(B63,2,4)</f>
        <v>0101</v>
      </c>
      <c r="E63" s="7" t="str">
        <f t="shared" ref="E63:E70" si="47">C63&amp;D63</f>
        <v>010101</v>
      </c>
      <c r="F63" s="7">
        <f t="shared" ref="F63:F70" si="48">BIN2DEC(E63)</f>
        <v>21</v>
      </c>
      <c r="G63" s="7">
        <f>VLOOKUP(F63,$A$79:$I$142,2,TRUE)</f>
        <v>6</v>
      </c>
      <c r="H63" s="7" t="str">
        <f t="shared" ref="H63:H70" si="49">DEC2BIN(G63,4)</f>
        <v>0110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0</v>
      </c>
      <c r="T63" s="7" t="str">
        <f t="shared" si="22"/>
        <v>011011</v>
      </c>
    </row>
    <row r="64">
      <c r="A64" s="6">
        <v>2.0</v>
      </c>
      <c r="B64" s="7" t="str">
        <f t="shared" si="44"/>
        <v>010000</v>
      </c>
      <c r="C64" s="7" t="str">
        <f t="shared" si="45"/>
        <v>00</v>
      </c>
      <c r="D64" s="7" t="str">
        <f t="shared" si="46"/>
        <v>1000</v>
      </c>
      <c r="E64" s="7" t="str">
        <f t="shared" si="47"/>
        <v>001000</v>
      </c>
      <c r="F64" s="7">
        <f t="shared" si="48"/>
        <v>8</v>
      </c>
      <c r="G64" s="7">
        <f>VLOOKUP(F64,$A$79:$I$142,3,TRUE)</f>
        <v>0</v>
      </c>
      <c r="H64" s="7" t="str">
        <f t="shared" si="49"/>
        <v>0000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11011</v>
      </c>
    </row>
    <row r="65">
      <c r="A65" s="6">
        <v>3.0</v>
      </c>
      <c r="B65" s="7" t="str">
        <f t="shared" si="44"/>
        <v>101001</v>
      </c>
      <c r="C65" s="7" t="str">
        <f t="shared" si="45"/>
        <v>11</v>
      </c>
      <c r="D65" s="7" t="str">
        <f t="shared" si="46"/>
        <v>0100</v>
      </c>
      <c r="E65" s="7" t="str">
        <f t="shared" si="47"/>
        <v>110100</v>
      </c>
      <c r="F65" s="7">
        <f t="shared" si="48"/>
        <v>52</v>
      </c>
      <c r="G65" s="7">
        <f>VLOOKUP(F65,$A$79:$I$142,4,TRUE)</f>
        <v>10</v>
      </c>
      <c r="H65" s="7" t="str">
        <f t="shared" si="49"/>
        <v>1010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1011</v>
      </c>
    </row>
    <row r="66">
      <c r="A66" s="6">
        <v>4.0</v>
      </c>
      <c r="B66" s="7" t="str">
        <f t="shared" si="44"/>
        <v>101001</v>
      </c>
      <c r="C66" s="7" t="str">
        <f t="shared" si="45"/>
        <v>11</v>
      </c>
      <c r="D66" s="7" t="str">
        <f t="shared" si="46"/>
        <v>0100</v>
      </c>
      <c r="E66" s="7" t="str">
        <f t="shared" si="47"/>
        <v>110100</v>
      </c>
      <c r="F66" s="7">
        <f t="shared" si="48"/>
        <v>52</v>
      </c>
      <c r="G66" s="7">
        <f>VLOOKUP(F66,$A$79:$I$142,5,TRUE)</f>
        <v>1</v>
      </c>
      <c r="H66" s="7" t="str">
        <f t="shared" si="49"/>
        <v>0001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011</v>
      </c>
    </row>
    <row r="67">
      <c r="A67" s="6">
        <v>5.0</v>
      </c>
      <c r="B67" s="7" t="str">
        <f t="shared" si="44"/>
        <v>000010</v>
      </c>
      <c r="C67" s="7" t="str">
        <f t="shared" si="45"/>
        <v>00</v>
      </c>
      <c r="D67" s="7" t="str">
        <f t="shared" si="46"/>
        <v>0001</v>
      </c>
      <c r="E67" s="7" t="str">
        <f t="shared" si="47"/>
        <v>000001</v>
      </c>
      <c r="F67" s="7">
        <f t="shared" si="48"/>
        <v>1</v>
      </c>
      <c r="G67" s="7">
        <f>VLOOKUP(F67,$A$79:$I$142,6,TRUE)</f>
        <v>8</v>
      </c>
      <c r="H67" s="7" t="str">
        <f t="shared" si="49"/>
        <v>1000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11</v>
      </c>
    </row>
    <row r="68">
      <c r="A68" s="6">
        <v>6.0</v>
      </c>
      <c r="B68" s="7" t="str">
        <f t="shared" si="44"/>
        <v>011111</v>
      </c>
      <c r="C68" s="7" t="str">
        <f t="shared" si="45"/>
        <v>01</v>
      </c>
      <c r="D68" s="7" t="str">
        <f t="shared" si="46"/>
        <v>1111</v>
      </c>
      <c r="E68" s="7" t="str">
        <f t="shared" si="47"/>
        <v>011111</v>
      </c>
      <c r="F68" s="7">
        <f t="shared" si="48"/>
        <v>31</v>
      </c>
      <c r="G68" s="7">
        <f>VLOOKUP(F68,$A$79:$I$142,7,TRUE)</f>
        <v>9</v>
      </c>
      <c r="H68" s="7" t="str">
        <f t="shared" si="49"/>
        <v>1001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000011</v>
      </c>
      <c r="C69" s="7" t="str">
        <f t="shared" si="45"/>
        <v>01</v>
      </c>
      <c r="D69" s="7" t="str">
        <f t="shared" si="46"/>
        <v>0001</v>
      </c>
      <c r="E69" s="7" t="str">
        <f t="shared" si="47"/>
        <v>010001</v>
      </c>
      <c r="F69" s="7">
        <f t="shared" si="48"/>
        <v>17</v>
      </c>
      <c r="G69" s="7">
        <f>VLOOKUP(F69,$A$79:$I$142,8,TRUE)</f>
        <v>1</v>
      </c>
      <c r="H69" s="7" t="str">
        <f t="shared" si="49"/>
        <v>0001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011010</v>
      </c>
      <c r="C70" s="7" t="str">
        <f t="shared" si="45"/>
        <v>00</v>
      </c>
      <c r="D70" s="7" t="str">
        <f t="shared" si="46"/>
        <v>1101</v>
      </c>
      <c r="E70" s="7" t="str">
        <f t="shared" si="47"/>
        <v>001101</v>
      </c>
      <c r="F70" s="7">
        <f t="shared" si="48"/>
        <v>13</v>
      </c>
      <c r="G70" s="7">
        <f>VLOOKUP(F70,$A$79:$I$142,9,TRUE)</f>
        <v>1</v>
      </c>
      <c r="H70" s="7" t="str">
        <f t="shared" si="49"/>
        <v>0001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87</v>
      </c>
      <c r="Q1" s="6" t="s">
        <v>14</v>
      </c>
      <c r="R1" s="6" t="s">
        <v>4</v>
      </c>
      <c r="U1" s="6" t="s">
        <v>15</v>
      </c>
      <c r="V1" s="7" t="str">
        <f>S9</f>
        <v>01100110100100010100110100011100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6</v>
      </c>
      <c r="R2" s="7" t="str">
        <f t="shared" si="1"/>
        <v>0110</v>
      </c>
    </row>
    <row r="3">
      <c r="A3" s="1">
        <v>1.0</v>
      </c>
      <c r="B3" s="3" t="str">
        <f t="shared" ref="B3:B8" si="3">MID($B$1,(A3-1)*8+1,8)</f>
        <v>11000000</v>
      </c>
      <c r="C3" s="3" t="str">
        <f t="shared" ref="C3:C8" si="4">BIN2HEX(B3,2)</f>
        <v>C0</v>
      </c>
      <c r="Q3" s="7">
        <f t="shared" ref="Q3:R3" si="2">G64</f>
        <v>6</v>
      </c>
      <c r="R3" s="7" t="str">
        <f t="shared" si="2"/>
        <v>0110</v>
      </c>
      <c r="S3" s="7" t="str">
        <f>R2&amp;R3</f>
        <v>01100110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11011011</v>
      </c>
      <c r="C4" s="3" t="str">
        <f t="shared" si="4"/>
        <v>DB</v>
      </c>
      <c r="Q4" s="7">
        <f t="shared" ref="Q4:R4" si="5">G65</f>
        <v>9</v>
      </c>
      <c r="R4" s="7" t="str">
        <f t="shared" si="5"/>
        <v>1001</v>
      </c>
      <c r="S4" s="7" t="str">
        <f t="shared" ref="S4:S9" si="7">S3&amp;R4</f>
        <v>011001101001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11101011</v>
      </c>
      <c r="C5" s="3" t="str">
        <f t="shared" si="4"/>
        <v>EB</v>
      </c>
      <c r="Q5" s="7">
        <f t="shared" ref="Q5:R5" si="6">G66</f>
        <v>1</v>
      </c>
      <c r="R5" s="7" t="str">
        <f t="shared" si="6"/>
        <v>0001</v>
      </c>
      <c r="S5" s="7" t="str">
        <f t="shared" si="7"/>
        <v>0110011010010001</v>
      </c>
      <c r="U5" s="8">
        <v>2.0</v>
      </c>
      <c r="V5" s="8">
        <v>7.0</v>
      </c>
      <c r="W5" s="7" t="str">
        <f t="shared" si="8"/>
        <v>1</v>
      </c>
      <c r="X5" s="7" t="str">
        <f>W4&amp;W5</f>
        <v>11</v>
      </c>
    </row>
    <row r="6">
      <c r="A6" s="1">
        <v>4.0</v>
      </c>
      <c r="B6" s="3" t="str">
        <f t="shared" si="3"/>
        <v>00100111</v>
      </c>
      <c r="C6" s="3" t="str">
        <f t="shared" si="4"/>
        <v>27</v>
      </c>
      <c r="Q6" s="7">
        <f t="shared" ref="Q6:R6" si="9">G67</f>
        <v>4</v>
      </c>
      <c r="R6" s="7" t="str">
        <f t="shared" si="9"/>
        <v>0100</v>
      </c>
      <c r="S6" s="7" t="str">
        <f t="shared" si="7"/>
        <v>01100110100100010100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110</v>
      </c>
    </row>
    <row r="7">
      <c r="A7" s="1">
        <v>5.0</v>
      </c>
      <c r="B7" s="3" t="str">
        <f t="shared" si="3"/>
        <v>10111000</v>
      </c>
      <c r="C7" s="3" t="str">
        <f t="shared" si="4"/>
        <v>B8</v>
      </c>
      <c r="Q7" s="7">
        <f t="shared" ref="Q7:R7" si="10">G68</f>
        <v>13</v>
      </c>
      <c r="R7" s="7" t="str">
        <f t="shared" si="10"/>
        <v>1101</v>
      </c>
      <c r="S7" s="7" t="str">
        <f t="shared" si="7"/>
        <v>011001101001000101001101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1101</v>
      </c>
    </row>
    <row r="8">
      <c r="A8" s="1">
        <v>6.0</v>
      </c>
      <c r="B8" s="3" t="str">
        <f t="shared" si="3"/>
        <v>00111001</v>
      </c>
      <c r="C8" s="3" t="str">
        <f t="shared" si="4"/>
        <v>39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</v>
      </c>
      <c r="R8" s="7" t="str">
        <f t="shared" si="12"/>
        <v>0001</v>
      </c>
      <c r="S8" s="7" t="str">
        <f t="shared" si="7"/>
        <v>0110011010010001010011010001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11011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12</v>
      </c>
      <c r="R9" s="7" t="str">
        <f t="shared" si="13"/>
        <v>1100</v>
      </c>
      <c r="S9" s="7" t="str">
        <f t="shared" si="7"/>
        <v>01100110100100010100110100011100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110111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1101111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11011110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110111100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1101111000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11011110000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110111100000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1101111000000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11011110000001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110111100000010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1101111000000100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88</v>
      </c>
      <c r="N20" s="10" t="s">
        <v>85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11011110000001001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89</v>
      </c>
      <c r="N21" s="7" t="s">
        <v>90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111011110001010101011101011111111000000011110111</v>
      </c>
      <c r="U21" s="8">
        <v>18.0</v>
      </c>
      <c r="V21" s="8">
        <v>8.0</v>
      </c>
      <c r="W21" s="7" t="str">
        <f t="shared" si="8"/>
        <v>0</v>
      </c>
      <c r="X21" s="7" t="str">
        <f t="shared" si="11"/>
        <v>110111100000010010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11011110001010101011101011111111000000011110111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1101111000000100101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1011110001010101011101011111111000000011110111</v>
      </c>
      <c r="U23" s="8">
        <v>20.0</v>
      </c>
      <c r="V23" s="8">
        <v>14.0</v>
      </c>
      <c r="W23" s="7" t="str">
        <f t="shared" si="8"/>
        <v>0</v>
      </c>
      <c r="X23" s="7" t="str">
        <f t="shared" si="11"/>
        <v>11011110000001001010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11101111</v>
      </c>
      <c r="O24" s="3" t="str">
        <f t="shared" ref="O24:O31" si="24">BIN2HEX(N24,2)</f>
        <v>EF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011110001010101011101011111111000000011110111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110111100000010010100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00010101</v>
      </c>
      <c r="O25" s="3" t="str">
        <f t="shared" si="24"/>
        <v>15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11110001010101011101011111111000000011110111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1101111000000100101000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01011101</v>
      </c>
      <c r="O26" s="3" t="str">
        <f t="shared" si="24"/>
        <v>5D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1110001010101011101011111111000000011110111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11011110000001001010001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01111111</v>
      </c>
      <c r="O27" s="3" t="str">
        <f t="shared" si="24"/>
        <v>7F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110001010101011101011111111000000011110111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110111100000010010100011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10000000</v>
      </c>
      <c r="O28" s="3" t="str">
        <f t="shared" si="24"/>
        <v>80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10001010101011101011111111000000011110111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1101111000000100101000110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11110111</v>
      </c>
      <c r="O29" s="3" t="str">
        <f t="shared" si="24"/>
        <v>F7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0001010101011101011111111000000011110111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11011110000001001010001100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0</v>
      </c>
      <c r="T30" s="7" t="str">
        <f t="shared" si="22"/>
        <v>001010101011101011111111000000011110111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110111100000010010100011001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01010101011101011111111000000011110111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1101111000000100101000110011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1</v>
      </c>
      <c r="T32" s="7" t="str">
        <f t="shared" si="22"/>
        <v>1010101011101011111111000000011110111</v>
      </c>
      <c r="U32" s="8">
        <v>29.0</v>
      </c>
      <c r="V32" s="8">
        <v>22.0</v>
      </c>
      <c r="W32" s="7" t="str">
        <f t="shared" si="8"/>
        <v>1</v>
      </c>
      <c r="X32" s="7" t="str">
        <f t="shared" si="11"/>
        <v>11011110000001001010001100111</v>
      </c>
    </row>
    <row r="33">
      <c r="A33" s="6" t="s">
        <v>12</v>
      </c>
      <c r="B33" s="7" t="str">
        <f>B1</f>
        <v>110000001101101111101011001001111011100000111001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010101011101011111111000000011110111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110111100000010010100011001110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1</v>
      </c>
      <c r="T34" s="7" t="str">
        <f t="shared" si="22"/>
        <v>10101011101011111111000000011110111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1101111000000100101000110011100</v>
      </c>
    </row>
    <row r="35">
      <c r="A35" s="1">
        <v>1.0</v>
      </c>
      <c r="B35" s="3" t="str">
        <f t="shared" ref="B35:B40" si="25">MID($B$1,(A35-1)*8+1,8)</f>
        <v>11000000</v>
      </c>
      <c r="C35" s="3" t="str">
        <f t="shared" ref="C35:C40" si="26">BIN2HEX(B35,2)</f>
        <v>C0</v>
      </c>
      <c r="D35" s="3">
        <f t="shared" ref="D35:D40" si="27">BIN2DEC(B35)</f>
        <v>192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0</v>
      </c>
      <c r="T35" s="7" t="str">
        <f t="shared" si="22"/>
        <v>0101011101011111111000000011110111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11011110000001001010001100111000</v>
      </c>
    </row>
    <row r="36">
      <c r="A36" s="1">
        <v>2.0</v>
      </c>
      <c r="B36" s="3" t="str">
        <f t="shared" si="25"/>
        <v>11011011</v>
      </c>
      <c r="C36" s="3" t="str">
        <f t="shared" si="26"/>
        <v>DB</v>
      </c>
      <c r="D36" s="3">
        <f t="shared" si="27"/>
        <v>219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101011101011111111000000011110111</v>
      </c>
    </row>
    <row r="37">
      <c r="A37" s="1">
        <v>3.0</v>
      </c>
      <c r="B37" s="3" t="str">
        <f t="shared" si="25"/>
        <v>11101011</v>
      </c>
      <c r="C37" s="3" t="str">
        <f t="shared" si="26"/>
        <v>EB</v>
      </c>
      <c r="D37" s="3">
        <f t="shared" si="27"/>
        <v>235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01011101011111111000000011110111</v>
      </c>
    </row>
    <row r="38">
      <c r="A38" s="1">
        <v>4.0</v>
      </c>
      <c r="B38" s="3" t="str">
        <f t="shared" si="25"/>
        <v>00100111</v>
      </c>
      <c r="C38" s="3" t="str">
        <f t="shared" si="26"/>
        <v>27</v>
      </c>
      <c r="D38" s="3">
        <f t="shared" si="27"/>
        <v>39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1011101011111111000000011110111</v>
      </c>
      <c r="U38" s="11" t="s">
        <v>27</v>
      </c>
      <c r="V38" s="12" t="str">
        <f>X35</f>
        <v>11011110000001001010001100111000</v>
      </c>
      <c r="W38" s="12"/>
      <c r="X38" s="12"/>
    </row>
    <row r="39">
      <c r="A39" s="1">
        <v>5.0</v>
      </c>
      <c r="B39" s="3" t="str">
        <f t="shared" si="25"/>
        <v>10111000</v>
      </c>
      <c r="C39" s="3" t="str">
        <f t="shared" si="26"/>
        <v>B8</v>
      </c>
      <c r="D39" s="3">
        <f t="shared" si="27"/>
        <v>184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011101011111111000000011110111</v>
      </c>
    </row>
    <row r="40">
      <c r="A40" s="1">
        <v>6.0</v>
      </c>
      <c r="B40" s="3" t="str">
        <f t="shared" si="25"/>
        <v>00111001</v>
      </c>
      <c r="C40" s="3" t="str">
        <f t="shared" si="26"/>
        <v>39</v>
      </c>
      <c r="D40" s="3">
        <f t="shared" si="27"/>
        <v>57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11101011111111000000011110111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1101011111111000000011110111</v>
      </c>
      <c r="U41" s="6" t="s">
        <v>29</v>
      </c>
      <c r="V41" s="7" t="str">
        <f>N20</f>
        <v>10110100010010011100100011101101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111011110001010101011101011111111000000011110111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1</v>
      </c>
      <c r="T42" s="7" t="str">
        <f t="shared" si="22"/>
        <v>101011111111000000011110111</v>
      </c>
    </row>
    <row r="43">
      <c r="A43" s="1">
        <v>1.0</v>
      </c>
      <c r="B43" s="3" t="str">
        <f t="shared" ref="B43:B48" si="28">MID($T$21,(A43-1)*8+1,8)</f>
        <v>11101111</v>
      </c>
      <c r="C43" s="3" t="str">
        <f t="shared" ref="C43:C48" si="29">BIN2HEX(B43,2)</f>
        <v>EF</v>
      </c>
      <c r="D43" s="3">
        <f t="shared" ref="D43:D48" si="30">BIN2DEC(B43)</f>
        <v>239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01011111111000000011110111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00010101</v>
      </c>
      <c r="C44" s="3" t="str">
        <f t="shared" si="29"/>
        <v>15</v>
      </c>
      <c r="D44" s="3">
        <f t="shared" si="30"/>
        <v>21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1011111111000000011110111</v>
      </c>
      <c r="U44" s="1">
        <v>1.0</v>
      </c>
      <c r="V44" s="3" t="str">
        <f t="shared" ref="V44:V47" si="31">MID($V$38,(U44-1)*8+1,8)</f>
        <v>11011110</v>
      </c>
      <c r="W44" s="3" t="str">
        <f t="shared" ref="W44:W47" si="32">BIN2HEX(V44,2)</f>
        <v>DE</v>
      </c>
      <c r="X44" s="3">
        <f t="shared" ref="X44:X47" si="33">HEX2DEC(W44)</f>
        <v>222</v>
      </c>
    </row>
    <row r="45">
      <c r="A45" s="1">
        <v>3.0</v>
      </c>
      <c r="B45" s="3" t="str">
        <f t="shared" si="28"/>
        <v>01011101</v>
      </c>
      <c r="C45" s="3" t="str">
        <f t="shared" si="29"/>
        <v>5D</v>
      </c>
      <c r="D45" s="3">
        <f t="shared" si="30"/>
        <v>93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011111111000000011110111</v>
      </c>
      <c r="U45" s="1">
        <v>2.0</v>
      </c>
      <c r="V45" s="3" t="str">
        <f t="shared" si="31"/>
        <v>00000100</v>
      </c>
      <c r="W45" s="3" t="str">
        <f t="shared" si="32"/>
        <v>04</v>
      </c>
      <c r="X45" s="3">
        <f t="shared" si="33"/>
        <v>4</v>
      </c>
    </row>
    <row r="46">
      <c r="A46" s="1">
        <v>4.0</v>
      </c>
      <c r="B46" s="3" t="str">
        <f t="shared" si="28"/>
        <v>01111111</v>
      </c>
      <c r="C46" s="3" t="str">
        <f t="shared" si="29"/>
        <v>7F</v>
      </c>
      <c r="D46" s="3">
        <f t="shared" si="30"/>
        <v>127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11111111000000011110111</v>
      </c>
      <c r="U46" s="1">
        <v>3.0</v>
      </c>
      <c r="V46" s="3" t="str">
        <f t="shared" si="31"/>
        <v>10100011</v>
      </c>
      <c r="W46" s="3" t="str">
        <f t="shared" si="32"/>
        <v>A3</v>
      </c>
      <c r="X46" s="3">
        <f t="shared" si="33"/>
        <v>163</v>
      </c>
    </row>
    <row r="47">
      <c r="A47" s="1">
        <v>5.0</v>
      </c>
      <c r="B47" s="3" t="str">
        <f t="shared" si="28"/>
        <v>10000000</v>
      </c>
      <c r="C47" s="3" t="str">
        <f t="shared" si="29"/>
        <v>80</v>
      </c>
      <c r="D47" s="3">
        <f t="shared" si="30"/>
        <v>128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1111111000000011110111</v>
      </c>
      <c r="U47" s="1">
        <v>4.0</v>
      </c>
      <c r="V47" s="3" t="str">
        <f t="shared" si="31"/>
        <v>00111000</v>
      </c>
      <c r="W47" s="3" t="str">
        <f t="shared" si="32"/>
        <v>38</v>
      </c>
      <c r="X47" s="3">
        <f t="shared" si="33"/>
        <v>56</v>
      </c>
    </row>
    <row r="48">
      <c r="A48" s="1">
        <v>6.0</v>
      </c>
      <c r="B48" s="3" t="str">
        <f t="shared" si="28"/>
        <v>11110111</v>
      </c>
      <c r="C48" s="3" t="str">
        <f t="shared" si="29"/>
        <v>F7</v>
      </c>
      <c r="D48" s="3">
        <f t="shared" si="30"/>
        <v>247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111111000000011110111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11111000000011110111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1111000000011110111</v>
      </c>
    </row>
    <row r="51">
      <c r="A51" s="6">
        <v>1.0</v>
      </c>
      <c r="B51" s="7">
        <f t="shared" ref="B51:B56" si="34">BITXOR(D35,D43)</f>
        <v>47</v>
      </c>
      <c r="C51" s="7" t="str">
        <f t="shared" ref="C51:C56" si="35">DEC2BIN(B51,8)</f>
        <v>00101111</v>
      </c>
      <c r="D51" s="7" t="str">
        <f t="shared" ref="D51:D56" si="36">DEC2HEX(B51,2)</f>
        <v>2F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111000000011110111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206</v>
      </c>
      <c r="C52" s="7" t="str">
        <f t="shared" si="35"/>
        <v>11001110</v>
      </c>
      <c r="D52" s="7" t="str">
        <f t="shared" si="36"/>
        <v>CE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11000000011110111</v>
      </c>
      <c r="U52" s="1">
        <v>1.0</v>
      </c>
      <c r="V52" s="3" t="str">
        <f t="shared" ref="V52:V55" si="37">MID($V$41,(U52-1)*8+1,8)</f>
        <v>10110100</v>
      </c>
      <c r="W52" s="3" t="str">
        <f t="shared" ref="W52:W55" si="38">BIN2HEX(V52,2)</f>
        <v>B4</v>
      </c>
      <c r="X52" s="3">
        <f t="shared" ref="X52:X55" si="39">HEX2DEC(W52)</f>
        <v>180</v>
      </c>
    </row>
    <row r="53">
      <c r="A53" s="6">
        <v>3.0</v>
      </c>
      <c r="B53" s="7">
        <f t="shared" si="34"/>
        <v>182</v>
      </c>
      <c r="C53" s="7" t="str">
        <f t="shared" si="35"/>
        <v>10110110</v>
      </c>
      <c r="D53" s="7" t="str">
        <f t="shared" si="36"/>
        <v>B6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1</v>
      </c>
      <c r="T53" s="7" t="str">
        <f t="shared" si="22"/>
        <v>1000000011110111</v>
      </c>
      <c r="U53" s="1">
        <v>2.0</v>
      </c>
      <c r="V53" s="3" t="str">
        <f t="shared" si="37"/>
        <v>01001001</v>
      </c>
      <c r="W53" s="3" t="str">
        <f t="shared" si="38"/>
        <v>49</v>
      </c>
      <c r="X53" s="3">
        <f t="shared" si="39"/>
        <v>73</v>
      </c>
    </row>
    <row r="54">
      <c r="A54" s="6">
        <v>4.0</v>
      </c>
      <c r="B54" s="7">
        <f t="shared" si="34"/>
        <v>88</v>
      </c>
      <c r="C54" s="7" t="str">
        <f t="shared" si="35"/>
        <v>01011000</v>
      </c>
      <c r="D54" s="7" t="str">
        <f t="shared" si="36"/>
        <v>58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000000011110111</v>
      </c>
      <c r="U54" s="1">
        <v>3.0</v>
      </c>
      <c r="V54" s="3" t="str">
        <f t="shared" si="37"/>
        <v>11001000</v>
      </c>
      <c r="W54" s="3" t="str">
        <f t="shared" si="38"/>
        <v>C8</v>
      </c>
      <c r="X54" s="3">
        <f t="shared" si="39"/>
        <v>200</v>
      </c>
    </row>
    <row r="55">
      <c r="A55" s="6">
        <v>5.0</v>
      </c>
      <c r="B55" s="7">
        <f t="shared" si="34"/>
        <v>56</v>
      </c>
      <c r="C55" s="7" t="str">
        <f t="shared" si="35"/>
        <v>00111000</v>
      </c>
      <c r="D55" s="7" t="str">
        <f t="shared" si="36"/>
        <v>38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00000011110111</v>
      </c>
      <c r="U55" s="1">
        <v>4.0</v>
      </c>
      <c r="V55" s="3" t="str">
        <f t="shared" si="37"/>
        <v>11101101</v>
      </c>
      <c r="W55" s="3" t="str">
        <f t="shared" si="38"/>
        <v>ED</v>
      </c>
      <c r="X55" s="3">
        <f t="shared" si="39"/>
        <v>237</v>
      </c>
    </row>
    <row r="56">
      <c r="A56" s="6">
        <v>6.0</v>
      </c>
      <c r="B56" s="7">
        <f t="shared" si="34"/>
        <v>206</v>
      </c>
      <c r="C56" s="7" t="str">
        <f t="shared" si="35"/>
        <v>11001110</v>
      </c>
      <c r="D56" s="7" t="str">
        <f t="shared" si="36"/>
        <v>CE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0000011110111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000011110111</v>
      </c>
      <c r="U57" s="9" t="s">
        <v>91</v>
      </c>
      <c r="V57" s="10" t="str">
        <f>Y62</f>
        <v>01101010010011010110101111010101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00011110111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001011111100111010110110010110000011100011001110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0011110111</v>
      </c>
      <c r="U59" s="6">
        <v>1.0</v>
      </c>
      <c r="V59" s="7">
        <f t="shared" ref="V59:V62" si="40">BITXOR(X44,X52)</f>
        <v>106</v>
      </c>
      <c r="W59" s="7" t="str">
        <f t="shared" ref="W59:W62" si="41">DEC2HEX(V59)</f>
        <v>6A</v>
      </c>
      <c r="X59" s="7" t="str">
        <f t="shared" ref="X59:X62" si="42">HEX2BIN(W59,8)</f>
        <v>01101010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011110111</v>
      </c>
      <c r="U60" s="6">
        <v>2.0</v>
      </c>
      <c r="V60" s="7">
        <f t="shared" si="40"/>
        <v>77</v>
      </c>
      <c r="W60" s="7" t="str">
        <f t="shared" si="41"/>
        <v>4D</v>
      </c>
      <c r="X60" s="7" t="str">
        <f t="shared" si="42"/>
        <v>01001101</v>
      </c>
      <c r="Y60" s="7" t="str">
        <f>X59&amp;X60</f>
        <v>0110101001001101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11110111</v>
      </c>
      <c r="U61" s="6">
        <v>3.0</v>
      </c>
      <c r="V61" s="7">
        <f t="shared" si="40"/>
        <v>107</v>
      </c>
      <c r="W61" s="7" t="str">
        <f t="shared" si="41"/>
        <v>6B</v>
      </c>
      <c r="X61" s="7" t="str">
        <f t="shared" si="42"/>
        <v>01101011</v>
      </c>
      <c r="Y61" s="7" t="str">
        <f t="shared" ref="Y61:Y62" si="43">Y60&amp;X61</f>
        <v>011010100100110101101011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1110111</v>
      </c>
      <c r="U62" s="6">
        <v>4.0</v>
      </c>
      <c r="V62" s="7">
        <f t="shared" si="40"/>
        <v>213</v>
      </c>
      <c r="W62" s="7" t="str">
        <f t="shared" si="41"/>
        <v>D5</v>
      </c>
      <c r="X62" s="7" t="str">
        <f t="shared" si="42"/>
        <v>11010101</v>
      </c>
      <c r="Y62" s="7" t="str">
        <f t="shared" si="43"/>
        <v>01101010010011010110101111010101</v>
      </c>
    </row>
    <row r="63">
      <c r="A63" s="6">
        <v>1.0</v>
      </c>
      <c r="B63" s="7" t="str">
        <f t="shared" ref="B63:B70" si="44">MID($B$59,(A63-1)*6+1,6)</f>
        <v>001011</v>
      </c>
      <c r="C63" s="7" t="str">
        <f t="shared" ref="C63:C70" si="45">LEFT(B63,1)&amp;RIGHT(B63,1)</f>
        <v>01</v>
      </c>
      <c r="D63" s="7" t="str">
        <f t="shared" ref="D63:D70" si="46">MID(B63,2,4)</f>
        <v>0101</v>
      </c>
      <c r="E63" s="7" t="str">
        <f t="shared" ref="E63:E70" si="47">C63&amp;D63</f>
        <v>010101</v>
      </c>
      <c r="F63" s="7">
        <f t="shared" ref="F63:F70" si="48">BIN2DEC(E63)</f>
        <v>21</v>
      </c>
      <c r="G63" s="7">
        <f>VLOOKUP(F63,$A$79:$I$142,2,TRUE)</f>
        <v>6</v>
      </c>
      <c r="H63" s="7" t="str">
        <f t="shared" ref="H63:H70" si="49">DEC2BIN(G63,4)</f>
        <v>0110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110111</v>
      </c>
    </row>
    <row r="64">
      <c r="A64" s="6">
        <v>2.0</v>
      </c>
      <c r="B64" s="7" t="str">
        <f t="shared" si="44"/>
        <v>111100</v>
      </c>
      <c r="C64" s="7" t="str">
        <f t="shared" si="45"/>
        <v>10</v>
      </c>
      <c r="D64" s="7" t="str">
        <f t="shared" si="46"/>
        <v>1110</v>
      </c>
      <c r="E64" s="7" t="str">
        <f t="shared" si="47"/>
        <v>101110</v>
      </c>
      <c r="F64" s="7">
        <f t="shared" si="48"/>
        <v>46</v>
      </c>
      <c r="G64" s="7">
        <f>VLOOKUP(F64,$A$79:$I$142,3,TRUE)</f>
        <v>6</v>
      </c>
      <c r="H64" s="7" t="str">
        <f t="shared" si="49"/>
        <v>0110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10111</v>
      </c>
    </row>
    <row r="65">
      <c r="A65" s="6">
        <v>3.0</v>
      </c>
      <c r="B65" s="7" t="str">
        <f t="shared" si="44"/>
        <v>111010</v>
      </c>
      <c r="C65" s="7" t="str">
        <f t="shared" si="45"/>
        <v>10</v>
      </c>
      <c r="D65" s="7" t="str">
        <f t="shared" si="46"/>
        <v>1101</v>
      </c>
      <c r="E65" s="7" t="str">
        <f t="shared" si="47"/>
        <v>101101</v>
      </c>
      <c r="F65" s="7">
        <f t="shared" si="48"/>
        <v>45</v>
      </c>
      <c r="G65" s="7">
        <f>VLOOKUP(F65,$A$79:$I$142,4,TRUE)</f>
        <v>9</v>
      </c>
      <c r="H65" s="7" t="str">
        <f t="shared" si="49"/>
        <v>1001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0111</v>
      </c>
    </row>
    <row r="66">
      <c r="A66" s="6">
        <v>4.0</v>
      </c>
      <c r="B66" s="7" t="str">
        <f t="shared" si="44"/>
        <v>110110</v>
      </c>
      <c r="C66" s="7" t="str">
        <f t="shared" si="45"/>
        <v>10</v>
      </c>
      <c r="D66" s="7" t="str">
        <f t="shared" si="46"/>
        <v>1011</v>
      </c>
      <c r="E66" s="7" t="str">
        <f t="shared" si="47"/>
        <v>101011</v>
      </c>
      <c r="F66" s="7">
        <f t="shared" si="48"/>
        <v>43</v>
      </c>
      <c r="G66" s="7">
        <f>VLOOKUP(F66,$A$79:$I$142,5,TRUE)</f>
        <v>1</v>
      </c>
      <c r="H66" s="7" t="str">
        <f t="shared" si="49"/>
        <v>0001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111</v>
      </c>
    </row>
    <row r="67">
      <c r="A67" s="6">
        <v>5.0</v>
      </c>
      <c r="B67" s="7" t="str">
        <f t="shared" si="44"/>
        <v>010110</v>
      </c>
      <c r="C67" s="7" t="str">
        <f t="shared" si="45"/>
        <v>00</v>
      </c>
      <c r="D67" s="7" t="str">
        <f t="shared" si="46"/>
        <v>1011</v>
      </c>
      <c r="E67" s="7" t="str">
        <f t="shared" si="47"/>
        <v>001011</v>
      </c>
      <c r="F67" s="7">
        <f t="shared" si="48"/>
        <v>11</v>
      </c>
      <c r="G67" s="7">
        <f>VLOOKUP(F67,$A$79:$I$142,6,TRUE)</f>
        <v>4</v>
      </c>
      <c r="H67" s="7" t="str">
        <f t="shared" si="49"/>
        <v>0100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11</v>
      </c>
    </row>
    <row r="68">
      <c r="A68" s="6">
        <v>6.0</v>
      </c>
      <c r="B68" s="7" t="str">
        <f t="shared" si="44"/>
        <v>000011</v>
      </c>
      <c r="C68" s="7" t="str">
        <f t="shared" si="45"/>
        <v>01</v>
      </c>
      <c r="D68" s="7" t="str">
        <f t="shared" si="46"/>
        <v>0001</v>
      </c>
      <c r="E68" s="7" t="str">
        <f t="shared" si="47"/>
        <v>010001</v>
      </c>
      <c r="F68" s="7">
        <f t="shared" si="48"/>
        <v>17</v>
      </c>
      <c r="G68" s="7">
        <f>VLOOKUP(F68,$A$79:$I$142,7,TRUE)</f>
        <v>13</v>
      </c>
      <c r="H68" s="7" t="str">
        <f t="shared" si="49"/>
        <v>1101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100011</v>
      </c>
      <c r="C69" s="7" t="str">
        <f t="shared" si="45"/>
        <v>11</v>
      </c>
      <c r="D69" s="7" t="str">
        <f t="shared" si="46"/>
        <v>0001</v>
      </c>
      <c r="E69" s="7" t="str">
        <f t="shared" si="47"/>
        <v>110001</v>
      </c>
      <c r="F69" s="7">
        <f t="shared" si="48"/>
        <v>49</v>
      </c>
      <c r="G69" s="7">
        <f>VLOOKUP(F69,$A$79:$I$142,8,TRUE)</f>
        <v>1</v>
      </c>
      <c r="H69" s="7" t="str">
        <f t="shared" si="49"/>
        <v>0001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001110</v>
      </c>
      <c r="C70" s="7" t="str">
        <f t="shared" si="45"/>
        <v>00</v>
      </c>
      <c r="D70" s="7" t="str">
        <f t="shared" si="46"/>
        <v>0111</v>
      </c>
      <c r="E70" s="7" t="str">
        <f t="shared" si="47"/>
        <v>000111</v>
      </c>
      <c r="F70" s="7">
        <f t="shared" si="48"/>
        <v>7</v>
      </c>
      <c r="G70" s="7">
        <f>VLOOKUP(F70,$A$79:$I$142,9,TRUE)</f>
        <v>12</v>
      </c>
      <c r="H70" s="7" t="str">
        <f t="shared" si="49"/>
        <v>1100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92</v>
      </c>
      <c r="Q1" s="6" t="s">
        <v>14</v>
      </c>
      <c r="R1" s="6" t="s">
        <v>4</v>
      </c>
      <c r="U1" s="6" t="s">
        <v>15</v>
      </c>
      <c r="V1" s="7" t="str">
        <f>S9</f>
        <v>01000001101110100000101001010010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4</v>
      </c>
      <c r="R2" s="7" t="str">
        <f t="shared" si="1"/>
        <v>0100</v>
      </c>
    </row>
    <row r="3">
      <c r="A3" s="1">
        <v>1.0</v>
      </c>
      <c r="B3" s="3" t="str">
        <f t="shared" ref="B3:B8" si="3">MID($B$1,(A3-1)*8+1,8)</f>
        <v>10110001</v>
      </c>
      <c r="C3" s="3" t="str">
        <f t="shared" ref="C3:C8" si="4">BIN2HEX(B3,2)</f>
        <v>B1</v>
      </c>
      <c r="Q3" s="7">
        <f t="shared" ref="Q3:R3" si="2">G64</f>
        <v>1</v>
      </c>
      <c r="R3" s="7" t="str">
        <f t="shared" si="2"/>
        <v>0001</v>
      </c>
      <c r="S3" s="7" t="str">
        <f>R2&amp;R3</f>
        <v>01000001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11110011</v>
      </c>
      <c r="C4" s="3" t="str">
        <f t="shared" si="4"/>
        <v>F3</v>
      </c>
      <c r="Q4" s="7">
        <f t="shared" ref="Q4:R4" si="5">G65</f>
        <v>11</v>
      </c>
      <c r="R4" s="7" t="str">
        <f t="shared" si="5"/>
        <v>1011</v>
      </c>
      <c r="S4" s="7" t="str">
        <f t="shared" ref="S4:S9" si="7">S3&amp;R4</f>
        <v>010000011011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01000111</v>
      </c>
      <c r="C5" s="3" t="str">
        <f t="shared" si="4"/>
        <v>47</v>
      </c>
      <c r="Q5" s="7">
        <f t="shared" ref="Q5:R5" si="6">G66</f>
        <v>10</v>
      </c>
      <c r="R5" s="7" t="str">
        <f t="shared" si="6"/>
        <v>1010</v>
      </c>
      <c r="S5" s="7" t="str">
        <f t="shared" si="7"/>
        <v>0100000110111010</v>
      </c>
      <c r="U5" s="8">
        <v>2.0</v>
      </c>
      <c r="V5" s="8">
        <v>7.0</v>
      </c>
      <c r="W5" s="7" t="str">
        <f t="shared" si="8"/>
        <v>0</v>
      </c>
      <c r="X5" s="7" t="str">
        <f>W4&amp;W5</f>
        <v>00</v>
      </c>
    </row>
    <row r="6">
      <c r="A6" s="1">
        <v>4.0</v>
      </c>
      <c r="B6" s="3" t="str">
        <f t="shared" si="3"/>
        <v>01100011</v>
      </c>
      <c r="C6" s="3" t="str">
        <f t="shared" si="4"/>
        <v>63</v>
      </c>
      <c r="Q6" s="7">
        <f t="shared" ref="Q6:R6" si="9">G67</f>
        <v>0</v>
      </c>
      <c r="R6" s="7" t="str">
        <f t="shared" si="9"/>
        <v>0000</v>
      </c>
      <c r="S6" s="7" t="str">
        <f t="shared" si="7"/>
        <v>01000001101110100000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000</v>
      </c>
    </row>
    <row r="7">
      <c r="A7" s="1">
        <v>5.0</v>
      </c>
      <c r="B7" s="3" t="str">
        <f t="shared" si="3"/>
        <v>00011101</v>
      </c>
      <c r="C7" s="3" t="str">
        <f t="shared" si="4"/>
        <v>1D</v>
      </c>
      <c r="Q7" s="7">
        <f t="shared" ref="Q7:R7" si="10">G68</f>
        <v>10</v>
      </c>
      <c r="R7" s="7" t="str">
        <f t="shared" si="10"/>
        <v>1010</v>
      </c>
      <c r="S7" s="7" t="str">
        <f t="shared" si="7"/>
        <v>010000011011101000001010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0001</v>
      </c>
    </row>
    <row r="8">
      <c r="A8" s="1">
        <v>6.0</v>
      </c>
      <c r="B8" s="3" t="str">
        <f t="shared" si="3"/>
        <v>01110110</v>
      </c>
      <c r="C8" s="3" t="str">
        <f t="shared" si="4"/>
        <v>76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5</v>
      </c>
      <c r="R8" s="7" t="str">
        <f t="shared" si="12"/>
        <v>0101</v>
      </c>
      <c r="S8" s="7" t="str">
        <f t="shared" si="7"/>
        <v>0100000110111010000010100101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00010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2</v>
      </c>
      <c r="R9" s="7" t="str">
        <f t="shared" si="13"/>
        <v>0010</v>
      </c>
      <c r="S9" s="7" t="str">
        <f t="shared" si="7"/>
        <v>01000001101110100000101001010010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000101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0001011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00010110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000101100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1</v>
      </c>
      <c r="X13" s="7" t="str">
        <f t="shared" si="11"/>
        <v>0001011001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1</v>
      </c>
      <c r="X14" s="7" t="str">
        <f t="shared" si="11"/>
        <v>00010110011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1</v>
      </c>
      <c r="X15" s="7" t="str">
        <f t="shared" si="11"/>
        <v>000101100111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0001011001110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00010110011100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000101100111001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0001011001110010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93</v>
      </c>
      <c r="N20" s="10" t="s">
        <v>90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00010110011100101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94</v>
      </c>
      <c r="N21" s="7" t="s">
        <v>95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101101010100001001011010101101010111111010101010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000101100111001011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01101010100001001011010101101010111111010101010</v>
      </c>
      <c r="U22" s="8">
        <v>19.0</v>
      </c>
      <c r="V22" s="8">
        <v>24.0</v>
      </c>
      <c r="W22" s="7" t="str">
        <f t="shared" si="8"/>
        <v>0</v>
      </c>
      <c r="X22" s="7" t="str">
        <f t="shared" si="11"/>
        <v>0001011001110010110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1101010100001001011010101101010111111010101010</v>
      </c>
      <c r="U23" s="8">
        <v>20.0</v>
      </c>
      <c r="V23" s="8">
        <v>14.0</v>
      </c>
      <c r="W23" s="7" t="str">
        <f t="shared" si="8"/>
        <v>0</v>
      </c>
      <c r="X23" s="7" t="str">
        <f t="shared" si="11"/>
        <v>00010110011100101100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10110101</v>
      </c>
      <c r="O24" s="3" t="str">
        <f t="shared" ref="O24:O31" si="24">BIN2HEX(N24,2)</f>
        <v>B5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101010100001001011010101101010111111010101010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000101100111001011000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01000010</v>
      </c>
      <c r="O25" s="3" t="str">
        <f t="shared" si="24"/>
        <v>42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01010100001001011010101101010111111010101010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0001011001110010110000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01011010</v>
      </c>
      <c r="O26" s="3" t="str">
        <f t="shared" si="24"/>
        <v>5A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1010100001001011010101101010111111010101010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00010110011100101100000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10110101</v>
      </c>
      <c r="O27" s="3" t="str">
        <f t="shared" si="24"/>
        <v>B5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010100001001011010101101010111111010101010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000101100111001011000001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01111110</v>
      </c>
      <c r="O28" s="3" t="str">
        <f t="shared" si="24"/>
        <v>7E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10100001001011010101101010111111010101010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0001011001110010110000010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10101010</v>
      </c>
      <c r="O29" s="3" t="str">
        <f t="shared" si="24"/>
        <v>AA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0100001001011010101101010111111010101010</v>
      </c>
      <c r="U29" s="8">
        <v>26.0</v>
      </c>
      <c r="V29" s="8">
        <v>13.0</v>
      </c>
      <c r="W29" s="7" t="str">
        <f t="shared" si="8"/>
        <v>1</v>
      </c>
      <c r="X29" s="7" t="str">
        <f t="shared" si="11"/>
        <v>00010110011100101100000101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100001001011010101101010111111010101010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000101100111001011000001010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00001001011010101101010111111010101010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0001011001110010110000010100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0001001011010101101010111111010101010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00010110011100101100000101000</v>
      </c>
    </row>
    <row r="33">
      <c r="A33" s="6" t="s">
        <v>12</v>
      </c>
      <c r="B33" s="7" t="str">
        <f>B1</f>
        <v>101100011111001101000111011000110001110101110110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001001011010101101010111111010101010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000101100111001011000001010001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01001011010101101010111111010101010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0001011001110010110000010100010</v>
      </c>
    </row>
    <row r="35">
      <c r="A35" s="1">
        <v>1.0</v>
      </c>
      <c r="B35" s="3" t="str">
        <f t="shared" ref="B35:B40" si="25">MID($B$1,(A35-1)*8+1,8)</f>
        <v>10110001</v>
      </c>
      <c r="C35" s="3" t="str">
        <f t="shared" ref="C35:C40" si="26">BIN2HEX(B35,2)</f>
        <v>B1</v>
      </c>
      <c r="D35" s="3">
        <f t="shared" ref="D35:D40" si="27">BIN2DEC(B35)</f>
        <v>177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1001011010101101010111111010101010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00010110011100101100000101000100</v>
      </c>
    </row>
    <row r="36">
      <c r="A36" s="1">
        <v>2.0</v>
      </c>
      <c r="B36" s="3" t="str">
        <f t="shared" si="25"/>
        <v>11110011</v>
      </c>
      <c r="C36" s="3" t="str">
        <f t="shared" si="26"/>
        <v>F3</v>
      </c>
      <c r="D36" s="3">
        <f t="shared" si="27"/>
        <v>243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001011010101101010111111010101010</v>
      </c>
    </row>
    <row r="37">
      <c r="A37" s="1">
        <v>3.0</v>
      </c>
      <c r="B37" s="3" t="str">
        <f t="shared" si="25"/>
        <v>01000111</v>
      </c>
      <c r="C37" s="3" t="str">
        <f t="shared" si="26"/>
        <v>47</v>
      </c>
      <c r="D37" s="3">
        <f t="shared" si="27"/>
        <v>71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01011010101101010111111010101010</v>
      </c>
    </row>
    <row r="38">
      <c r="A38" s="1">
        <v>4.0</v>
      </c>
      <c r="B38" s="3" t="str">
        <f t="shared" si="25"/>
        <v>01100011</v>
      </c>
      <c r="C38" s="3" t="str">
        <f t="shared" si="26"/>
        <v>63</v>
      </c>
      <c r="D38" s="3">
        <f t="shared" si="27"/>
        <v>99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1011010101101010111111010101010</v>
      </c>
      <c r="U38" s="11" t="s">
        <v>27</v>
      </c>
      <c r="V38" s="12" t="str">
        <f>X35</f>
        <v>00010110011100101100000101000100</v>
      </c>
      <c r="W38" s="12"/>
      <c r="X38" s="12"/>
    </row>
    <row r="39">
      <c r="A39" s="1">
        <v>5.0</v>
      </c>
      <c r="B39" s="3" t="str">
        <f t="shared" si="25"/>
        <v>00011101</v>
      </c>
      <c r="C39" s="3" t="str">
        <f t="shared" si="26"/>
        <v>1D</v>
      </c>
      <c r="D39" s="3">
        <f t="shared" si="27"/>
        <v>29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011010101101010111111010101010</v>
      </c>
    </row>
    <row r="40">
      <c r="A40" s="1">
        <v>6.0</v>
      </c>
      <c r="B40" s="3" t="str">
        <f t="shared" si="25"/>
        <v>01110110</v>
      </c>
      <c r="C40" s="3" t="str">
        <f t="shared" si="26"/>
        <v>76</v>
      </c>
      <c r="D40" s="3">
        <f t="shared" si="27"/>
        <v>118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11010101101010111111010101010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1010101101010111111010101010</v>
      </c>
      <c r="U41" s="6" t="s">
        <v>29</v>
      </c>
      <c r="V41" s="7" t="str">
        <f>N20</f>
        <v>11011000101011101111110000011011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101101010100001001011010101101010111111010101010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010101101010111111010101010</v>
      </c>
    </row>
    <row r="43">
      <c r="A43" s="1">
        <v>1.0</v>
      </c>
      <c r="B43" s="3" t="str">
        <f t="shared" ref="B43:B48" si="28">MID($T$21,(A43-1)*8+1,8)</f>
        <v>10110101</v>
      </c>
      <c r="C43" s="3" t="str">
        <f t="shared" ref="C43:C48" si="29">BIN2HEX(B43,2)</f>
        <v>B5</v>
      </c>
      <c r="D43" s="3">
        <f t="shared" ref="D43:D48" si="30">BIN2DEC(B43)</f>
        <v>181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10101101010111111010101010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01000010</v>
      </c>
      <c r="C44" s="3" t="str">
        <f t="shared" si="29"/>
        <v>42</v>
      </c>
      <c r="D44" s="3">
        <f t="shared" si="30"/>
        <v>66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0101101010111111010101010</v>
      </c>
      <c r="U44" s="1">
        <v>1.0</v>
      </c>
      <c r="V44" s="3" t="str">
        <f t="shared" ref="V44:V47" si="31">MID($V$38,(U44-1)*8+1,8)</f>
        <v>00010110</v>
      </c>
      <c r="W44" s="3" t="str">
        <f t="shared" ref="W44:W47" si="32">BIN2HEX(V44,2)</f>
        <v>16</v>
      </c>
      <c r="X44" s="3">
        <f t="shared" ref="X44:X47" si="33">HEX2DEC(W44)</f>
        <v>22</v>
      </c>
    </row>
    <row r="45">
      <c r="A45" s="1">
        <v>3.0</v>
      </c>
      <c r="B45" s="3" t="str">
        <f t="shared" si="28"/>
        <v>01011010</v>
      </c>
      <c r="C45" s="3" t="str">
        <f t="shared" si="29"/>
        <v>5A</v>
      </c>
      <c r="D45" s="3">
        <f t="shared" si="30"/>
        <v>90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101101010111111010101010</v>
      </c>
      <c r="U45" s="1">
        <v>2.0</v>
      </c>
      <c r="V45" s="3" t="str">
        <f t="shared" si="31"/>
        <v>01110010</v>
      </c>
      <c r="W45" s="3" t="str">
        <f t="shared" si="32"/>
        <v>72</v>
      </c>
      <c r="X45" s="3">
        <f t="shared" si="33"/>
        <v>114</v>
      </c>
    </row>
    <row r="46">
      <c r="A46" s="1">
        <v>4.0</v>
      </c>
      <c r="B46" s="3" t="str">
        <f t="shared" si="28"/>
        <v>10110101</v>
      </c>
      <c r="C46" s="3" t="str">
        <f t="shared" si="29"/>
        <v>B5</v>
      </c>
      <c r="D46" s="3">
        <f t="shared" si="30"/>
        <v>181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01101010111111010101010</v>
      </c>
      <c r="U46" s="1">
        <v>3.0</v>
      </c>
      <c r="V46" s="3" t="str">
        <f t="shared" si="31"/>
        <v>11000001</v>
      </c>
      <c r="W46" s="3" t="str">
        <f t="shared" si="32"/>
        <v>C1</v>
      </c>
      <c r="X46" s="3">
        <f t="shared" si="33"/>
        <v>193</v>
      </c>
    </row>
    <row r="47">
      <c r="A47" s="1">
        <v>5.0</v>
      </c>
      <c r="B47" s="3" t="str">
        <f t="shared" si="28"/>
        <v>01111110</v>
      </c>
      <c r="C47" s="3" t="str">
        <f t="shared" si="29"/>
        <v>7E</v>
      </c>
      <c r="D47" s="3">
        <f t="shared" si="30"/>
        <v>126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1101010111111010101010</v>
      </c>
      <c r="U47" s="1">
        <v>4.0</v>
      </c>
      <c r="V47" s="3" t="str">
        <f t="shared" si="31"/>
        <v>01000100</v>
      </c>
      <c r="W47" s="3" t="str">
        <f t="shared" si="32"/>
        <v>44</v>
      </c>
      <c r="X47" s="3">
        <f t="shared" si="33"/>
        <v>68</v>
      </c>
    </row>
    <row r="48">
      <c r="A48" s="1">
        <v>6.0</v>
      </c>
      <c r="B48" s="3" t="str">
        <f t="shared" si="28"/>
        <v>10101010</v>
      </c>
      <c r="C48" s="3" t="str">
        <f t="shared" si="29"/>
        <v>AA</v>
      </c>
      <c r="D48" s="3">
        <f t="shared" si="30"/>
        <v>170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101010111111010101010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01010111111010101010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1010111111010101010</v>
      </c>
    </row>
    <row r="51">
      <c r="A51" s="6">
        <v>1.0</v>
      </c>
      <c r="B51" s="7">
        <f t="shared" ref="B51:B56" si="34">BITXOR(D35,D43)</f>
        <v>4</v>
      </c>
      <c r="C51" s="7" t="str">
        <f t="shared" ref="C51:C56" si="35">DEC2BIN(B51,8)</f>
        <v>00000100</v>
      </c>
      <c r="D51" s="7" t="str">
        <f t="shared" ref="D51:D56" si="36">DEC2HEX(B51,2)</f>
        <v>04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010111111010101010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177</v>
      </c>
      <c r="C52" s="7" t="str">
        <f t="shared" si="35"/>
        <v>10110001</v>
      </c>
      <c r="D52" s="7" t="str">
        <f t="shared" si="36"/>
        <v>B1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10111111010101010</v>
      </c>
      <c r="U52" s="1">
        <v>1.0</v>
      </c>
      <c r="V52" s="3" t="str">
        <f t="shared" ref="V52:V55" si="37">MID($V$41,(U52-1)*8+1,8)</f>
        <v>11011000</v>
      </c>
      <c r="W52" s="3" t="str">
        <f t="shared" ref="W52:W55" si="38">BIN2HEX(V52,2)</f>
        <v>D8</v>
      </c>
      <c r="X52" s="3">
        <f t="shared" ref="X52:X55" si="39">HEX2DEC(W52)</f>
        <v>216</v>
      </c>
    </row>
    <row r="53">
      <c r="A53" s="6">
        <v>3.0</v>
      </c>
      <c r="B53" s="7">
        <f t="shared" si="34"/>
        <v>29</v>
      </c>
      <c r="C53" s="7" t="str">
        <f t="shared" si="35"/>
        <v>00011101</v>
      </c>
      <c r="D53" s="7" t="str">
        <f t="shared" si="36"/>
        <v>1D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0111111010101010</v>
      </c>
      <c r="U53" s="1">
        <v>2.0</v>
      </c>
      <c r="V53" s="3" t="str">
        <f t="shared" si="37"/>
        <v>10101110</v>
      </c>
      <c r="W53" s="3" t="str">
        <f t="shared" si="38"/>
        <v>AE</v>
      </c>
      <c r="X53" s="3">
        <f t="shared" si="39"/>
        <v>174</v>
      </c>
    </row>
    <row r="54">
      <c r="A54" s="6">
        <v>4.0</v>
      </c>
      <c r="B54" s="7">
        <f t="shared" si="34"/>
        <v>214</v>
      </c>
      <c r="C54" s="7" t="str">
        <f t="shared" si="35"/>
        <v>11010110</v>
      </c>
      <c r="D54" s="7" t="str">
        <f t="shared" si="36"/>
        <v>D6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1</v>
      </c>
      <c r="T54" s="7" t="str">
        <f t="shared" si="22"/>
        <v>111111010101010</v>
      </c>
      <c r="U54" s="1">
        <v>3.0</v>
      </c>
      <c r="V54" s="3" t="str">
        <f t="shared" si="37"/>
        <v>11111100</v>
      </c>
      <c r="W54" s="3" t="str">
        <f t="shared" si="38"/>
        <v>FC</v>
      </c>
      <c r="X54" s="3">
        <f t="shared" si="39"/>
        <v>252</v>
      </c>
    </row>
    <row r="55">
      <c r="A55" s="6">
        <v>5.0</v>
      </c>
      <c r="B55" s="7">
        <f t="shared" si="34"/>
        <v>99</v>
      </c>
      <c r="C55" s="7" t="str">
        <f t="shared" si="35"/>
        <v>01100011</v>
      </c>
      <c r="D55" s="7" t="str">
        <f t="shared" si="36"/>
        <v>63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11111010101010</v>
      </c>
      <c r="U55" s="1">
        <v>4.0</v>
      </c>
      <c r="V55" s="3" t="str">
        <f t="shared" si="37"/>
        <v>00011011</v>
      </c>
      <c r="W55" s="3" t="str">
        <f t="shared" si="38"/>
        <v>1B</v>
      </c>
      <c r="X55" s="3">
        <f t="shared" si="39"/>
        <v>27</v>
      </c>
    </row>
    <row r="56">
      <c r="A56" s="6">
        <v>6.0</v>
      </c>
      <c r="B56" s="7">
        <f t="shared" si="34"/>
        <v>220</v>
      </c>
      <c r="C56" s="7" t="str">
        <f t="shared" si="35"/>
        <v>11011100</v>
      </c>
      <c r="D56" s="7" t="str">
        <f t="shared" si="36"/>
        <v>DC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1</v>
      </c>
      <c r="T56" s="7" t="str">
        <f t="shared" si="22"/>
        <v>1111010101010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111010101010</v>
      </c>
      <c r="U57" s="9" t="s">
        <v>96</v>
      </c>
      <c r="V57" s="10" t="str">
        <f>Y62</f>
        <v>11001110110111000011110101011111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1</v>
      </c>
      <c r="T58" s="7" t="str">
        <f t="shared" si="22"/>
        <v>11010101010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000001001011000100011101110101100110001111011100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1</v>
      </c>
      <c r="T59" s="7" t="str">
        <f t="shared" si="22"/>
        <v>1010101010</v>
      </c>
      <c r="U59" s="6">
        <v>1.0</v>
      </c>
      <c r="V59" s="7">
        <f t="shared" ref="V59:V62" si="40">BITXOR(X44,X52)</f>
        <v>206</v>
      </c>
      <c r="W59" s="7" t="str">
        <f t="shared" ref="W59:W62" si="41">DEC2HEX(V59)</f>
        <v>CE</v>
      </c>
      <c r="X59" s="7" t="str">
        <f t="shared" ref="X59:X62" si="42">HEX2BIN(W59,8)</f>
        <v>11001110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010101010</v>
      </c>
      <c r="U60" s="6">
        <v>2.0</v>
      </c>
      <c r="V60" s="7">
        <f t="shared" si="40"/>
        <v>220</v>
      </c>
      <c r="W60" s="7" t="str">
        <f t="shared" si="41"/>
        <v>DC</v>
      </c>
      <c r="X60" s="7" t="str">
        <f t="shared" si="42"/>
        <v>11011100</v>
      </c>
      <c r="Y60" s="7" t="str">
        <f>X59&amp;X60</f>
        <v>1100111011011100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10101010</v>
      </c>
      <c r="U61" s="6">
        <v>3.0</v>
      </c>
      <c r="V61" s="7">
        <f t="shared" si="40"/>
        <v>61</v>
      </c>
      <c r="W61" s="7" t="str">
        <f t="shared" si="41"/>
        <v>3D</v>
      </c>
      <c r="X61" s="7" t="str">
        <f t="shared" si="42"/>
        <v>00111101</v>
      </c>
      <c r="Y61" s="7" t="str">
        <f t="shared" ref="Y61:Y62" si="43">Y60&amp;X61</f>
        <v>110011101101110000111101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0</v>
      </c>
      <c r="T62" s="7" t="str">
        <f t="shared" si="22"/>
        <v>0101010</v>
      </c>
      <c r="U62" s="6">
        <v>4.0</v>
      </c>
      <c r="V62" s="7">
        <f t="shared" si="40"/>
        <v>95</v>
      </c>
      <c r="W62" s="7" t="str">
        <f t="shared" si="41"/>
        <v>5F</v>
      </c>
      <c r="X62" s="7" t="str">
        <f t="shared" si="42"/>
        <v>01011111</v>
      </c>
      <c r="Y62" s="7" t="str">
        <f t="shared" si="43"/>
        <v>11001110110111000011110101011111</v>
      </c>
    </row>
    <row r="63">
      <c r="A63" s="6">
        <v>1.0</v>
      </c>
      <c r="B63" s="7" t="str">
        <f t="shared" ref="B63:B70" si="44">MID($B$59,(A63-1)*6+1,6)</f>
        <v>000001</v>
      </c>
      <c r="C63" s="7" t="str">
        <f t="shared" ref="C63:C70" si="45">LEFT(B63,1)&amp;RIGHT(B63,1)</f>
        <v>01</v>
      </c>
      <c r="D63" s="7" t="str">
        <f t="shared" ref="D63:D70" si="46">MID(B63,2,4)</f>
        <v>0000</v>
      </c>
      <c r="E63" s="7" t="str">
        <f t="shared" ref="E63:E70" si="47">C63&amp;D63</f>
        <v>010000</v>
      </c>
      <c r="F63" s="7">
        <f t="shared" ref="F63:F70" si="48">BIN2DEC(E63)</f>
        <v>16</v>
      </c>
      <c r="G63" s="7">
        <f>VLOOKUP(F63,$A$79:$I$142,2,TRUE)</f>
        <v>4</v>
      </c>
      <c r="H63" s="7" t="str">
        <f t="shared" ref="H63:H70" si="49">DEC2BIN(G63,4)</f>
        <v>0100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101010</v>
      </c>
    </row>
    <row r="64">
      <c r="A64" s="6">
        <v>2.0</v>
      </c>
      <c r="B64" s="7" t="str">
        <f t="shared" si="44"/>
        <v>001011</v>
      </c>
      <c r="C64" s="7" t="str">
        <f t="shared" si="45"/>
        <v>01</v>
      </c>
      <c r="D64" s="7" t="str">
        <f t="shared" si="46"/>
        <v>0101</v>
      </c>
      <c r="E64" s="7" t="str">
        <f t="shared" si="47"/>
        <v>010101</v>
      </c>
      <c r="F64" s="7">
        <f t="shared" si="48"/>
        <v>21</v>
      </c>
      <c r="G64" s="7">
        <f>VLOOKUP(F64,$A$79:$I$142,3,TRUE)</f>
        <v>1</v>
      </c>
      <c r="H64" s="7" t="str">
        <f t="shared" si="49"/>
        <v>0001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0</v>
      </c>
      <c r="T64" s="7" t="str">
        <f t="shared" si="22"/>
        <v>01010</v>
      </c>
    </row>
    <row r="65">
      <c r="A65" s="6">
        <v>3.0</v>
      </c>
      <c r="B65" s="7" t="str">
        <f t="shared" si="44"/>
        <v>000100</v>
      </c>
      <c r="C65" s="7" t="str">
        <f t="shared" si="45"/>
        <v>00</v>
      </c>
      <c r="D65" s="7" t="str">
        <f t="shared" si="46"/>
        <v>0010</v>
      </c>
      <c r="E65" s="7" t="str">
        <f t="shared" si="47"/>
        <v>000010</v>
      </c>
      <c r="F65" s="7">
        <f t="shared" si="48"/>
        <v>2</v>
      </c>
      <c r="G65" s="7">
        <f>VLOOKUP(F65,$A$79:$I$142,4,TRUE)</f>
        <v>11</v>
      </c>
      <c r="H65" s="7" t="str">
        <f t="shared" si="49"/>
        <v>1011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1010</v>
      </c>
    </row>
    <row r="66">
      <c r="A66" s="6">
        <v>4.0</v>
      </c>
      <c r="B66" s="7" t="str">
        <f t="shared" si="44"/>
        <v>011101</v>
      </c>
      <c r="C66" s="7" t="str">
        <f t="shared" si="45"/>
        <v>01</v>
      </c>
      <c r="D66" s="7" t="str">
        <f t="shared" si="46"/>
        <v>1110</v>
      </c>
      <c r="E66" s="7" t="str">
        <f t="shared" si="47"/>
        <v>011110</v>
      </c>
      <c r="F66" s="7">
        <f t="shared" si="48"/>
        <v>30</v>
      </c>
      <c r="G66" s="7">
        <f>VLOOKUP(F66,$A$79:$I$142,5,TRUE)</f>
        <v>10</v>
      </c>
      <c r="H66" s="7" t="str">
        <f t="shared" si="49"/>
        <v>1010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010</v>
      </c>
    </row>
    <row r="67">
      <c r="A67" s="6">
        <v>5.0</v>
      </c>
      <c r="B67" s="7" t="str">
        <f t="shared" si="44"/>
        <v>110101</v>
      </c>
      <c r="C67" s="7" t="str">
        <f t="shared" si="45"/>
        <v>11</v>
      </c>
      <c r="D67" s="7" t="str">
        <f t="shared" si="46"/>
        <v>1010</v>
      </c>
      <c r="E67" s="7" t="str">
        <f t="shared" si="47"/>
        <v>111010</v>
      </c>
      <c r="F67" s="7">
        <f t="shared" si="48"/>
        <v>58</v>
      </c>
      <c r="G67" s="7">
        <f>VLOOKUP(F67,$A$79:$I$142,6,TRUE)</f>
        <v>0</v>
      </c>
      <c r="H67" s="7" t="str">
        <f t="shared" si="49"/>
        <v>0000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10</v>
      </c>
    </row>
    <row r="68">
      <c r="A68" s="6">
        <v>6.0</v>
      </c>
      <c r="B68" s="7" t="str">
        <f t="shared" si="44"/>
        <v>100110</v>
      </c>
      <c r="C68" s="7" t="str">
        <f t="shared" si="45"/>
        <v>10</v>
      </c>
      <c r="D68" s="7" t="str">
        <f t="shared" si="46"/>
        <v>0011</v>
      </c>
      <c r="E68" s="7" t="str">
        <f t="shared" si="47"/>
        <v>100011</v>
      </c>
      <c r="F68" s="7">
        <f t="shared" si="48"/>
        <v>35</v>
      </c>
      <c r="G68" s="7">
        <f>VLOOKUP(F68,$A$79:$I$142,7,TRUE)</f>
        <v>10</v>
      </c>
      <c r="H68" s="7" t="str">
        <f t="shared" si="49"/>
        <v>1010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001111</v>
      </c>
      <c r="C69" s="7" t="str">
        <f t="shared" si="45"/>
        <v>01</v>
      </c>
      <c r="D69" s="7" t="str">
        <f t="shared" si="46"/>
        <v>0111</v>
      </c>
      <c r="E69" s="7" t="str">
        <f t="shared" si="47"/>
        <v>010111</v>
      </c>
      <c r="F69" s="7">
        <f t="shared" si="48"/>
        <v>23</v>
      </c>
      <c r="G69" s="7">
        <f>VLOOKUP(F69,$A$79:$I$142,8,TRUE)</f>
        <v>5</v>
      </c>
      <c r="H69" s="7" t="str">
        <f t="shared" si="49"/>
        <v>0101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011100</v>
      </c>
      <c r="C70" s="7" t="str">
        <f t="shared" si="45"/>
        <v>00</v>
      </c>
      <c r="D70" s="7" t="str">
        <f t="shared" si="46"/>
        <v>1110</v>
      </c>
      <c r="E70" s="7" t="str">
        <f t="shared" si="47"/>
        <v>001110</v>
      </c>
      <c r="F70" s="7">
        <f t="shared" si="48"/>
        <v>14</v>
      </c>
      <c r="G70" s="7">
        <f>VLOOKUP(F70,$A$79:$I$142,9,TRUE)</f>
        <v>2</v>
      </c>
      <c r="H70" s="7" t="str">
        <f t="shared" si="49"/>
        <v>0010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97</v>
      </c>
      <c r="Q1" s="6" t="s">
        <v>14</v>
      </c>
      <c r="R1" s="6" t="s">
        <v>4</v>
      </c>
      <c r="U1" s="6" t="s">
        <v>15</v>
      </c>
      <c r="V1" s="7" t="str">
        <f>S9</f>
        <v>01100011111111010001101111000001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6</v>
      </c>
      <c r="R2" s="7" t="str">
        <f t="shared" si="1"/>
        <v>0110</v>
      </c>
    </row>
    <row r="3">
      <c r="A3" s="1">
        <v>1.0</v>
      </c>
      <c r="B3" s="3" t="str">
        <f t="shared" ref="B3:B8" si="3">MID($B$1,(A3-1)*8+1,8)</f>
        <v>00100001</v>
      </c>
      <c r="C3" s="3" t="str">
        <f t="shared" ref="C3:C8" si="4">BIN2HEX(B3,2)</f>
        <v>21</v>
      </c>
      <c r="Q3" s="7">
        <f t="shared" ref="Q3:R3" si="2">G64</f>
        <v>3</v>
      </c>
      <c r="R3" s="7" t="str">
        <f t="shared" si="2"/>
        <v>0011</v>
      </c>
      <c r="S3" s="7" t="str">
        <f>R2&amp;R3</f>
        <v>01100011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01011111</v>
      </c>
      <c r="C4" s="3" t="str">
        <f t="shared" si="4"/>
        <v>5F</v>
      </c>
      <c r="Q4" s="7">
        <f t="shared" ref="Q4:R4" si="5">G65</f>
        <v>15</v>
      </c>
      <c r="R4" s="7" t="str">
        <f t="shared" si="5"/>
        <v>1111</v>
      </c>
      <c r="S4" s="7" t="str">
        <f t="shared" ref="S4:S9" si="7">S3&amp;R4</f>
        <v>011000111111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11000011</v>
      </c>
      <c r="C5" s="3" t="str">
        <f t="shared" si="4"/>
        <v>C3</v>
      </c>
      <c r="Q5" s="7">
        <f t="shared" ref="Q5:R5" si="6">G66</f>
        <v>13</v>
      </c>
      <c r="R5" s="7" t="str">
        <f t="shared" si="6"/>
        <v>1101</v>
      </c>
      <c r="S5" s="7" t="str">
        <f t="shared" si="7"/>
        <v>0110001111111101</v>
      </c>
      <c r="U5" s="8">
        <v>2.0</v>
      </c>
      <c r="V5" s="8">
        <v>7.0</v>
      </c>
      <c r="W5" s="7" t="str">
        <f t="shared" si="8"/>
        <v>1</v>
      </c>
      <c r="X5" s="7" t="str">
        <f>W4&amp;W5</f>
        <v>11</v>
      </c>
    </row>
    <row r="6">
      <c r="A6" s="1">
        <v>4.0</v>
      </c>
      <c r="B6" s="3" t="str">
        <f t="shared" si="3"/>
        <v>00001101</v>
      </c>
      <c r="C6" s="3" t="str">
        <f t="shared" si="4"/>
        <v>0D</v>
      </c>
      <c r="Q6" s="7">
        <f t="shared" ref="Q6:R6" si="9">G67</f>
        <v>1</v>
      </c>
      <c r="R6" s="7" t="str">
        <f t="shared" si="9"/>
        <v>0001</v>
      </c>
      <c r="S6" s="7" t="str">
        <f t="shared" si="7"/>
        <v>01100011111111010001</v>
      </c>
      <c r="U6" s="8">
        <v>3.0</v>
      </c>
      <c r="V6" s="8">
        <v>20.0</v>
      </c>
      <c r="W6" s="7" t="str">
        <f t="shared" si="8"/>
        <v>1</v>
      </c>
      <c r="X6" s="7" t="str">
        <f t="shared" ref="X6:X35" si="11">X5&amp;W6</f>
        <v>111</v>
      </c>
    </row>
    <row r="7">
      <c r="A7" s="1">
        <v>5.0</v>
      </c>
      <c r="B7" s="3" t="str">
        <f t="shared" si="3"/>
        <v>10001001</v>
      </c>
      <c r="C7" s="3" t="str">
        <f t="shared" si="4"/>
        <v>89</v>
      </c>
      <c r="Q7" s="7">
        <f t="shared" ref="Q7:R7" si="10">G68</f>
        <v>11</v>
      </c>
      <c r="R7" s="7" t="str">
        <f t="shared" si="10"/>
        <v>1011</v>
      </c>
      <c r="S7" s="7" t="str">
        <f t="shared" si="7"/>
        <v>011000111111110100011011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1111</v>
      </c>
    </row>
    <row r="8">
      <c r="A8" s="1">
        <v>6.0</v>
      </c>
      <c r="B8" s="3" t="str">
        <f t="shared" si="3"/>
        <v>10111110</v>
      </c>
      <c r="C8" s="3" t="str">
        <f t="shared" si="4"/>
        <v>BE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12</v>
      </c>
      <c r="R8" s="7" t="str">
        <f t="shared" si="12"/>
        <v>1100</v>
      </c>
      <c r="S8" s="7" t="str">
        <f t="shared" si="7"/>
        <v>0110001111111101000110111100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11110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</v>
      </c>
      <c r="R9" s="7" t="str">
        <f t="shared" si="13"/>
        <v>0001</v>
      </c>
      <c r="S9" s="7" t="str">
        <f t="shared" si="7"/>
        <v>01100011111111010001101111000001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111101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1111010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11110100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111101000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1111010000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1</v>
      </c>
      <c r="X14" s="7" t="str">
        <f t="shared" si="11"/>
        <v>11110100001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1</v>
      </c>
      <c r="X15" s="7" t="str">
        <f t="shared" si="11"/>
        <v>111101000011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1111010000110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11110100001100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111101000011000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1111010000110001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98</v>
      </c>
      <c r="N20" s="10" t="s">
        <v>95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11110100001100011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99</v>
      </c>
      <c r="N21" s="7" t="s">
        <v>100</v>
      </c>
      <c r="Q21" s="8">
        <v>1.0</v>
      </c>
      <c r="R21" s="8">
        <v>32.0</v>
      </c>
      <c r="S21" s="7" t="str">
        <f t="shared" ref="S21:S68" si="21">MID($N$21,R21,1)</f>
        <v>1</v>
      </c>
      <c r="T21" s="7" t="str">
        <f t="shared" ref="T21:T66" si="22">S21&amp;T22</f>
        <v>111001011101011011111000000111111010101011111111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111101000011000111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11001011101011011111000000111111010101011111111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1111010000110001111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1001011101011011111000000111111010101011111111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11110100001100011111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11100101</v>
      </c>
      <c r="O24" s="3" t="str">
        <f t="shared" ref="O24:O31" si="24">BIN2HEX(N24,2)</f>
        <v>E5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001011101011011111000000111111010101011111111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111101000011000111111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11010110</v>
      </c>
      <c r="O25" s="3" t="str">
        <f t="shared" si="24"/>
        <v>D6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01011101011011111000000111111010101011111111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1111010000110001111110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11111000</v>
      </c>
      <c r="O26" s="3" t="str">
        <f t="shared" si="24"/>
        <v>F8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1011101011011111000000111111010101011111111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11110100001100011111101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00011111</v>
      </c>
      <c r="O27" s="3" t="str">
        <f t="shared" si="24"/>
        <v>1F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011101011011111000000111111010101011111111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111101000011000111111011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10101010</v>
      </c>
      <c r="O28" s="3" t="str">
        <f t="shared" si="24"/>
        <v>AA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11101011011111000000111111010101011111111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1111010000110001111110110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11111111</v>
      </c>
      <c r="O29" s="3" t="str">
        <f t="shared" si="24"/>
        <v>FF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1101011011111000000111111010101011111111</v>
      </c>
      <c r="U29" s="8">
        <v>26.0</v>
      </c>
      <c r="V29" s="8">
        <v>13.0</v>
      </c>
      <c r="W29" s="7" t="str">
        <f t="shared" si="8"/>
        <v>1</v>
      </c>
      <c r="X29" s="7" t="str">
        <f t="shared" si="11"/>
        <v>11110100001100011111101101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101011011111000000111111010101011111111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111101000011000111111011010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01011011111000000111111010101011111111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1111010000110001111110110100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1</v>
      </c>
      <c r="T32" s="7" t="str">
        <f t="shared" si="22"/>
        <v>1011011111000000111111010101011111111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11110100001100011111101101000</v>
      </c>
    </row>
    <row r="33">
      <c r="A33" s="6" t="s">
        <v>12</v>
      </c>
      <c r="B33" s="7" t="str">
        <f>B1</f>
        <v>001000010101111111000011000011011000100110111110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011011111000000111111010101011111111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111101000011000111111011010001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1</v>
      </c>
      <c r="T34" s="7" t="str">
        <f t="shared" si="22"/>
        <v>11011111000000111111010101011111111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1111010000110001111110110100010</v>
      </c>
    </row>
    <row r="35">
      <c r="A35" s="1">
        <v>1.0</v>
      </c>
      <c r="B35" s="3" t="str">
        <f t="shared" ref="B35:B40" si="25">MID($B$1,(A35-1)*8+1,8)</f>
        <v>00100001</v>
      </c>
      <c r="C35" s="3" t="str">
        <f t="shared" ref="C35:C40" si="26">BIN2HEX(B35,2)</f>
        <v>21</v>
      </c>
      <c r="D35" s="3">
        <f t="shared" ref="D35:D40" si="27">BIN2DEC(B35)</f>
        <v>33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1011111000000111111010101011111111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11110100001100011111101101000101</v>
      </c>
    </row>
    <row r="36">
      <c r="A36" s="1">
        <v>2.0</v>
      </c>
      <c r="B36" s="3" t="str">
        <f t="shared" si="25"/>
        <v>01011111</v>
      </c>
      <c r="C36" s="3" t="str">
        <f t="shared" si="26"/>
        <v>5F</v>
      </c>
      <c r="D36" s="3">
        <f t="shared" si="27"/>
        <v>95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0</v>
      </c>
      <c r="T36" s="7" t="str">
        <f t="shared" si="22"/>
        <v>011111000000111111010101011111111</v>
      </c>
    </row>
    <row r="37">
      <c r="A37" s="1">
        <v>3.0</v>
      </c>
      <c r="B37" s="3" t="str">
        <f t="shared" si="25"/>
        <v>11000011</v>
      </c>
      <c r="C37" s="3" t="str">
        <f t="shared" si="26"/>
        <v>C3</v>
      </c>
      <c r="D37" s="3">
        <f t="shared" si="27"/>
        <v>195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1</v>
      </c>
      <c r="T37" s="7" t="str">
        <f t="shared" si="22"/>
        <v>11111000000111111010101011111111</v>
      </c>
    </row>
    <row r="38">
      <c r="A38" s="1">
        <v>4.0</v>
      </c>
      <c r="B38" s="3" t="str">
        <f t="shared" si="25"/>
        <v>00001101</v>
      </c>
      <c r="C38" s="3" t="str">
        <f t="shared" si="26"/>
        <v>0D</v>
      </c>
      <c r="D38" s="3">
        <f t="shared" si="27"/>
        <v>13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1111000000111111010101011111111</v>
      </c>
      <c r="U38" s="11" t="s">
        <v>27</v>
      </c>
      <c r="V38" s="12" t="str">
        <f>X35</f>
        <v>11110100001100011111101101000101</v>
      </c>
      <c r="W38" s="12"/>
      <c r="X38" s="12"/>
    </row>
    <row r="39">
      <c r="A39" s="1">
        <v>5.0</v>
      </c>
      <c r="B39" s="3" t="str">
        <f t="shared" si="25"/>
        <v>10001001</v>
      </c>
      <c r="C39" s="3" t="str">
        <f t="shared" si="26"/>
        <v>89</v>
      </c>
      <c r="D39" s="3">
        <f t="shared" si="27"/>
        <v>137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1</v>
      </c>
      <c r="T39" s="7" t="str">
        <f t="shared" si="22"/>
        <v>111000000111111010101011111111</v>
      </c>
    </row>
    <row r="40">
      <c r="A40" s="1">
        <v>6.0</v>
      </c>
      <c r="B40" s="3" t="str">
        <f t="shared" si="25"/>
        <v>10111110</v>
      </c>
      <c r="C40" s="3" t="str">
        <f t="shared" si="26"/>
        <v>BE</v>
      </c>
      <c r="D40" s="3">
        <f t="shared" si="27"/>
        <v>190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11000000111111010101011111111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1000000111111010101011111111</v>
      </c>
      <c r="U41" s="6" t="s">
        <v>29</v>
      </c>
      <c r="V41" s="7" t="str">
        <f>N20</f>
        <v>01101010010011010110101111010101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111001011101011011111000000111111010101011111111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000000111111010101011111111</v>
      </c>
    </row>
    <row r="43">
      <c r="A43" s="1">
        <v>1.0</v>
      </c>
      <c r="B43" s="3" t="str">
        <f t="shared" ref="B43:B48" si="28">MID($T$21,(A43-1)*8+1,8)</f>
        <v>11100101</v>
      </c>
      <c r="C43" s="3" t="str">
        <f t="shared" ref="C43:C48" si="29">BIN2HEX(B43,2)</f>
        <v>E5</v>
      </c>
      <c r="D43" s="3">
        <f t="shared" ref="D43:D48" si="30">BIN2DEC(B43)</f>
        <v>229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00000111111010101011111111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11010110</v>
      </c>
      <c r="C44" s="3" t="str">
        <f t="shared" si="29"/>
        <v>D6</v>
      </c>
      <c r="D44" s="3">
        <f t="shared" si="30"/>
        <v>214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0000111111010101011111111</v>
      </c>
      <c r="U44" s="1">
        <v>1.0</v>
      </c>
      <c r="V44" s="3" t="str">
        <f t="shared" ref="V44:V47" si="31">MID($V$38,(U44-1)*8+1,8)</f>
        <v>11110100</v>
      </c>
      <c r="W44" s="3" t="str">
        <f t="shared" ref="W44:W47" si="32">BIN2HEX(V44,2)</f>
        <v>F4</v>
      </c>
      <c r="X44" s="3">
        <f t="shared" ref="X44:X47" si="33">HEX2DEC(W44)</f>
        <v>244</v>
      </c>
    </row>
    <row r="45">
      <c r="A45" s="1">
        <v>3.0</v>
      </c>
      <c r="B45" s="3" t="str">
        <f t="shared" si="28"/>
        <v>11111000</v>
      </c>
      <c r="C45" s="3" t="str">
        <f t="shared" si="29"/>
        <v>F8</v>
      </c>
      <c r="D45" s="3">
        <f t="shared" si="30"/>
        <v>248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000111111010101011111111</v>
      </c>
      <c r="U45" s="1">
        <v>2.0</v>
      </c>
      <c r="V45" s="3" t="str">
        <f t="shared" si="31"/>
        <v>00110001</v>
      </c>
      <c r="W45" s="3" t="str">
        <f t="shared" si="32"/>
        <v>31</v>
      </c>
      <c r="X45" s="3">
        <f t="shared" si="33"/>
        <v>49</v>
      </c>
    </row>
    <row r="46">
      <c r="A46" s="1">
        <v>4.0</v>
      </c>
      <c r="B46" s="3" t="str">
        <f t="shared" si="28"/>
        <v>00011111</v>
      </c>
      <c r="C46" s="3" t="str">
        <f t="shared" si="29"/>
        <v>1F</v>
      </c>
      <c r="D46" s="3">
        <f t="shared" si="30"/>
        <v>31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00111111010101011111111</v>
      </c>
      <c r="U46" s="1">
        <v>3.0</v>
      </c>
      <c r="V46" s="3" t="str">
        <f t="shared" si="31"/>
        <v>11111011</v>
      </c>
      <c r="W46" s="3" t="str">
        <f t="shared" si="32"/>
        <v>FB</v>
      </c>
      <c r="X46" s="3">
        <f t="shared" si="33"/>
        <v>251</v>
      </c>
    </row>
    <row r="47">
      <c r="A47" s="1">
        <v>5.0</v>
      </c>
      <c r="B47" s="3" t="str">
        <f t="shared" si="28"/>
        <v>10101010</v>
      </c>
      <c r="C47" s="3" t="str">
        <f t="shared" si="29"/>
        <v>AA</v>
      </c>
      <c r="D47" s="3">
        <f t="shared" si="30"/>
        <v>170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0</v>
      </c>
      <c r="T47" s="7" t="str">
        <f t="shared" si="22"/>
        <v>0111111010101011111111</v>
      </c>
      <c r="U47" s="1">
        <v>4.0</v>
      </c>
      <c r="V47" s="3" t="str">
        <f t="shared" si="31"/>
        <v>01000101</v>
      </c>
      <c r="W47" s="3" t="str">
        <f t="shared" si="32"/>
        <v>45</v>
      </c>
      <c r="X47" s="3">
        <f t="shared" si="33"/>
        <v>69</v>
      </c>
    </row>
    <row r="48">
      <c r="A48" s="1">
        <v>6.0</v>
      </c>
      <c r="B48" s="3" t="str">
        <f t="shared" si="28"/>
        <v>11111111</v>
      </c>
      <c r="C48" s="3" t="str">
        <f t="shared" si="29"/>
        <v>FF</v>
      </c>
      <c r="D48" s="3">
        <f t="shared" si="30"/>
        <v>255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111111010101011111111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11111010101011111111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1111010101011111111</v>
      </c>
    </row>
    <row r="51">
      <c r="A51" s="6">
        <v>1.0</v>
      </c>
      <c r="B51" s="7">
        <f t="shared" ref="B51:B56" si="34">BITXOR(D35,D43)</f>
        <v>196</v>
      </c>
      <c r="C51" s="7" t="str">
        <f t="shared" ref="C51:C56" si="35">DEC2BIN(B51,8)</f>
        <v>11000100</v>
      </c>
      <c r="D51" s="7" t="str">
        <f t="shared" ref="D51:D56" si="36">DEC2HEX(B51,2)</f>
        <v>C4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111010101011111111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137</v>
      </c>
      <c r="C52" s="7" t="str">
        <f t="shared" si="35"/>
        <v>10001001</v>
      </c>
      <c r="D52" s="7" t="str">
        <f t="shared" si="36"/>
        <v>89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11010101011111111</v>
      </c>
      <c r="U52" s="1">
        <v>1.0</v>
      </c>
      <c r="V52" s="3" t="str">
        <f t="shared" ref="V52:V55" si="37">MID($V$41,(U52-1)*8+1,8)</f>
        <v>01101010</v>
      </c>
      <c r="W52" s="3" t="str">
        <f t="shared" ref="W52:W55" si="38">BIN2HEX(V52,2)</f>
        <v>6A</v>
      </c>
      <c r="X52" s="3">
        <f t="shared" ref="X52:X55" si="39">HEX2DEC(W52)</f>
        <v>106</v>
      </c>
    </row>
    <row r="53">
      <c r="A53" s="6">
        <v>3.0</v>
      </c>
      <c r="B53" s="7">
        <f t="shared" si="34"/>
        <v>59</v>
      </c>
      <c r="C53" s="7" t="str">
        <f t="shared" si="35"/>
        <v>00111011</v>
      </c>
      <c r="D53" s="7" t="str">
        <f t="shared" si="36"/>
        <v>3B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1</v>
      </c>
      <c r="T53" s="7" t="str">
        <f t="shared" si="22"/>
        <v>1010101011111111</v>
      </c>
      <c r="U53" s="1">
        <v>2.0</v>
      </c>
      <c r="V53" s="3" t="str">
        <f t="shared" si="37"/>
        <v>01001101</v>
      </c>
      <c r="W53" s="3" t="str">
        <f t="shared" si="38"/>
        <v>4D</v>
      </c>
      <c r="X53" s="3">
        <f t="shared" si="39"/>
        <v>77</v>
      </c>
    </row>
    <row r="54">
      <c r="A54" s="6">
        <v>4.0</v>
      </c>
      <c r="B54" s="7">
        <f t="shared" si="34"/>
        <v>18</v>
      </c>
      <c r="C54" s="7" t="str">
        <f t="shared" si="35"/>
        <v>00010010</v>
      </c>
      <c r="D54" s="7" t="str">
        <f t="shared" si="36"/>
        <v>12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010101011111111</v>
      </c>
      <c r="U54" s="1">
        <v>3.0</v>
      </c>
      <c r="V54" s="3" t="str">
        <f t="shared" si="37"/>
        <v>01101011</v>
      </c>
      <c r="W54" s="3" t="str">
        <f t="shared" si="38"/>
        <v>6B</v>
      </c>
      <c r="X54" s="3">
        <f t="shared" si="39"/>
        <v>107</v>
      </c>
    </row>
    <row r="55">
      <c r="A55" s="6">
        <v>5.0</v>
      </c>
      <c r="B55" s="7">
        <f t="shared" si="34"/>
        <v>35</v>
      </c>
      <c r="C55" s="7" t="str">
        <f t="shared" si="35"/>
        <v>00100011</v>
      </c>
      <c r="D55" s="7" t="str">
        <f t="shared" si="36"/>
        <v>23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10101011111111</v>
      </c>
      <c r="U55" s="1">
        <v>4.0</v>
      </c>
      <c r="V55" s="3" t="str">
        <f t="shared" si="37"/>
        <v>11010101</v>
      </c>
      <c r="W55" s="3" t="str">
        <f t="shared" si="38"/>
        <v>D5</v>
      </c>
      <c r="X55" s="3">
        <f t="shared" si="39"/>
        <v>213</v>
      </c>
    </row>
    <row r="56">
      <c r="A56" s="6">
        <v>6.0</v>
      </c>
      <c r="B56" s="7">
        <f t="shared" si="34"/>
        <v>65</v>
      </c>
      <c r="C56" s="7" t="str">
        <f t="shared" si="35"/>
        <v>01000001</v>
      </c>
      <c r="D56" s="7" t="str">
        <f t="shared" si="36"/>
        <v>41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0101011111111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101011111111</v>
      </c>
      <c r="U57" s="9" t="s">
        <v>101</v>
      </c>
      <c r="V57" s="10" t="str">
        <f>Y62</f>
        <v>10011110011111001001000010010000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01011111111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110001001000100100111011000100100010001101000001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1</v>
      </c>
      <c r="T59" s="7" t="str">
        <f t="shared" si="22"/>
        <v>1011111111</v>
      </c>
      <c r="U59" s="6">
        <v>1.0</v>
      </c>
      <c r="V59" s="7">
        <f t="shared" ref="V59:V62" si="40">BITXOR(X44,X52)</f>
        <v>158</v>
      </c>
      <c r="W59" s="7" t="str">
        <f t="shared" ref="W59:W62" si="41">DEC2HEX(V59)</f>
        <v>9E</v>
      </c>
      <c r="X59" s="7" t="str">
        <f t="shared" ref="X59:X62" si="42">HEX2BIN(W59,8)</f>
        <v>10011110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011111111</v>
      </c>
      <c r="U60" s="6">
        <v>2.0</v>
      </c>
      <c r="V60" s="7">
        <f t="shared" si="40"/>
        <v>124</v>
      </c>
      <c r="W60" s="7" t="str">
        <f t="shared" si="41"/>
        <v>7C</v>
      </c>
      <c r="X60" s="7" t="str">
        <f t="shared" si="42"/>
        <v>01111100</v>
      </c>
      <c r="Y60" s="7" t="str">
        <f>X59&amp;X60</f>
        <v>1001111001111100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11111111</v>
      </c>
      <c r="U61" s="6">
        <v>3.0</v>
      </c>
      <c r="V61" s="7">
        <f t="shared" si="40"/>
        <v>144</v>
      </c>
      <c r="W61" s="7" t="str">
        <f t="shared" si="41"/>
        <v>90</v>
      </c>
      <c r="X61" s="7" t="str">
        <f t="shared" si="42"/>
        <v>10010000</v>
      </c>
      <c r="Y61" s="7" t="str">
        <f t="shared" ref="Y61:Y62" si="43">Y60&amp;X61</f>
        <v>100111100111110010010000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1111111</v>
      </c>
      <c r="U62" s="6">
        <v>4.0</v>
      </c>
      <c r="V62" s="7">
        <f t="shared" si="40"/>
        <v>144</v>
      </c>
      <c r="W62" s="7" t="str">
        <f t="shared" si="41"/>
        <v>90</v>
      </c>
      <c r="X62" s="7" t="str">
        <f t="shared" si="42"/>
        <v>10010000</v>
      </c>
      <c r="Y62" s="7" t="str">
        <f t="shared" si="43"/>
        <v>10011110011111001001000010010000</v>
      </c>
    </row>
    <row r="63">
      <c r="A63" s="6">
        <v>1.0</v>
      </c>
      <c r="B63" s="7" t="str">
        <f t="shared" ref="B63:B70" si="44">MID($B$59,(A63-1)*6+1,6)</f>
        <v>110001</v>
      </c>
      <c r="C63" s="7" t="str">
        <f t="shared" ref="C63:C70" si="45">LEFT(B63,1)&amp;RIGHT(B63,1)</f>
        <v>11</v>
      </c>
      <c r="D63" s="7" t="str">
        <f t="shared" ref="D63:D70" si="46">MID(B63,2,4)</f>
        <v>1000</v>
      </c>
      <c r="E63" s="7" t="str">
        <f t="shared" ref="E63:E70" si="47">C63&amp;D63</f>
        <v>111000</v>
      </c>
      <c r="F63" s="7">
        <f t="shared" ref="F63:F70" si="48">BIN2DEC(E63)</f>
        <v>56</v>
      </c>
      <c r="G63" s="7">
        <f>VLOOKUP(F63,$A$79:$I$142,2,TRUE)</f>
        <v>6</v>
      </c>
      <c r="H63" s="7" t="str">
        <f t="shared" ref="H63:H70" si="49">DEC2BIN(G63,4)</f>
        <v>0110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111111</v>
      </c>
    </row>
    <row r="64">
      <c r="A64" s="6">
        <v>2.0</v>
      </c>
      <c r="B64" s="7" t="str">
        <f t="shared" si="44"/>
        <v>001000</v>
      </c>
      <c r="C64" s="7" t="str">
        <f t="shared" si="45"/>
        <v>00</v>
      </c>
      <c r="D64" s="7" t="str">
        <f t="shared" si="46"/>
        <v>0100</v>
      </c>
      <c r="E64" s="7" t="str">
        <f t="shared" si="47"/>
        <v>000100</v>
      </c>
      <c r="F64" s="7">
        <f t="shared" si="48"/>
        <v>4</v>
      </c>
      <c r="G64" s="7">
        <f>VLOOKUP(F64,$A$79:$I$142,3,TRUE)</f>
        <v>3</v>
      </c>
      <c r="H64" s="7" t="str">
        <f t="shared" si="49"/>
        <v>0011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11111</v>
      </c>
    </row>
    <row r="65">
      <c r="A65" s="6">
        <v>3.0</v>
      </c>
      <c r="B65" s="7" t="str">
        <f t="shared" si="44"/>
        <v>100100</v>
      </c>
      <c r="C65" s="7" t="str">
        <f t="shared" si="45"/>
        <v>10</v>
      </c>
      <c r="D65" s="7" t="str">
        <f t="shared" si="46"/>
        <v>0010</v>
      </c>
      <c r="E65" s="7" t="str">
        <f t="shared" si="47"/>
        <v>100010</v>
      </c>
      <c r="F65" s="7">
        <f t="shared" si="48"/>
        <v>34</v>
      </c>
      <c r="G65" s="7">
        <f>VLOOKUP(F65,$A$79:$I$142,4,TRUE)</f>
        <v>15</v>
      </c>
      <c r="H65" s="7" t="str">
        <f t="shared" si="49"/>
        <v>1111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1</v>
      </c>
      <c r="T65" s="7" t="str">
        <f t="shared" si="22"/>
        <v>1111</v>
      </c>
    </row>
    <row r="66">
      <c r="A66" s="6">
        <v>4.0</v>
      </c>
      <c r="B66" s="7" t="str">
        <f t="shared" si="44"/>
        <v>111011</v>
      </c>
      <c r="C66" s="7" t="str">
        <f t="shared" si="45"/>
        <v>11</v>
      </c>
      <c r="D66" s="7" t="str">
        <f t="shared" si="46"/>
        <v>1101</v>
      </c>
      <c r="E66" s="7" t="str">
        <f t="shared" si="47"/>
        <v>111101</v>
      </c>
      <c r="F66" s="7">
        <f t="shared" si="48"/>
        <v>61</v>
      </c>
      <c r="G66" s="7">
        <f>VLOOKUP(F66,$A$79:$I$142,5,TRUE)</f>
        <v>13</v>
      </c>
      <c r="H66" s="7" t="str">
        <f t="shared" si="49"/>
        <v>1101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111</v>
      </c>
    </row>
    <row r="67">
      <c r="A67" s="6">
        <v>5.0</v>
      </c>
      <c r="B67" s="7" t="str">
        <f t="shared" si="44"/>
        <v>000100</v>
      </c>
      <c r="C67" s="7" t="str">
        <f t="shared" si="45"/>
        <v>00</v>
      </c>
      <c r="D67" s="7" t="str">
        <f t="shared" si="46"/>
        <v>0010</v>
      </c>
      <c r="E67" s="7" t="str">
        <f t="shared" si="47"/>
        <v>000010</v>
      </c>
      <c r="F67" s="7">
        <f t="shared" si="48"/>
        <v>2</v>
      </c>
      <c r="G67" s="7">
        <f>VLOOKUP(F67,$A$79:$I$142,6,TRUE)</f>
        <v>1</v>
      </c>
      <c r="H67" s="7" t="str">
        <f t="shared" si="49"/>
        <v>0001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1</v>
      </c>
      <c r="T67" s="7" t="str">
        <f>S67&amp;S68</f>
        <v>11</v>
      </c>
    </row>
    <row r="68">
      <c r="A68" s="6">
        <v>6.0</v>
      </c>
      <c r="B68" s="7" t="str">
        <f t="shared" si="44"/>
        <v>100010</v>
      </c>
      <c r="C68" s="7" t="str">
        <f t="shared" si="45"/>
        <v>10</v>
      </c>
      <c r="D68" s="7" t="str">
        <f t="shared" si="46"/>
        <v>0001</v>
      </c>
      <c r="E68" s="7" t="str">
        <f t="shared" si="47"/>
        <v>100001</v>
      </c>
      <c r="F68" s="7">
        <f t="shared" si="48"/>
        <v>33</v>
      </c>
      <c r="G68" s="7">
        <f>VLOOKUP(F68,$A$79:$I$142,7,TRUE)</f>
        <v>11</v>
      </c>
      <c r="H68" s="7" t="str">
        <f t="shared" si="49"/>
        <v>1011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001101</v>
      </c>
      <c r="C69" s="7" t="str">
        <f t="shared" si="45"/>
        <v>01</v>
      </c>
      <c r="D69" s="7" t="str">
        <f t="shared" si="46"/>
        <v>0110</v>
      </c>
      <c r="E69" s="7" t="str">
        <f t="shared" si="47"/>
        <v>010110</v>
      </c>
      <c r="F69" s="7">
        <f t="shared" si="48"/>
        <v>22</v>
      </c>
      <c r="G69" s="7">
        <f>VLOOKUP(F69,$A$79:$I$142,8,TRUE)</f>
        <v>12</v>
      </c>
      <c r="H69" s="7" t="str">
        <f t="shared" si="49"/>
        <v>1100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000001</v>
      </c>
      <c r="C70" s="7" t="str">
        <f t="shared" si="45"/>
        <v>01</v>
      </c>
      <c r="D70" s="7" t="str">
        <f t="shared" si="46"/>
        <v>0000</v>
      </c>
      <c r="E70" s="7" t="str">
        <f t="shared" si="47"/>
        <v>010000</v>
      </c>
      <c r="F70" s="7">
        <f t="shared" si="48"/>
        <v>16</v>
      </c>
      <c r="G70" s="7">
        <f>VLOOKUP(F70,$A$79:$I$142,9,TRUE)</f>
        <v>1</v>
      </c>
      <c r="H70" s="7" t="str">
        <f t="shared" si="49"/>
        <v>0001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102</v>
      </c>
      <c r="Q1" s="6" t="s">
        <v>14</v>
      </c>
      <c r="R1" s="6" t="s">
        <v>4</v>
      </c>
      <c r="U1" s="6" t="s">
        <v>15</v>
      </c>
      <c r="V1" s="7" t="str">
        <f>S9</f>
        <v>10010001011011000100001011010011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9</v>
      </c>
      <c r="R2" s="7" t="str">
        <f t="shared" si="1"/>
        <v>1001</v>
      </c>
    </row>
    <row r="3">
      <c r="A3" s="1">
        <v>1.0</v>
      </c>
      <c r="B3" s="3" t="str">
        <f t="shared" ref="B3:B8" si="3">MID($B$1,(A3-1)*8+1,8)</f>
        <v>01110001</v>
      </c>
      <c r="C3" s="3" t="str">
        <f t="shared" ref="C3:C8" si="4">BIN2HEX(B3,2)</f>
        <v>71</v>
      </c>
      <c r="Q3" s="7">
        <f t="shared" ref="Q3:R3" si="2">G64</f>
        <v>1</v>
      </c>
      <c r="R3" s="7" t="str">
        <f t="shared" si="2"/>
        <v>0001</v>
      </c>
      <c r="S3" s="7" t="str">
        <f>R2&amp;R3</f>
        <v>10010001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01110001</v>
      </c>
      <c r="C4" s="3" t="str">
        <f t="shared" si="4"/>
        <v>71</v>
      </c>
      <c r="Q4" s="7">
        <f t="shared" ref="Q4:R4" si="5">G65</f>
        <v>6</v>
      </c>
      <c r="R4" s="7" t="str">
        <f t="shared" si="5"/>
        <v>0110</v>
      </c>
      <c r="S4" s="7" t="str">
        <f t="shared" ref="S4:S9" si="7">S3&amp;R4</f>
        <v>100100010110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11110101</v>
      </c>
      <c r="C5" s="3" t="str">
        <f t="shared" si="4"/>
        <v>F5</v>
      </c>
      <c r="Q5" s="7">
        <f t="shared" ref="Q5:R5" si="6">G66</f>
        <v>12</v>
      </c>
      <c r="R5" s="7" t="str">
        <f t="shared" si="6"/>
        <v>1100</v>
      </c>
      <c r="S5" s="7" t="str">
        <f t="shared" si="7"/>
        <v>1001000101101100</v>
      </c>
      <c r="U5" s="8">
        <v>2.0</v>
      </c>
      <c r="V5" s="8">
        <v>7.0</v>
      </c>
      <c r="W5" s="7" t="str">
        <f t="shared" si="8"/>
        <v>0</v>
      </c>
      <c r="X5" s="7" t="str">
        <f>W4&amp;W5</f>
        <v>00</v>
      </c>
    </row>
    <row r="6">
      <c r="A6" s="1">
        <v>4.0</v>
      </c>
      <c r="B6" s="3" t="str">
        <f t="shared" si="3"/>
        <v>01000101</v>
      </c>
      <c r="C6" s="3" t="str">
        <f t="shared" si="4"/>
        <v>45</v>
      </c>
      <c r="Q6" s="7">
        <f t="shared" ref="Q6:R6" si="9">G67</f>
        <v>4</v>
      </c>
      <c r="R6" s="7" t="str">
        <f t="shared" si="9"/>
        <v>0100</v>
      </c>
      <c r="S6" s="7" t="str">
        <f t="shared" si="7"/>
        <v>10010001011011000100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000</v>
      </c>
    </row>
    <row r="7">
      <c r="A7" s="1">
        <v>5.0</v>
      </c>
      <c r="B7" s="3" t="str">
        <f t="shared" si="3"/>
        <v>01011100</v>
      </c>
      <c r="C7" s="3" t="str">
        <f t="shared" si="4"/>
        <v>5C</v>
      </c>
      <c r="Q7" s="7">
        <f t="shared" ref="Q7:R7" si="10">G68</f>
        <v>2</v>
      </c>
      <c r="R7" s="7" t="str">
        <f t="shared" si="10"/>
        <v>0010</v>
      </c>
      <c r="S7" s="7" t="str">
        <f t="shared" si="7"/>
        <v>100100010110110001000010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0000</v>
      </c>
    </row>
    <row r="8">
      <c r="A8" s="1">
        <v>6.0</v>
      </c>
      <c r="B8" s="3" t="str">
        <f t="shared" si="3"/>
        <v>11010101</v>
      </c>
      <c r="C8" s="3" t="str">
        <f t="shared" si="4"/>
        <v>D5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13</v>
      </c>
      <c r="R8" s="7" t="str">
        <f t="shared" si="12"/>
        <v>1101</v>
      </c>
      <c r="S8" s="7" t="str">
        <f t="shared" si="7"/>
        <v>1001000101101100010000101101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00000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3</v>
      </c>
      <c r="R9" s="7" t="str">
        <f t="shared" si="13"/>
        <v>0011</v>
      </c>
      <c r="S9" s="7" t="str">
        <f t="shared" si="7"/>
        <v>10010001011011000100001011010011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000000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0000001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00000010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1</v>
      </c>
      <c r="X12" s="7" t="str">
        <f t="shared" si="11"/>
        <v>000000101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0000001010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1</v>
      </c>
      <c r="X14" s="7" t="str">
        <f t="shared" si="11"/>
        <v>00000010101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1</v>
      </c>
      <c r="X15" s="7" t="str">
        <f t="shared" si="11"/>
        <v>000000101011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0000001010110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00000010101101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000000101011011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0000001010110111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103</v>
      </c>
      <c r="N20" s="10" t="s">
        <v>100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0</v>
      </c>
      <c r="X20" s="7" t="str">
        <f t="shared" si="11"/>
        <v>00000010101101110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104</v>
      </c>
      <c r="N21" s="7" t="s">
        <v>105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010011111100001111111001010010100001010010100001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000000101011011101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10011111100001111111001010010100001010010100001</v>
      </c>
      <c r="U22" s="8">
        <v>19.0</v>
      </c>
      <c r="V22" s="8">
        <v>24.0</v>
      </c>
      <c r="W22" s="7" t="str">
        <f t="shared" si="8"/>
        <v>0</v>
      </c>
      <c r="X22" s="7" t="str">
        <f t="shared" si="11"/>
        <v>0000001010110111010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0</v>
      </c>
      <c r="T23" s="7" t="str">
        <f t="shared" si="22"/>
        <v>0011111100001111111001010010100001010010100001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00000010101101110101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01001111</v>
      </c>
      <c r="O24" s="3" t="str">
        <f t="shared" ref="O24:O31" si="24">BIN2HEX(N24,2)</f>
        <v>4F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011111100001111111001010010100001010010100001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000000101011011101011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11000011</v>
      </c>
      <c r="O25" s="3" t="str">
        <f t="shared" si="24"/>
        <v>C3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11111100001111111001010010100001010010100001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0000001010110111010110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11111001</v>
      </c>
      <c r="O26" s="3" t="str">
        <f t="shared" si="24"/>
        <v>F9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1111100001111111001010010100001010010100001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00000010101101110101100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01001010</v>
      </c>
      <c r="O27" s="3" t="str">
        <f t="shared" si="24"/>
        <v>4A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111100001111111001010010100001010010100001</v>
      </c>
      <c r="U27" s="8">
        <v>24.0</v>
      </c>
      <c r="V27" s="8">
        <v>9.0</v>
      </c>
      <c r="W27" s="7" t="str">
        <f t="shared" si="8"/>
        <v>0</v>
      </c>
      <c r="X27" s="7" t="str">
        <f t="shared" si="11"/>
        <v>000000101011011101011000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00010100</v>
      </c>
      <c r="O28" s="3" t="str">
        <f t="shared" si="24"/>
        <v>14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11100001111111001010010100001010010100001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0000001010110111010110000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10100001</v>
      </c>
      <c r="O29" s="3" t="str">
        <f t="shared" si="24"/>
        <v>A1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1100001111111001010010100001010010100001</v>
      </c>
      <c r="U29" s="8">
        <v>26.0</v>
      </c>
      <c r="V29" s="8">
        <v>13.0</v>
      </c>
      <c r="W29" s="7" t="str">
        <f t="shared" si="8"/>
        <v>1</v>
      </c>
      <c r="X29" s="7" t="str">
        <f t="shared" si="11"/>
        <v>00000010101101110101100001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100001111111001010010100001010010100001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000000101011011101011000010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00001111111001010010100001010010100001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0000001010110111010110000100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0001111111001010010100001010010100001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00000010101101110101100001000</v>
      </c>
    </row>
    <row r="33">
      <c r="A33" s="6" t="s">
        <v>12</v>
      </c>
      <c r="B33" s="7" t="str">
        <f>B1</f>
        <v>011100010111000111110101010001010101110011010101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001111111001010010100001010010100001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000000101011011101011000010001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01111111001010010100001010010100001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0000001010110111010110000100011</v>
      </c>
    </row>
    <row r="35">
      <c r="A35" s="1">
        <v>1.0</v>
      </c>
      <c r="B35" s="3" t="str">
        <f t="shared" ref="B35:B40" si="25">MID($B$1,(A35-1)*8+1,8)</f>
        <v>01110001</v>
      </c>
      <c r="C35" s="3" t="str">
        <f t="shared" ref="C35:C40" si="26">BIN2HEX(B35,2)</f>
        <v>71</v>
      </c>
      <c r="D35" s="3">
        <f t="shared" ref="D35:D40" si="27">BIN2DEC(B35)</f>
        <v>113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1111111001010010100001010010100001</v>
      </c>
      <c r="U35" s="8">
        <v>32.0</v>
      </c>
      <c r="V35" s="8">
        <v>25.0</v>
      </c>
      <c r="W35" s="7" t="str">
        <f t="shared" si="8"/>
        <v>1</v>
      </c>
      <c r="X35" s="7" t="str">
        <f t="shared" si="11"/>
        <v>00000010101101110101100001000111</v>
      </c>
    </row>
    <row r="36">
      <c r="A36" s="1">
        <v>2.0</v>
      </c>
      <c r="B36" s="3" t="str">
        <f t="shared" si="25"/>
        <v>01110001</v>
      </c>
      <c r="C36" s="3" t="str">
        <f t="shared" si="26"/>
        <v>71</v>
      </c>
      <c r="D36" s="3">
        <f t="shared" si="27"/>
        <v>113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111111001010010100001010010100001</v>
      </c>
    </row>
    <row r="37">
      <c r="A37" s="1">
        <v>3.0</v>
      </c>
      <c r="B37" s="3" t="str">
        <f t="shared" si="25"/>
        <v>11110101</v>
      </c>
      <c r="C37" s="3" t="str">
        <f t="shared" si="26"/>
        <v>F5</v>
      </c>
      <c r="D37" s="3">
        <f t="shared" si="27"/>
        <v>245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1</v>
      </c>
      <c r="T37" s="7" t="str">
        <f t="shared" si="22"/>
        <v>11111001010010100001010010100001</v>
      </c>
    </row>
    <row r="38">
      <c r="A38" s="1">
        <v>4.0</v>
      </c>
      <c r="B38" s="3" t="str">
        <f t="shared" si="25"/>
        <v>01000101</v>
      </c>
      <c r="C38" s="3" t="str">
        <f t="shared" si="26"/>
        <v>45</v>
      </c>
      <c r="D38" s="3">
        <f t="shared" si="27"/>
        <v>69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1111001010010100001010010100001</v>
      </c>
      <c r="U38" s="11" t="s">
        <v>27</v>
      </c>
      <c r="V38" s="12" t="str">
        <f>X35</f>
        <v>00000010101101110101100001000111</v>
      </c>
      <c r="W38" s="12"/>
      <c r="X38" s="12"/>
    </row>
    <row r="39">
      <c r="A39" s="1">
        <v>5.0</v>
      </c>
      <c r="B39" s="3" t="str">
        <f t="shared" si="25"/>
        <v>01011100</v>
      </c>
      <c r="C39" s="3" t="str">
        <f t="shared" si="26"/>
        <v>5C</v>
      </c>
      <c r="D39" s="3">
        <f t="shared" si="27"/>
        <v>92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1</v>
      </c>
      <c r="T39" s="7" t="str">
        <f t="shared" si="22"/>
        <v>111001010010100001010010100001</v>
      </c>
    </row>
    <row r="40">
      <c r="A40" s="1">
        <v>6.0</v>
      </c>
      <c r="B40" s="3" t="str">
        <f t="shared" si="25"/>
        <v>11010101</v>
      </c>
      <c r="C40" s="3" t="str">
        <f t="shared" si="26"/>
        <v>D5</v>
      </c>
      <c r="D40" s="3">
        <f t="shared" si="27"/>
        <v>213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11001010010100001010010100001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1001010010100001010010100001</v>
      </c>
      <c r="U41" s="6" t="s">
        <v>29</v>
      </c>
      <c r="V41" s="7" t="str">
        <f>N20</f>
        <v>11001110110111000011110101011111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010011111100001111111001010010100001010010100001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001010010100001010010100001</v>
      </c>
    </row>
    <row r="43">
      <c r="A43" s="1">
        <v>1.0</v>
      </c>
      <c r="B43" s="3" t="str">
        <f t="shared" ref="B43:B48" si="28">MID($T$21,(A43-1)*8+1,8)</f>
        <v>01001111</v>
      </c>
      <c r="C43" s="3" t="str">
        <f t="shared" ref="C43:C48" si="29">BIN2HEX(B43,2)</f>
        <v>4F</v>
      </c>
      <c r="D43" s="3">
        <f t="shared" ref="D43:D48" si="30">BIN2DEC(B43)</f>
        <v>79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01010010100001010010100001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11000011</v>
      </c>
      <c r="C44" s="3" t="str">
        <f t="shared" si="29"/>
        <v>C3</v>
      </c>
      <c r="D44" s="3">
        <f t="shared" si="30"/>
        <v>195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1010010100001010010100001</v>
      </c>
      <c r="U44" s="1">
        <v>1.0</v>
      </c>
      <c r="V44" s="3" t="str">
        <f t="shared" ref="V44:V47" si="31">MID($V$38,(U44-1)*8+1,8)</f>
        <v>00000010</v>
      </c>
      <c r="W44" s="3" t="str">
        <f t="shared" ref="W44:W47" si="32">BIN2HEX(V44,2)</f>
        <v>02</v>
      </c>
      <c r="X44" s="3">
        <f t="shared" ref="X44:X47" si="33">HEX2DEC(W44)</f>
        <v>2</v>
      </c>
    </row>
    <row r="45">
      <c r="A45" s="1">
        <v>3.0</v>
      </c>
      <c r="B45" s="3" t="str">
        <f t="shared" si="28"/>
        <v>11111001</v>
      </c>
      <c r="C45" s="3" t="str">
        <f t="shared" si="29"/>
        <v>F9</v>
      </c>
      <c r="D45" s="3">
        <f t="shared" si="30"/>
        <v>249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010010100001010010100001</v>
      </c>
      <c r="U45" s="1">
        <v>2.0</v>
      </c>
      <c r="V45" s="3" t="str">
        <f t="shared" si="31"/>
        <v>10110111</v>
      </c>
      <c r="W45" s="3" t="str">
        <f t="shared" si="32"/>
        <v>B7</v>
      </c>
      <c r="X45" s="3">
        <f t="shared" si="33"/>
        <v>183</v>
      </c>
    </row>
    <row r="46">
      <c r="A46" s="1">
        <v>4.0</v>
      </c>
      <c r="B46" s="3" t="str">
        <f t="shared" si="28"/>
        <v>01001010</v>
      </c>
      <c r="C46" s="3" t="str">
        <f t="shared" si="29"/>
        <v>4A</v>
      </c>
      <c r="D46" s="3">
        <f t="shared" si="30"/>
        <v>74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10010100001010010100001</v>
      </c>
      <c r="U46" s="1">
        <v>3.0</v>
      </c>
      <c r="V46" s="3" t="str">
        <f t="shared" si="31"/>
        <v>01011000</v>
      </c>
      <c r="W46" s="3" t="str">
        <f t="shared" si="32"/>
        <v>58</v>
      </c>
      <c r="X46" s="3">
        <f t="shared" si="33"/>
        <v>88</v>
      </c>
    </row>
    <row r="47">
      <c r="A47" s="1">
        <v>5.0</v>
      </c>
      <c r="B47" s="3" t="str">
        <f t="shared" si="28"/>
        <v>00010100</v>
      </c>
      <c r="C47" s="3" t="str">
        <f t="shared" si="29"/>
        <v>14</v>
      </c>
      <c r="D47" s="3">
        <f t="shared" si="30"/>
        <v>20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0</v>
      </c>
      <c r="T47" s="7" t="str">
        <f t="shared" si="22"/>
        <v>0010100001010010100001</v>
      </c>
      <c r="U47" s="1">
        <v>4.0</v>
      </c>
      <c r="V47" s="3" t="str">
        <f t="shared" si="31"/>
        <v>01000111</v>
      </c>
      <c r="W47" s="3" t="str">
        <f t="shared" si="32"/>
        <v>47</v>
      </c>
      <c r="X47" s="3">
        <f t="shared" si="33"/>
        <v>71</v>
      </c>
    </row>
    <row r="48">
      <c r="A48" s="1">
        <v>6.0</v>
      </c>
      <c r="B48" s="3" t="str">
        <f t="shared" si="28"/>
        <v>10100001</v>
      </c>
      <c r="C48" s="3" t="str">
        <f t="shared" si="29"/>
        <v>A1</v>
      </c>
      <c r="D48" s="3">
        <f t="shared" si="30"/>
        <v>161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010100001010010100001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10100001010010100001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0100001010010100001</v>
      </c>
    </row>
    <row r="51">
      <c r="A51" s="6">
        <v>1.0</v>
      </c>
      <c r="B51" s="7">
        <f t="shared" ref="B51:B56" si="34">BITXOR(D35,D43)</f>
        <v>62</v>
      </c>
      <c r="C51" s="7" t="str">
        <f t="shared" ref="C51:C56" si="35">DEC2BIN(B51,8)</f>
        <v>00111110</v>
      </c>
      <c r="D51" s="7" t="str">
        <f t="shared" ref="D51:D56" si="36">DEC2HEX(B51,2)</f>
        <v>3E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100001010010100001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178</v>
      </c>
      <c r="C52" s="7" t="str">
        <f t="shared" si="35"/>
        <v>10110010</v>
      </c>
      <c r="D52" s="7" t="str">
        <f t="shared" si="36"/>
        <v>B2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00001010010100001</v>
      </c>
      <c r="U52" s="1">
        <v>1.0</v>
      </c>
      <c r="V52" s="3" t="str">
        <f t="shared" ref="V52:V55" si="37">MID($V$41,(U52-1)*8+1,8)</f>
        <v>11001110</v>
      </c>
      <c r="W52" s="3" t="str">
        <f t="shared" ref="W52:W55" si="38">BIN2HEX(V52,2)</f>
        <v>CE</v>
      </c>
      <c r="X52" s="3">
        <f t="shared" ref="X52:X55" si="39">HEX2DEC(W52)</f>
        <v>206</v>
      </c>
    </row>
    <row r="53">
      <c r="A53" s="6">
        <v>3.0</v>
      </c>
      <c r="B53" s="7">
        <f t="shared" si="34"/>
        <v>12</v>
      </c>
      <c r="C53" s="7" t="str">
        <f t="shared" si="35"/>
        <v>00001100</v>
      </c>
      <c r="D53" s="7" t="str">
        <f t="shared" si="36"/>
        <v>0C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0001010010100001</v>
      </c>
      <c r="U53" s="1">
        <v>2.0</v>
      </c>
      <c r="V53" s="3" t="str">
        <f t="shared" si="37"/>
        <v>11011100</v>
      </c>
      <c r="W53" s="3" t="str">
        <f t="shared" si="38"/>
        <v>DC</v>
      </c>
      <c r="X53" s="3">
        <f t="shared" si="39"/>
        <v>220</v>
      </c>
    </row>
    <row r="54">
      <c r="A54" s="6">
        <v>4.0</v>
      </c>
      <c r="B54" s="7">
        <f t="shared" si="34"/>
        <v>15</v>
      </c>
      <c r="C54" s="7" t="str">
        <f t="shared" si="35"/>
        <v>00001111</v>
      </c>
      <c r="D54" s="7" t="str">
        <f t="shared" si="36"/>
        <v>0F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001010010100001</v>
      </c>
      <c r="U54" s="1">
        <v>3.0</v>
      </c>
      <c r="V54" s="3" t="str">
        <f t="shared" si="37"/>
        <v>00111101</v>
      </c>
      <c r="W54" s="3" t="str">
        <f t="shared" si="38"/>
        <v>3D</v>
      </c>
      <c r="X54" s="3">
        <f t="shared" si="39"/>
        <v>61</v>
      </c>
    </row>
    <row r="55">
      <c r="A55" s="6">
        <v>5.0</v>
      </c>
      <c r="B55" s="7">
        <f t="shared" si="34"/>
        <v>72</v>
      </c>
      <c r="C55" s="7" t="str">
        <f t="shared" si="35"/>
        <v>01001000</v>
      </c>
      <c r="D55" s="7" t="str">
        <f t="shared" si="36"/>
        <v>48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01010010100001</v>
      </c>
      <c r="U55" s="1">
        <v>4.0</v>
      </c>
      <c r="V55" s="3" t="str">
        <f t="shared" si="37"/>
        <v>01011111</v>
      </c>
      <c r="W55" s="3" t="str">
        <f t="shared" si="38"/>
        <v>5F</v>
      </c>
      <c r="X55" s="3">
        <f t="shared" si="39"/>
        <v>95</v>
      </c>
    </row>
    <row r="56">
      <c r="A56" s="6">
        <v>6.0</v>
      </c>
      <c r="B56" s="7">
        <f t="shared" si="34"/>
        <v>116</v>
      </c>
      <c r="C56" s="7" t="str">
        <f t="shared" si="35"/>
        <v>01110100</v>
      </c>
      <c r="D56" s="7" t="str">
        <f t="shared" si="36"/>
        <v>74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1</v>
      </c>
      <c r="T56" s="7" t="str">
        <f t="shared" si="22"/>
        <v>1010010100001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010010100001</v>
      </c>
      <c r="U57" s="9" t="s">
        <v>106</v>
      </c>
      <c r="V57" s="10" t="str">
        <f>Y62</f>
        <v>11001100011010110110010100011000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1</v>
      </c>
      <c r="T58" s="7" t="str">
        <f t="shared" si="22"/>
        <v>10010100001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001111101011001000001100000011110100100001110100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0010100001</v>
      </c>
      <c r="U59" s="6">
        <v>1.0</v>
      </c>
      <c r="V59" s="7">
        <f t="shared" ref="V59:V62" si="40">BITXOR(X44,X52)</f>
        <v>204</v>
      </c>
      <c r="W59" s="7" t="str">
        <f t="shared" ref="W59:W62" si="41">DEC2HEX(V59)</f>
        <v>CC</v>
      </c>
      <c r="X59" s="7" t="str">
        <f t="shared" ref="X59:X62" si="42">HEX2BIN(W59,8)</f>
        <v>11001100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010100001</v>
      </c>
      <c r="U60" s="6">
        <v>2.0</v>
      </c>
      <c r="V60" s="7">
        <f t="shared" si="40"/>
        <v>107</v>
      </c>
      <c r="W60" s="7" t="str">
        <f t="shared" si="41"/>
        <v>6B</v>
      </c>
      <c r="X60" s="7" t="str">
        <f t="shared" si="42"/>
        <v>01101011</v>
      </c>
      <c r="Y60" s="7" t="str">
        <f>X59&amp;X60</f>
        <v>1100110001101011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10100001</v>
      </c>
      <c r="U61" s="6">
        <v>3.0</v>
      </c>
      <c r="V61" s="7">
        <f t="shared" si="40"/>
        <v>101</v>
      </c>
      <c r="W61" s="7" t="str">
        <f t="shared" si="41"/>
        <v>65</v>
      </c>
      <c r="X61" s="7" t="str">
        <f t="shared" si="42"/>
        <v>01100101</v>
      </c>
      <c r="Y61" s="7" t="str">
        <f t="shared" ref="Y61:Y62" si="43">Y60&amp;X61</f>
        <v>110011000110101101100101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0</v>
      </c>
      <c r="T62" s="7" t="str">
        <f t="shared" si="22"/>
        <v>0100001</v>
      </c>
      <c r="U62" s="6">
        <v>4.0</v>
      </c>
      <c r="V62" s="7">
        <f t="shared" si="40"/>
        <v>24</v>
      </c>
      <c r="W62" s="7" t="str">
        <f t="shared" si="41"/>
        <v>18</v>
      </c>
      <c r="X62" s="7" t="str">
        <f t="shared" si="42"/>
        <v>00011000</v>
      </c>
      <c r="Y62" s="7" t="str">
        <f t="shared" si="43"/>
        <v>11001100011010110110010100011000</v>
      </c>
    </row>
    <row r="63">
      <c r="A63" s="6">
        <v>1.0</v>
      </c>
      <c r="B63" s="7" t="str">
        <f t="shared" ref="B63:B70" si="44">MID($B$59,(A63-1)*6+1,6)</f>
        <v>001111</v>
      </c>
      <c r="C63" s="7" t="str">
        <f t="shared" ref="C63:C70" si="45">LEFT(B63,1)&amp;RIGHT(B63,1)</f>
        <v>01</v>
      </c>
      <c r="D63" s="7" t="str">
        <f t="shared" ref="D63:D70" si="46">MID(B63,2,4)</f>
        <v>0111</v>
      </c>
      <c r="E63" s="7" t="str">
        <f t="shared" ref="E63:E70" si="47">C63&amp;D63</f>
        <v>010111</v>
      </c>
      <c r="F63" s="7">
        <f t="shared" ref="F63:F70" si="48">BIN2DEC(E63)</f>
        <v>23</v>
      </c>
      <c r="G63" s="7">
        <f>VLOOKUP(F63,$A$79:$I$142,2,TRUE)</f>
        <v>9</v>
      </c>
      <c r="H63" s="7" t="str">
        <f t="shared" ref="H63:H70" si="49">DEC2BIN(G63,4)</f>
        <v>1001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100001</v>
      </c>
    </row>
    <row r="64">
      <c r="A64" s="6">
        <v>2.0</v>
      </c>
      <c r="B64" s="7" t="str">
        <f t="shared" si="44"/>
        <v>101011</v>
      </c>
      <c r="C64" s="7" t="str">
        <f t="shared" si="45"/>
        <v>11</v>
      </c>
      <c r="D64" s="7" t="str">
        <f t="shared" si="46"/>
        <v>0101</v>
      </c>
      <c r="E64" s="7" t="str">
        <f t="shared" si="47"/>
        <v>110101</v>
      </c>
      <c r="F64" s="7">
        <f t="shared" si="48"/>
        <v>53</v>
      </c>
      <c r="G64" s="7">
        <f>VLOOKUP(F64,$A$79:$I$142,3,TRUE)</f>
        <v>1</v>
      </c>
      <c r="H64" s="7" t="str">
        <f t="shared" si="49"/>
        <v>0001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0</v>
      </c>
      <c r="T64" s="7" t="str">
        <f t="shared" si="22"/>
        <v>00001</v>
      </c>
    </row>
    <row r="65">
      <c r="A65" s="6">
        <v>3.0</v>
      </c>
      <c r="B65" s="7" t="str">
        <f t="shared" si="44"/>
        <v>001000</v>
      </c>
      <c r="C65" s="7" t="str">
        <f t="shared" si="45"/>
        <v>00</v>
      </c>
      <c r="D65" s="7" t="str">
        <f t="shared" si="46"/>
        <v>0100</v>
      </c>
      <c r="E65" s="7" t="str">
        <f t="shared" si="47"/>
        <v>000100</v>
      </c>
      <c r="F65" s="7">
        <f t="shared" si="48"/>
        <v>4</v>
      </c>
      <c r="G65" s="7">
        <f>VLOOKUP(F65,$A$79:$I$142,4,TRUE)</f>
        <v>6</v>
      </c>
      <c r="H65" s="7" t="str">
        <f t="shared" si="49"/>
        <v>0110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0001</v>
      </c>
    </row>
    <row r="66">
      <c r="A66" s="6">
        <v>4.0</v>
      </c>
      <c r="B66" s="7" t="str">
        <f t="shared" si="44"/>
        <v>001100</v>
      </c>
      <c r="C66" s="7" t="str">
        <f t="shared" si="45"/>
        <v>00</v>
      </c>
      <c r="D66" s="7" t="str">
        <f t="shared" si="46"/>
        <v>0110</v>
      </c>
      <c r="E66" s="7" t="str">
        <f t="shared" si="47"/>
        <v>000110</v>
      </c>
      <c r="F66" s="7">
        <f t="shared" si="48"/>
        <v>6</v>
      </c>
      <c r="G66" s="7">
        <f>VLOOKUP(F66,$A$79:$I$142,5,TRUE)</f>
        <v>12</v>
      </c>
      <c r="H66" s="7" t="str">
        <f t="shared" si="49"/>
        <v>1100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001</v>
      </c>
    </row>
    <row r="67">
      <c r="A67" s="6">
        <v>5.0</v>
      </c>
      <c r="B67" s="7" t="str">
        <f t="shared" si="44"/>
        <v>000011</v>
      </c>
      <c r="C67" s="7" t="str">
        <f t="shared" si="45"/>
        <v>01</v>
      </c>
      <c r="D67" s="7" t="str">
        <f t="shared" si="46"/>
        <v>0001</v>
      </c>
      <c r="E67" s="7" t="str">
        <f t="shared" si="47"/>
        <v>010001</v>
      </c>
      <c r="F67" s="7">
        <f t="shared" si="48"/>
        <v>17</v>
      </c>
      <c r="G67" s="7">
        <f>VLOOKUP(F67,$A$79:$I$142,6,TRUE)</f>
        <v>4</v>
      </c>
      <c r="H67" s="7" t="str">
        <f t="shared" si="49"/>
        <v>0100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01</v>
      </c>
    </row>
    <row r="68">
      <c r="A68" s="6">
        <v>6.0</v>
      </c>
      <c r="B68" s="7" t="str">
        <f t="shared" si="44"/>
        <v>110100</v>
      </c>
      <c r="C68" s="7" t="str">
        <f t="shared" si="45"/>
        <v>10</v>
      </c>
      <c r="D68" s="7" t="str">
        <f t="shared" si="46"/>
        <v>1010</v>
      </c>
      <c r="E68" s="7" t="str">
        <f t="shared" si="47"/>
        <v>101010</v>
      </c>
      <c r="F68" s="7">
        <f t="shared" si="48"/>
        <v>42</v>
      </c>
      <c r="G68" s="7">
        <f>VLOOKUP(F68,$A$79:$I$142,7,TRUE)</f>
        <v>2</v>
      </c>
      <c r="H68" s="7" t="str">
        <f t="shared" si="49"/>
        <v>0010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100001</v>
      </c>
      <c r="C69" s="7" t="str">
        <f t="shared" si="45"/>
        <v>11</v>
      </c>
      <c r="D69" s="7" t="str">
        <f t="shared" si="46"/>
        <v>0000</v>
      </c>
      <c r="E69" s="7" t="str">
        <f t="shared" si="47"/>
        <v>110000</v>
      </c>
      <c r="F69" s="7">
        <f t="shared" si="48"/>
        <v>48</v>
      </c>
      <c r="G69" s="7">
        <f>VLOOKUP(F69,$A$79:$I$142,8,TRUE)</f>
        <v>13</v>
      </c>
      <c r="H69" s="7" t="str">
        <f t="shared" si="49"/>
        <v>1101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110100</v>
      </c>
      <c r="C70" s="7" t="str">
        <f t="shared" si="45"/>
        <v>10</v>
      </c>
      <c r="D70" s="7" t="str">
        <f t="shared" si="46"/>
        <v>1010</v>
      </c>
      <c r="E70" s="7" t="str">
        <f t="shared" si="47"/>
        <v>101010</v>
      </c>
      <c r="F70" s="7">
        <f t="shared" si="48"/>
        <v>42</v>
      </c>
      <c r="G70" s="7">
        <f>VLOOKUP(F70,$A$79:$I$142,9,TRUE)</f>
        <v>3</v>
      </c>
      <c r="H70" s="7" t="str">
        <f t="shared" si="49"/>
        <v>0011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107</v>
      </c>
      <c r="Q1" s="6" t="s">
        <v>14</v>
      </c>
      <c r="R1" s="6" t="s">
        <v>4</v>
      </c>
      <c r="U1" s="6" t="s">
        <v>15</v>
      </c>
      <c r="V1" s="7" t="str">
        <f>S9</f>
        <v>01011000110001001111010101000100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5</v>
      </c>
      <c r="R2" s="7" t="str">
        <f t="shared" si="1"/>
        <v>0101</v>
      </c>
    </row>
    <row r="3">
      <c r="A3" s="1">
        <v>1.0</v>
      </c>
      <c r="B3" s="3" t="str">
        <f t="shared" ref="B3:B8" si="3">MID($B$1,(A3-1)*8+1,8)</f>
        <v>10010101</v>
      </c>
      <c r="C3" s="3" t="str">
        <f t="shared" ref="C3:C8" si="4">BIN2HEX(B3,2)</f>
        <v>95</v>
      </c>
      <c r="Q3" s="7">
        <f t="shared" ref="Q3:R3" si="2">G64</f>
        <v>8</v>
      </c>
      <c r="R3" s="7" t="str">
        <f t="shared" si="2"/>
        <v>1000</v>
      </c>
      <c r="S3" s="7" t="str">
        <f>R2&amp;R3</f>
        <v>01011000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11000101</v>
      </c>
      <c r="C4" s="3" t="str">
        <f t="shared" si="4"/>
        <v>C5</v>
      </c>
      <c r="Q4" s="7">
        <f t="shared" ref="Q4:R4" si="5">G65</f>
        <v>12</v>
      </c>
      <c r="R4" s="7" t="str">
        <f t="shared" si="5"/>
        <v>1100</v>
      </c>
      <c r="S4" s="7" t="str">
        <f t="shared" ref="S4:S9" si="7">S3&amp;R4</f>
        <v>010110001100</v>
      </c>
      <c r="U4" s="8">
        <v>1.0</v>
      </c>
      <c r="V4" s="8">
        <v>16.0</v>
      </c>
      <c r="W4" s="7" t="str">
        <f t="shared" ref="W4:W35" si="8">MID($V$1,V4,1)</f>
        <v>0</v>
      </c>
    </row>
    <row r="5">
      <c r="A5" s="1">
        <v>3.0</v>
      </c>
      <c r="B5" s="3" t="str">
        <f t="shared" si="3"/>
        <v>11010001</v>
      </c>
      <c r="C5" s="3" t="str">
        <f t="shared" si="4"/>
        <v>D1</v>
      </c>
      <c r="Q5" s="7">
        <f t="shared" ref="Q5:R5" si="6">G66</f>
        <v>4</v>
      </c>
      <c r="R5" s="7" t="str">
        <f t="shared" si="6"/>
        <v>0100</v>
      </c>
      <c r="S5" s="7" t="str">
        <f t="shared" si="7"/>
        <v>0101100011000100</v>
      </c>
      <c r="U5" s="8">
        <v>2.0</v>
      </c>
      <c r="V5" s="8">
        <v>7.0</v>
      </c>
      <c r="W5" s="7" t="str">
        <f t="shared" si="8"/>
        <v>0</v>
      </c>
      <c r="X5" s="7" t="str">
        <f>W4&amp;W5</f>
        <v>00</v>
      </c>
    </row>
    <row r="6">
      <c r="A6" s="1">
        <v>4.0</v>
      </c>
      <c r="B6" s="3" t="str">
        <f t="shared" si="3"/>
        <v>01001011</v>
      </c>
      <c r="C6" s="3" t="str">
        <f t="shared" si="4"/>
        <v>4B</v>
      </c>
      <c r="Q6" s="7">
        <f t="shared" ref="Q6:R6" si="9">G67</f>
        <v>15</v>
      </c>
      <c r="R6" s="7" t="str">
        <f t="shared" si="9"/>
        <v>1111</v>
      </c>
      <c r="S6" s="7" t="str">
        <f t="shared" si="7"/>
        <v>01011000110001001111</v>
      </c>
      <c r="U6" s="8">
        <v>3.0</v>
      </c>
      <c r="V6" s="8">
        <v>20.0</v>
      </c>
      <c r="W6" s="7" t="str">
        <f t="shared" si="8"/>
        <v>1</v>
      </c>
      <c r="X6" s="7" t="str">
        <f t="shared" ref="X6:X35" si="11">X5&amp;W6</f>
        <v>001</v>
      </c>
    </row>
    <row r="7">
      <c r="A7" s="1">
        <v>5.0</v>
      </c>
      <c r="B7" s="3" t="str">
        <f t="shared" si="3"/>
        <v>10000000</v>
      </c>
      <c r="C7" s="3" t="str">
        <f t="shared" si="4"/>
        <v>80</v>
      </c>
      <c r="Q7" s="7">
        <f t="shared" ref="Q7:R7" si="10">G68</f>
        <v>5</v>
      </c>
      <c r="R7" s="7" t="str">
        <f t="shared" si="10"/>
        <v>0101</v>
      </c>
      <c r="S7" s="7" t="str">
        <f t="shared" si="7"/>
        <v>010110001100010011110101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0010</v>
      </c>
    </row>
    <row r="8">
      <c r="A8" s="1">
        <v>6.0</v>
      </c>
      <c r="B8" s="3" t="str">
        <f t="shared" si="3"/>
        <v>11111101</v>
      </c>
      <c r="C8" s="3" t="str">
        <f t="shared" si="4"/>
        <v>FD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4</v>
      </c>
      <c r="R8" s="7" t="str">
        <f t="shared" si="12"/>
        <v>0100</v>
      </c>
      <c r="S8" s="7" t="str">
        <f t="shared" si="7"/>
        <v>0101100011000100111101010100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00100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4</v>
      </c>
      <c r="R9" s="7" t="str">
        <f t="shared" si="13"/>
        <v>0100</v>
      </c>
      <c r="S9" s="7" t="str">
        <f t="shared" si="7"/>
        <v>01011000110001001111010101000100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001000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0010000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00100001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001000010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0010000100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00100001000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1</v>
      </c>
      <c r="X15" s="7" t="str">
        <f t="shared" si="11"/>
        <v>001000010001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0010000100011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00100001000111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001000010001110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0010000100011101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108</v>
      </c>
      <c r="N20" s="10" t="s">
        <v>105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00100001000111011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109</v>
      </c>
      <c r="N21" s="7" t="s">
        <v>110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011001011000001101010110101100001010100011110001</v>
      </c>
      <c r="U21" s="8">
        <v>18.0</v>
      </c>
      <c r="V21" s="8">
        <v>8.0</v>
      </c>
      <c r="W21" s="7" t="str">
        <f t="shared" si="8"/>
        <v>0</v>
      </c>
      <c r="X21" s="7" t="str">
        <f t="shared" si="11"/>
        <v>001000010001110110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11001011000001101010110101100001010100011110001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0010000100011101101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1001011000001101010110101100001010100011110001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00100001000111011011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01100101</v>
      </c>
      <c r="O24" s="3" t="str">
        <f t="shared" ref="O24:O31" si="24">BIN2HEX(N24,2)</f>
        <v>65</v>
      </c>
      <c r="Q24" s="8">
        <v>4.0</v>
      </c>
      <c r="R24" s="8">
        <v>3.0</v>
      </c>
      <c r="S24" s="7" t="str">
        <f t="shared" si="21"/>
        <v>0</v>
      </c>
      <c r="T24" s="7" t="str">
        <f t="shared" si="22"/>
        <v>001011000001101010110101100001010100011110001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001000010001110110110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10000011</v>
      </c>
      <c r="O25" s="3" t="str">
        <f t="shared" si="24"/>
        <v>83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01011000001101010110101100001010100011110001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0010000100011101101100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01010110</v>
      </c>
      <c r="O26" s="3" t="str">
        <f t="shared" si="24"/>
        <v>56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1011000001101010110101100001010100011110001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00100001000111011011000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10110000</v>
      </c>
      <c r="O27" s="3" t="str">
        <f t="shared" si="24"/>
        <v>B0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011000001101010110101100001010100011110001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001000010001110110110001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10101000</v>
      </c>
      <c r="O28" s="3" t="str">
        <f t="shared" si="24"/>
        <v>A8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11000001101010110101100001010100011110001</v>
      </c>
      <c r="U28" s="8">
        <v>25.0</v>
      </c>
      <c r="V28" s="8">
        <v>19.0</v>
      </c>
      <c r="W28" s="7" t="str">
        <f t="shared" si="8"/>
        <v>1</v>
      </c>
      <c r="X28" s="7" t="str">
        <f t="shared" si="11"/>
        <v>0010000100011101101100011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11110001</v>
      </c>
      <c r="O29" s="3" t="str">
        <f t="shared" si="24"/>
        <v>F1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1000001101010110101100001010100011110001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00100001000111011011000110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0</v>
      </c>
      <c r="T30" s="7" t="str">
        <f t="shared" si="22"/>
        <v>000001101010110101100001010100011110001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001000010001110110110001101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00001101010110101100001010100011110001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0010000100011101101100011010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0001101010110101100001010100011110001</v>
      </c>
      <c r="U32" s="8">
        <v>29.0</v>
      </c>
      <c r="V32" s="8">
        <v>22.0</v>
      </c>
      <c r="W32" s="7" t="str">
        <f t="shared" si="8"/>
        <v>1</v>
      </c>
      <c r="X32" s="7" t="str">
        <f t="shared" si="11"/>
        <v>00100001000111011011000110101</v>
      </c>
    </row>
    <row r="33">
      <c r="A33" s="6" t="s">
        <v>12</v>
      </c>
      <c r="B33" s="7" t="str">
        <f>B1</f>
        <v>100101011100010111010001010010111000000011111101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001101010110101100001010100011110001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001000010001110110110001101010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01101010110101100001010100011110001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0010000100011101101100011010101</v>
      </c>
    </row>
    <row r="35">
      <c r="A35" s="1">
        <v>1.0</v>
      </c>
      <c r="B35" s="3" t="str">
        <f t="shared" ref="B35:B40" si="25">MID($B$1,(A35-1)*8+1,8)</f>
        <v>10010101</v>
      </c>
      <c r="C35" s="3" t="str">
        <f t="shared" ref="C35:C40" si="26">BIN2HEX(B35,2)</f>
        <v>95</v>
      </c>
      <c r="D35" s="3">
        <f t="shared" ref="D35:D40" si="27">BIN2DEC(B35)</f>
        <v>149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1101010110101100001010100011110001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00100001000111011011000110101010</v>
      </c>
    </row>
    <row r="36">
      <c r="A36" s="1">
        <v>2.0</v>
      </c>
      <c r="B36" s="3" t="str">
        <f t="shared" si="25"/>
        <v>11000101</v>
      </c>
      <c r="C36" s="3" t="str">
        <f t="shared" si="26"/>
        <v>C5</v>
      </c>
      <c r="D36" s="3">
        <f t="shared" si="27"/>
        <v>197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101010110101100001010100011110001</v>
      </c>
    </row>
    <row r="37">
      <c r="A37" s="1">
        <v>3.0</v>
      </c>
      <c r="B37" s="3" t="str">
        <f t="shared" si="25"/>
        <v>11010001</v>
      </c>
      <c r="C37" s="3" t="str">
        <f t="shared" si="26"/>
        <v>D1</v>
      </c>
      <c r="D37" s="3">
        <f t="shared" si="27"/>
        <v>209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01010110101100001010100011110001</v>
      </c>
    </row>
    <row r="38">
      <c r="A38" s="1">
        <v>4.0</v>
      </c>
      <c r="B38" s="3" t="str">
        <f t="shared" si="25"/>
        <v>01001011</v>
      </c>
      <c r="C38" s="3" t="str">
        <f t="shared" si="26"/>
        <v>4B</v>
      </c>
      <c r="D38" s="3">
        <f t="shared" si="27"/>
        <v>75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1010110101100001010100011110001</v>
      </c>
      <c r="U38" s="11" t="s">
        <v>27</v>
      </c>
      <c r="V38" s="12" t="str">
        <f>X35</f>
        <v>00100001000111011011000110101010</v>
      </c>
      <c r="W38" s="12"/>
      <c r="X38" s="12"/>
    </row>
    <row r="39">
      <c r="A39" s="1">
        <v>5.0</v>
      </c>
      <c r="B39" s="3" t="str">
        <f t="shared" si="25"/>
        <v>10000000</v>
      </c>
      <c r="C39" s="3" t="str">
        <f t="shared" si="26"/>
        <v>80</v>
      </c>
      <c r="D39" s="3">
        <f t="shared" si="27"/>
        <v>128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010110101100001010100011110001</v>
      </c>
    </row>
    <row r="40">
      <c r="A40" s="1">
        <v>6.0</v>
      </c>
      <c r="B40" s="3" t="str">
        <f t="shared" si="25"/>
        <v>11111101</v>
      </c>
      <c r="C40" s="3" t="str">
        <f t="shared" si="26"/>
        <v>FD</v>
      </c>
      <c r="D40" s="3">
        <f t="shared" si="27"/>
        <v>253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10110101100001010100011110001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0</v>
      </c>
      <c r="T41" s="7" t="str">
        <f t="shared" si="22"/>
        <v>0110101100001010100011110001</v>
      </c>
      <c r="U41" s="6" t="s">
        <v>29</v>
      </c>
      <c r="V41" s="7" t="str">
        <f>N20</f>
        <v>10011110011111001001000010010000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011001011000001101010110101100001010100011110001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1</v>
      </c>
      <c r="T42" s="7" t="str">
        <f t="shared" si="22"/>
        <v>110101100001010100011110001</v>
      </c>
    </row>
    <row r="43">
      <c r="A43" s="1">
        <v>1.0</v>
      </c>
      <c r="B43" s="3" t="str">
        <f t="shared" ref="B43:B48" si="28">MID($T$21,(A43-1)*8+1,8)</f>
        <v>01100101</v>
      </c>
      <c r="C43" s="3" t="str">
        <f t="shared" ref="C43:C48" si="29">BIN2HEX(B43,2)</f>
        <v>65</v>
      </c>
      <c r="D43" s="3">
        <f t="shared" ref="D43:D48" si="30">BIN2DEC(B43)</f>
        <v>101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10101100001010100011110001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10000011</v>
      </c>
      <c r="C44" s="3" t="str">
        <f t="shared" si="29"/>
        <v>83</v>
      </c>
      <c r="D44" s="3">
        <f t="shared" si="30"/>
        <v>131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0101100001010100011110001</v>
      </c>
      <c r="U44" s="1">
        <v>1.0</v>
      </c>
      <c r="V44" s="3" t="str">
        <f t="shared" ref="V44:V47" si="31">MID($V$38,(U44-1)*8+1,8)</f>
        <v>00100001</v>
      </c>
      <c r="W44" s="3" t="str">
        <f t="shared" ref="W44:W47" si="32">BIN2HEX(V44,2)</f>
        <v>21</v>
      </c>
      <c r="X44" s="3">
        <f t="shared" ref="X44:X47" si="33">HEX2DEC(W44)</f>
        <v>33</v>
      </c>
    </row>
    <row r="45">
      <c r="A45" s="1">
        <v>3.0</v>
      </c>
      <c r="B45" s="3" t="str">
        <f t="shared" si="28"/>
        <v>01010110</v>
      </c>
      <c r="C45" s="3" t="str">
        <f t="shared" si="29"/>
        <v>56</v>
      </c>
      <c r="D45" s="3">
        <f t="shared" si="30"/>
        <v>86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101100001010100011110001</v>
      </c>
      <c r="U45" s="1">
        <v>2.0</v>
      </c>
      <c r="V45" s="3" t="str">
        <f t="shared" si="31"/>
        <v>00011101</v>
      </c>
      <c r="W45" s="3" t="str">
        <f t="shared" si="32"/>
        <v>1D</v>
      </c>
      <c r="X45" s="3">
        <f t="shared" si="33"/>
        <v>29</v>
      </c>
    </row>
    <row r="46">
      <c r="A46" s="1">
        <v>4.0</v>
      </c>
      <c r="B46" s="3" t="str">
        <f t="shared" si="28"/>
        <v>10110000</v>
      </c>
      <c r="C46" s="3" t="str">
        <f t="shared" si="29"/>
        <v>B0</v>
      </c>
      <c r="D46" s="3">
        <f t="shared" si="30"/>
        <v>176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01100001010100011110001</v>
      </c>
      <c r="U46" s="1">
        <v>3.0</v>
      </c>
      <c r="V46" s="3" t="str">
        <f t="shared" si="31"/>
        <v>10110001</v>
      </c>
      <c r="W46" s="3" t="str">
        <f t="shared" si="32"/>
        <v>B1</v>
      </c>
      <c r="X46" s="3">
        <f t="shared" si="33"/>
        <v>177</v>
      </c>
    </row>
    <row r="47">
      <c r="A47" s="1">
        <v>5.0</v>
      </c>
      <c r="B47" s="3" t="str">
        <f t="shared" si="28"/>
        <v>10101000</v>
      </c>
      <c r="C47" s="3" t="str">
        <f t="shared" si="29"/>
        <v>A8</v>
      </c>
      <c r="D47" s="3">
        <f t="shared" si="30"/>
        <v>168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1100001010100011110001</v>
      </c>
      <c r="U47" s="1">
        <v>4.0</v>
      </c>
      <c r="V47" s="3" t="str">
        <f t="shared" si="31"/>
        <v>10101010</v>
      </c>
      <c r="W47" s="3" t="str">
        <f t="shared" si="32"/>
        <v>AA</v>
      </c>
      <c r="X47" s="3">
        <f t="shared" si="33"/>
        <v>170</v>
      </c>
    </row>
    <row r="48">
      <c r="A48" s="1">
        <v>6.0</v>
      </c>
      <c r="B48" s="3" t="str">
        <f t="shared" si="28"/>
        <v>11110001</v>
      </c>
      <c r="C48" s="3" t="str">
        <f t="shared" si="29"/>
        <v>F1</v>
      </c>
      <c r="D48" s="3">
        <f t="shared" si="30"/>
        <v>241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100001010100011110001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00001010100011110001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0001010100011110001</v>
      </c>
    </row>
    <row r="51">
      <c r="A51" s="6">
        <v>1.0</v>
      </c>
      <c r="B51" s="7">
        <f t="shared" ref="B51:B56" si="34">BITXOR(D35,D43)</f>
        <v>240</v>
      </c>
      <c r="C51" s="7" t="str">
        <f t="shared" ref="C51:C56" si="35">DEC2BIN(B51,8)</f>
        <v>11110000</v>
      </c>
      <c r="D51" s="7" t="str">
        <f t="shared" ref="D51:D56" si="36">DEC2HEX(B51,2)</f>
        <v>F0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001010100011110001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70</v>
      </c>
      <c r="C52" s="7" t="str">
        <f t="shared" si="35"/>
        <v>01000110</v>
      </c>
      <c r="D52" s="7" t="str">
        <f t="shared" si="36"/>
        <v>46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01010100011110001</v>
      </c>
      <c r="U52" s="1">
        <v>1.0</v>
      </c>
      <c r="V52" s="3" t="str">
        <f t="shared" ref="V52:V55" si="37">MID($V$41,(U52-1)*8+1,8)</f>
        <v>10011110</v>
      </c>
      <c r="W52" s="3" t="str">
        <f t="shared" ref="W52:W55" si="38">BIN2HEX(V52,2)</f>
        <v>9E</v>
      </c>
      <c r="X52" s="3">
        <f t="shared" ref="X52:X55" si="39">HEX2DEC(W52)</f>
        <v>158</v>
      </c>
    </row>
    <row r="53">
      <c r="A53" s="6">
        <v>3.0</v>
      </c>
      <c r="B53" s="7">
        <f t="shared" si="34"/>
        <v>135</v>
      </c>
      <c r="C53" s="7" t="str">
        <f t="shared" si="35"/>
        <v>10000111</v>
      </c>
      <c r="D53" s="7" t="str">
        <f t="shared" si="36"/>
        <v>87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1</v>
      </c>
      <c r="T53" s="7" t="str">
        <f t="shared" si="22"/>
        <v>1010100011110001</v>
      </c>
      <c r="U53" s="1">
        <v>2.0</v>
      </c>
      <c r="V53" s="3" t="str">
        <f t="shared" si="37"/>
        <v>01111100</v>
      </c>
      <c r="W53" s="3" t="str">
        <f t="shared" si="38"/>
        <v>7C</v>
      </c>
      <c r="X53" s="3">
        <f t="shared" si="39"/>
        <v>124</v>
      </c>
    </row>
    <row r="54">
      <c r="A54" s="6">
        <v>4.0</v>
      </c>
      <c r="B54" s="7">
        <f t="shared" si="34"/>
        <v>251</v>
      </c>
      <c r="C54" s="7" t="str">
        <f t="shared" si="35"/>
        <v>11111011</v>
      </c>
      <c r="D54" s="7" t="str">
        <f t="shared" si="36"/>
        <v>FB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010100011110001</v>
      </c>
      <c r="U54" s="1">
        <v>3.0</v>
      </c>
      <c r="V54" s="3" t="str">
        <f t="shared" si="37"/>
        <v>10010000</v>
      </c>
      <c r="W54" s="3" t="str">
        <f t="shared" si="38"/>
        <v>90</v>
      </c>
      <c r="X54" s="3">
        <f t="shared" si="39"/>
        <v>144</v>
      </c>
    </row>
    <row r="55">
      <c r="A55" s="6">
        <v>5.0</v>
      </c>
      <c r="B55" s="7">
        <f t="shared" si="34"/>
        <v>40</v>
      </c>
      <c r="C55" s="7" t="str">
        <f t="shared" si="35"/>
        <v>00101000</v>
      </c>
      <c r="D55" s="7" t="str">
        <f t="shared" si="36"/>
        <v>28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10100011110001</v>
      </c>
      <c r="U55" s="1">
        <v>4.0</v>
      </c>
      <c r="V55" s="3" t="str">
        <f t="shared" si="37"/>
        <v>10010000</v>
      </c>
      <c r="W55" s="3" t="str">
        <f t="shared" si="38"/>
        <v>90</v>
      </c>
      <c r="X55" s="3">
        <f t="shared" si="39"/>
        <v>144</v>
      </c>
    </row>
    <row r="56">
      <c r="A56" s="6">
        <v>6.0</v>
      </c>
      <c r="B56" s="7">
        <f t="shared" si="34"/>
        <v>12</v>
      </c>
      <c r="C56" s="7" t="str">
        <f t="shared" si="35"/>
        <v>00001100</v>
      </c>
      <c r="D56" s="7" t="str">
        <f t="shared" si="36"/>
        <v>0C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0100011110001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100011110001</v>
      </c>
      <c r="U57" s="9" t="s">
        <v>111</v>
      </c>
      <c r="V57" s="10" t="str">
        <f>Y62</f>
        <v>10111111011000010010000100111010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00011110001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111100000100011010000111111110110010100000001100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0011110001</v>
      </c>
      <c r="U59" s="6">
        <v>1.0</v>
      </c>
      <c r="V59" s="7">
        <f t="shared" ref="V59:V62" si="40">BITXOR(X44,X52)</f>
        <v>191</v>
      </c>
      <c r="W59" s="7" t="str">
        <f t="shared" ref="W59:W62" si="41">DEC2HEX(V59)</f>
        <v>BF</v>
      </c>
      <c r="X59" s="7" t="str">
        <f t="shared" ref="X59:X62" si="42">HEX2BIN(W59,8)</f>
        <v>10111111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011110001</v>
      </c>
      <c r="U60" s="6">
        <v>2.0</v>
      </c>
      <c r="V60" s="7">
        <f t="shared" si="40"/>
        <v>97</v>
      </c>
      <c r="W60" s="7" t="str">
        <f t="shared" si="41"/>
        <v>61</v>
      </c>
      <c r="X60" s="7" t="str">
        <f t="shared" si="42"/>
        <v>01100001</v>
      </c>
      <c r="Y60" s="7" t="str">
        <f>X59&amp;X60</f>
        <v>1011111101100001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11110001</v>
      </c>
      <c r="U61" s="6">
        <v>3.0</v>
      </c>
      <c r="V61" s="7">
        <f t="shared" si="40"/>
        <v>33</v>
      </c>
      <c r="W61" s="7" t="str">
        <f t="shared" si="41"/>
        <v>21</v>
      </c>
      <c r="X61" s="7" t="str">
        <f t="shared" si="42"/>
        <v>00100001</v>
      </c>
      <c r="Y61" s="7" t="str">
        <f t="shared" ref="Y61:Y62" si="43">Y60&amp;X61</f>
        <v>101111110110000100100001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1110001</v>
      </c>
      <c r="U62" s="6">
        <v>4.0</v>
      </c>
      <c r="V62" s="7">
        <f t="shared" si="40"/>
        <v>58</v>
      </c>
      <c r="W62" s="7" t="str">
        <f t="shared" si="41"/>
        <v>3A</v>
      </c>
      <c r="X62" s="7" t="str">
        <f t="shared" si="42"/>
        <v>00111010</v>
      </c>
      <c r="Y62" s="7" t="str">
        <f t="shared" si="43"/>
        <v>10111111011000010010000100111010</v>
      </c>
    </row>
    <row r="63">
      <c r="A63" s="6">
        <v>1.0</v>
      </c>
      <c r="B63" s="7" t="str">
        <f t="shared" ref="B63:B70" si="44">MID($B$59,(A63-1)*6+1,6)</f>
        <v>111100</v>
      </c>
      <c r="C63" s="7" t="str">
        <f t="shared" ref="C63:C70" si="45">LEFT(B63,1)&amp;RIGHT(B63,1)</f>
        <v>10</v>
      </c>
      <c r="D63" s="7" t="str">
        <f t="shared" ref="D63:D70" si="46">MID(B63,2,4)</f>
        <v>1110</v>
      </c>
      <c r="E63" s="7" t="str">
        <f t="shared" ref="E63:E70" si="47">C63&amp;D63</f>
        <v>101110</v>
      </c>
      <c r="F63" s="7">
        <f t="shared" ref="F63:F70" si="48">BIN2DEC(E63)</f>
        <v>46</v>
      </c>
      <c r="G63" s="7">
        <f>VLOOKUP(F63,$A$79:$I$142,2,TRUE)</f>
        <v>5</v>
      </c>
      <c r="H63" s="7" t="str">
        <f t="shared" ref="H63:H70" si="49">DEC2BIN(G63,4)</f>
        <v>0101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110001</v>
      </c>
    </row>
    <row r="64">
      <c r="A64" s="6">
        <v>2.0</v>
      </c>
      <c r="B64" s="7" t="str">
        <f t="shared" si="44"/>
        <v>000100</v>
      </c>
      <c r="C64" s="7" t="str">
        <f t="shared" si="45"/>
        <v>00</v>
      </c>
      <c r="D64" s="7" t="str">
        <f t="shared" si="46"/>
        <v>0010</v>
      </c>
      <c r="E64" s="7" t="str">
        <f t="shared" si="47"/>
        <v>000010</v>
      </c>
      <c r="F64" s="7">
        <f t="shared" si="48"/>
        <v>2</v>
      </c>
      <c r="G64" s="7">
        <f>VLOOKUP(F64,$A$79:$I$142,3,TRUE)</f>
        <v>8</v>
      </c>
      <c r="H64" s="7" t="str">
        <f t="shared" si="49"/>
        <v>1000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10001</v>
      </c>
    </row>
    <row r="65">
      <c r="A65" s="6">
        <v>3.0</v>
      </c>
      <c r="B65" s="7" t="str">
        <f t="shared" si="44"/>
        <v>011010</v>
      </c>
      <c r="C65" s="7" t="str">
        <f t="shared" si="45"/>
        <v>00</v>
      </c>
      <c r="D65" s="7" t="str">
        <f t="shared" si="46"/>
        <v>1101</v>
      </c>
      <c r="E65" s="7" t="str">
        <f t="shared" si="47"/>
        <v>001101</v>
      </c>
      <c r="F65" s="7">
        <f t="shared" si="48"/>
        <v>13</v>
      </c>
      <c r="G65" s="7">
        <f>VLOOKUP(F65,$A$79:$I$142,4,TRUE)</f>
        <v>12</v>
      </c>
      <c r="H65" s="7" t="str">
        <f t="shared" si="49"/>
        <v>1100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0001</v>
      </c>
    </row>
    <row r="66">
      <c r="A66" s="6">
        <v>4.0</v>
      </c>
      <c r="B66" s="7" t="str">
        <f t="shared" si="44"/>
        <v>000111</v>
      </c>
      <c r="C66" s="7" t="str">
        <f t="shared" si="45"/>
        <v>01</v>
      </c>
      <c r="D66" s="7" t="str">
        <f t="shared" si="46"/>
        <v>0011</v>
      </c>
      <c r="E66" s="7" t="str">
        <f t="shared" si="47"/>
        <v>010011</v>
      </c>
      <c r="F66" s="7">
        <f t="shared" si="48"/>
        <v>19</v>
      </c>
      <c r="G66" s="7">
        <f>VLOOKUP(F66,$A$79:$I$142,5,TRUE)</f>
        <v>4</v>
      </c>
      <c r="H66" s="7" t="str">
        <f t="shared" si="49"/>
        <v>0100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001</v>
      </c>
    </row>
    <row r="67">
      <c r="A67" s="6">
        <v>5.0</v>
      </c>
      <c r="B67" s="7" t="str">
        <f t="shared" si="44"/>
        <v>111110</v>
      </c>
      <c r="C67" s="7" t="str">
        <f t="shared" si="45"/>
        <v>10</v>
      </c>
      <c r="D67" s="7" t="str">
        <f t="shared" si="46"/>
        <v>1111</v>
      </c>
      <c r="E67" s="7" t="str">
        <f t="shared" si="47"/>
        <v>101111</v>
      </c>
      <c r="F67" s="7">
        <f t="shared" si="48"/>
        <v>47</v>
      </c>
      <c r="G67" s="7">
        <f>VLOOKUP(F67,$A$79:$I$142,6,TRUE)</f>
        <v>15</v>
      </c>
      <c r="H67" s="7" t="str">
        <f t="shared" si="49"/>
        <v>1111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01</v>
      </c>
    </row>
    <row r="68">
      <c r="A68" s="6">
        <v>6.0</v>
      </c>
      <c r="B68" s="7" t="str">
        <f t="shared" si="44"/>
        <v>110010</v>
      </c>
      <c r="C68" s="7" t="str">
        <f t="shared" si="45"/>
        <v>10</v>
      </c>
      <c r="D68" s="7" t="str">
        <f t="shared" si="46"/>
        <v>1001</v>
      </c>
      <c r="E68" s="7" t="str">
        <f t="shared" si="47"/>
        <v>101001</v>
      </c>
      <c r="F68" s="7">
        <f t="shared" si="48"/>
        <v>41</v>
      </c>
      <c r="G68" s="7">
        <f>VLOOKUP(F68,$A$79:$I$142,7,TRUE)</f>
        <v>5</v>
      </c>
      <c r="H68" s="7" t="str">
        <f t="shared" si="49"/>
        <v>0101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100000</v>
      </c>
      <c r="C69" s="7" t="str">
        <f t="shared" si="45"/>
        <v>10</v>
      </c>
      <c r="D69" s="7" t="str">
        <f t="shared" si="46"/>
        <v>0000</v>
      </c>
      <c r="E69" s="7" t="str">
        <f t="shared" si="47"/>
        <v>100000</v>
      </c>
      <c r="F69" s="7">
        <f t="shared" si="48"/>
        <v>32</v>
      </c>
      <c r="G69" s="7">
        <f>VLOOKUP(F69,$A$79:$I$142,8,TRUE)</f>
        <v>4</v>
      </c>
      <c r="H69" s="7" t="str">
        <f t="shared" si="49"/>
        <v>0100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001100</v>
      </c>
      <c r="C70" s="7" t="str">
        <f t="shared" si="45"/>
        <v>00</v>
      </c>
      <c r="D70" s="7" t="str">
        <f t="shared" si="46"/>
        <v>0110</v>
      </c>
      <c r="E70" s="7" t="str">
        <f t="shared" si="47"/>
        <v>000110</v>
      </c>
      <c r="F70" s="7">
        <f t="shared" si="48"/>
        <v>6</v>
      </c>
      <c r="G70" s="7">
        <f>VLOOKUP(F70,$A$79:$I$142,9,TRUE)</f>
        <v>4</v>
      </c>
      <c r="H70" s="7" t="str">
        <f t="shared" si="49"/>
        <v>0100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112</v>
      </c>
      <c r="Q1" s="6" t="s">
        <v>14</v>
      </c>
      <c r="R1" s="6" t="s">
        <v>4</v>
      </c>
      <c r="U1" s="6" t="s">
        <v>15</v>
      </c>
      <c r="V1" s="7" t="str">
        <f>S9</f>
        <v>01000100010000010001100100110110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4</v>
      </c>
      <c r="R2" s="7" t="str">
        <f t="shared" si="1"/>
        <v>0100</v>
      </c>
    </row>
    <row r="3">
      <c r="A3" s="1">
        <v>1.0</v>
      </c>
      <c r="B3" s="3" t="str">
        <f t="shared" ref="B3:B8" si="3">MID($B$1,(A3-1)*8+1,8)</f>
        <v>01010111</v>
      </c>
      <c r="C3" s="3" t="str">
        <f t="shared" ref="C3:C8" si="4">BIN2HEX(B3,2)</f>
        <v>57</v>
      </c>
      <c r="Q3" s="7">
        <f t="shared" ref="Q3:R3" si="2">G64</f>
        <v>4</v>
      </c>
      <c r="R3" s="7" t="str">
        <f t="shared" si="2"/>
        <v>0100</v>
      </c>
      <c r="S3" s="7" t="str">
        <f>R2&amp;R3</f>
        <v>01000100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01000011</v>
      </c>
      <c r="C4" s="3" t="str">
        <f t="shared" si="4"/>
        <v>43</v>
      </c>
      <c r="Q4" s="7">
        <f t="shared" ref="Q4:R4" si="5">G65</f>
        <v>4</v>
      </c>
      <c r="R4" s="7" t="str">
        <f t="shared" si="5"/>
        <v>0100</v>
      </c>
      <c r="S4" s="7" t="str">
        <f t="shared" ref="S4:S9" si="7">S3&amp;R4</f>
        <v>010001000100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10110111</v>
      </c>
      <c r="C5" s="3" t="str">
        <f t="shared" si="4"/>
        <v>B7</v>
      </c>
      <c r="Q5" s="7">
        <f t="shared" ref="Q5:R5" si="6">G66</f>
        <v>1</v>
      </c>
      <c r="R5" s="7" t="str">
        <f t="shared" si="6"/>
        <v>0001</v>
      </c>
      <c r="S5" s="7" t="str">
        <f t="shared" si="7"/>
        <v>0100010001000001</v>
      </c>
      <c r="U5" s="8">
        <v>2.0</v>
      </c>
      <c r="V5" s="8">
        <v>7.0</v>
      </c>
      <c r="W5" s="7" t="str">
        <f t="shared" si="8"/>
        <v>0</v>
      </c>
      <c r="X5" s="7" t="str">
        <f>W4&amp;W5</f>
        <v>10</v>
      </c>
    </row>
    <row r="6">
      <c r="A6" s="1">
        <v>4.0</v>
      </c>
      <c r="B6" s="3" t="str">
        <f t="shared" si="3"/>
        <v>10000011</v>
      </c>
      <c r="C6" s="3" t="str">
        <f t="shared" si="4"/>
        <v>83</v>
      </c>
      <c r="Q6" s="7">
        <f t="shared" ref="Q6:R6" si="9">G67</f>
        <v>1</v>
      </c>
      <c r="R6" s="7" t="str">
        <f t="shared" si="9"/>
        <v>0001</v>
      </c>
      <c r="S6" s="7" t="str">
        <f t="shared" si="7"/>
        <v>01000100010000010001</v>
      </c>
      <c r="U6" s="8">
        <v>3.0</v>
      </c>
      <c r="V6" s="8">
        <v>20.0</v>
      </c>
      <c r="W6" s="7" t="str">
        <f t="shared" si="8"/>
        <v>1</v>
      </c>
      <c r="X6" s="7" t="str">
        <f t="shared" ref="X6:X35" si="11">X5&amp;W6</f>
        <v>101</v>
      </c>
    </row>
    <row r="7">
      <c r="A7" s="1">
        <v>5.0</v>
      </c>
      <c r="B7" s="3" t="str">
        <f t="shared" si="3"/>
        <v>11011101</v>
      </c>
      <c r="C7" s="3" t="str">
        <f t="shared" si="4"/>
        <v>DD</v>
      </c>
      <c r="Q7" s="7">
        <f t="shared" ref="Q7:R7" si="10">G68</f>
        <v>9</v>
      </c>
      <c r="R7" s="7" t="str">
        <f t="shared" si="10"/>
        <v>1001</v>
      </c>
      <c r="S7" s="7" t="str">
        <f t="shared" si="7"/>
        <v>010001000100000100011001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1011</v>
      </c>
    </row>
    <row r="8">
      <c r="A8" s="1">
        <v>6.0</v>
      </c>
      <c r="B8" s="3" t="str">
        <f t="shared" si="3"/>
        <v>10001101</v>
      </c>
      <c r="C8" s="3" t="str">
        <f t="shared" si="4"/>
        <v>8D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3</v>
      </c>
      <c r="R8" s="7" t="str">
        <f t="shared" si="12"/>
        <v>0011</v>
      </c>
      <c r="S8" s="7" t="str">
        <f t="shared" si="7"/>
        <v>0100010001000001000110010011</v>
      </c>
      <c r="U8" s="8">
        <v>5.0</v>
      </c>
      <c r="V8" s="8">
        <v>29.0</v>
      </c>
      <c r="W8" s="7" t="str">
        <f t="shared" si="8"/>
        <v>0</v>
      </c>
      <c r="X8" s="7" t="str">
        <f t="shared" si="11"/>
        <v>10110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6</v>
      </c>
      <c r="R9" s="7" t="str">
        <f t="shared" si="13"/>
        <v>0110</v>
      </c>
      <c r="S9" s="7" t="str">
        <f t="shared" si="7"/>
        <v>01000100010000010001100100110110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101100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1011001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10110010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101100100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1011001000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10110010000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101100100000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1011001000000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10110010000000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1</v>
      </c>
      <c r="X18" s="7" t="str">
        <f t="shared" si="11"/>
        <v>101100100000001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1</v>
      </c>
      <c r="X19" s="7" t="str">
        <f t="shared" si="11"/>
        <v>1011001000000011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113</v>
      </c>
      <c r="N20" s="10" t="s">
        <v>110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10110010000000111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114</v>
      </c>
      <c r="N21" s="7" t="s">
        <v>115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010111111110101100000010100100000010100111110101</v>
      </c>
      <c r="U21" s="8">
        <v>18.0</v>
      </c>
      <c r="V21" s="8">
        <v>8.0</v>
      </c>
      <c r="W21" s="7" t="str">
        <f t="shared" si="8"/>
        <v>0</v>
      </c>
      <c r="X21" s="7" t="str">
        <f t="shared" si="11"/>
        <v>101100100000001110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1</v>
      </c>
      <c r="T22" s="7" t="str">
        <f t="shared" si="22"/>
        <v>10111111110101100000010100100000010100111110101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1011001000000011101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0</v>
      </c>
      <c r="T23" s="7" t="str">
        <f t="shared" si="22"/>
        <v>0111111110101100000010100100000010100111110101</v>
      </c>
      <c r="U23" s="8">
        <v>20.0</v>
      </c>
      <c r="V23" s="8">
        <v>14.0</v>
      </c>
      <c r="W23" s="7" t="str">
        <f t="shared" si="8"/>
        <v>0</v>
      </c>
      <c r="X23" s="7" t="str">
        <f t="shared" si="11"/>
        <v>10110010000000111010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01011111</v>
      </c>
      <c r="O24" s="3" t="str">
        <f t="shared" ref="O24:O31" si="24">BIN2HEX(N24,2)</f>
        <v>5F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111111110101100000010100100000010100111110101</v>
      </c>
      <c r="U24" s="8">
        <v>21.0</v>
      </c>
      <c r="V24" s="8">
        <v>32.0</v>
      </c>
      <c r="W24" s="7" t="str">
        <f t="shared" si="8"/>
        <v>0</v>
      </c>
      <c r="X24" s="7" t="str">
        <f t="shared" si="11"/>
        <v>101100100000001110100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11101011</v>
      </c>
      <c r="O25" s="3" t="str">
        <f t="shared" si="24"/>
        <v>EB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11111110101100000010100100000010100111110101</v>
      </c>
      <c r="U25" s="8">
        <v>22.0</v>
      </c>
      <c r="V25" s="8">
        <v>27.0</v>
      </c>
      <c r="W25" s="7" t="str">
        <f t="shared" si="8"/>
        <v>1</v>
      </c>
      <c r="X25" s="7" t="str">
        <f t="shared" si="11"/>
        <v>1011001000000011101001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00000010</v>
      </c>
      <c r="O26" s="3" t="str">
        <f t="shared" si="24"/>
        <v>02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1111110101100000010100100000010100111110101</v>
      </c>
      <c r="U26" s="8">
        <v>23.0</v>
      </c>
      <c r="V26" s="8">
        <v>3.0</v>
      </c>
      <c r="W26" s="7" t="str">
        <f t="shared" si="8"/>
        <v>0</v>
      </c>
      <c r="X26" s="7" t="str">
        <f t="shared" si="11"/>
        <v>10110010000000111010010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10010000</v>
      </c>
      <c r="O27" s="3" t="str">
        <f t="shared" si="24"/>
        <v>90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111110101100000010100100000010100111110101</v>
      </c>
      <c r="U27" s="8">
        <v>24.0</v>
      </c>
      <c r="V27" s="8">
        <v>9.0</v>
      </c>
      <c r="W27" s="7" t="str">
        <f t="shared" si="8"/>
        <v>0</v>
      </c>
      <c r="X27" s="7" t="str">
        <f t="shared" si="11"/>
        <v>101100100000001110100100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00101001</v>
      </c>
      <c r="O28" s="3" t="str">
        <f t="shared" si="24"/>
        <v>29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11110101100000010100100000010100111110101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1011001000000011101001000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11110101</v>
      </c>
      <c r="O29" s="3" t="str">
        <f t="shared" si="24"/>
        <v>F5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1110101100000010100100000010100111110101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10110010000000111010010000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110101100000010100100000010100111110101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101100100000001110100100001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1</v>
      </c>
      <c r="T31" s="7" t="str">
        <f t="shared" si="22"/>
        <v>10101100000010100100000010100111110101</v>
      </c>
      <c r="U31" s="8">
        <v>28.0</v>
      </c>
      <c r="V31" s="8">
        <v>6.0</v>
      </c>
      <c r="W31" s="7" t="str">
        <f t="shared" si="8"/>
        <v>1</v>
      </c>
      <c r="X31" s="7" t="str">
        <f t="shared" si="11"/>
        <v>1011001000000011101001000011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0101100000010100100000010100111110101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10110010000000111010010000110</v>
      </c>
    </row>
    <row r="33">
      <c r="A33" s="6" t="s">
        <v>12</v>
      </c>
      <c r="B33" s="7" t="str">
        <f>B1</f>
        <v>010101110100001110110111100000111101110110001101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1</v>
      </c>
      <c r="T33" s="7" t="str">
        <f t="shared" si="22"/>
        <v>101100000010100100000010100111110101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101100100000001110100100001100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01100000010100100000010100111110101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1011001000000011101001000011000</v>
      </c>
    </row>
    <row r="35">
      <c r="A35" s="1">
        <v>1.0</v>
      </c>
      <c r="B35" s="3" t="str">
        <f t="shared" ref="B35:B40" si="25">MID($B$1,(A35-1)*8+1,8)</f>
        <v>01010111</v>
      </c>
      <c r="C35" s="3" t="str">
        <f t="shared" ref="C35:C40" si="26">BIN2HEX(B35,2)</f>
        <v>57</v>
      </c>
      <c r="D35" s="3">
        <f t="shared" ref="D35:D40" si="27">BIN2DEC(B35)</f>
        <v>87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1100000010100100000010100111110101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10110010000000111010010000110000</v>
      </c>
    </row>
    <row r="36">
      <c r="A36" s="1">
        <v>2.0</v>
      </c>
      <c r="B36" s="3" t="str">
        <f t="shared" si="25"/>
        <v>01000011</v>
      </c>
      <c r="C36" s="3" t="str">
        <f t="shared" si="26"/>
        <v>43</v>
      </c>
      <c r="D36" s="3">
        <f t="shared" si="27"/>
        <v>67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100000010100100000010100111110101</v>
      </c>
    </row>
    <row r="37">
      <c r="A37" s="1">
        <v>3.0</v>
      </c>
      <c r="B37" s="3" t="str">
        <f t="shared" si="25"/>
        <v>10110111</v>
      </c>
      <c r="C37" s="3" t="str">
        <f t="shared" si="26"/>
        <v>B7</v>
      </c>
      <c r="D37" s="3">
        <f t="shared" si="27"/>
        <v>183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00000010100100000010100111110101</v>
      </c>
    </row>
    <row r="38">
      <c r="A38" s="1">
        <v>4.0</v>
      </c>
      <c r="B38" s="3" t="str">
        <f t="shared" si="25"/>
        <v>10000011</v>
      </c>
      <c r="C38" s="3" t="str">
        <f t="shared" si="26"/>
        <v>83</v>
      </c>
      <c r="D38" s="3">
        <f t="shared" si="27"/>
        <v>131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0</v>
      </c>
      <c r="T38" s="7" t="str">
        <f t="shared" si="22"/>
        <v>0000010100100000010100111110101</v>
      </c>
      <c r="U38" s="11" t="s">
        <v>27</v>
      </c>
      <c r="V38" s="12" t="str">
        <f>X35</f>
        <v>10110010000000111010010000110000</v>
      </c>
      <c r="W38" s="12"/>
      <c r="X38" s="12"/>
    </row>
    <row r="39">
      <c r="A39" s="1">
        <v>5.0</v>
      </c>
      <c r="B39" s="3" t="str">
        <f t="shared" si="25"/>
        <v>11011101</v>
      </c>
      <c r="C39" s="3" t="str">
        <f t="shared" si="26"/>
        <v>DD</v>
      </c>
      <c r="D39" s="3">
        <f t="shared" si="27"/>
        <v>221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000010100100000010100111110101</v>
      </c>
    </row>
    <row r="40">
      <c r="A40" s="1">
        <v>6.0</v>
      </c>
      <c r="B40" s="3" t="str">
        <f t="shared" si="25"/>
        <v>10001101</v>
      </c>
      <c r="C40" s="3" t="str">
        <f t="shared" si="26"/>
        <v>8D</v>
      </c>
      <c r="D40" s="3">
        <f t="shared" si="27"/>
        <v>141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0</v>
      </c>
      <c r="T40" s="7" t="str">
        <f t="shared" si="22"/>
        <v>00010100100000010100111110101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0</v>
      </c>
      <c r="T41" s="7" t="str">
        <f t="shared" si="22"/>
        <v>0010100100000010100111110101</v>
      </c>
      <c r="U41" s="6" t="s">
        <v>29</v>
      </c>
      <c r="V41" s="7" t="str">
        <f>N20</f>
        <v>11001100011010110110010100011000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010111111110101100000010100100000010100111110101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010100100000010100111110101</v>
      </c>
    </row>
    <row r="43">
      <c r="A43" s="1">
        <v>1.0</v>
      </c>
      <c r="B43" s="3" t="str">
        <f t="shared" ref="B43:B48" si="28">MID($T$21,(A43-1)*8+1,8)</f>
        <v>01011111</v>
      </c>
      <c r="C43" s="3" t="str">
        <f t="shared" ref="C43:C48" si="29">BIN2HEX(B43,2)</f>
        <v>5F</v>
      </c>
      <c r="D43" s="3">
        <f t="shared" ref="D43:D48" si="30">BIN2DEC(B43)</f>
        <v>95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10100100000010100111110101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11101011</v>
      </c>
      <c r="C44" s="3" t="str">
        <f t="shared" si="29"/>
        <v>EB</v>
      </c>
      <c r="D44" s="3">
        <f t="shared" si="30"/>
        <v>235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0</v>
      </c>
      <c r="T44" s="7" t="str">
        <f t="shared" si="22"/>
        <v>0100100000010100111110101</v>
      </c>
      <c r="U44" s="1">
        <v>1.0</v>
      </c>
      <c r="V44" s="3" t="str">
        <f t="shared" ref="V44:V47" si="31">MID($V$38,(U44-1)*8+1,8)</f>
        <v>10110010</v>
      </c>
      <c r="W44" s="3" t="str">
        <f t="shared" ref="W44:W47" si="32">BIN2HEX(V44,2)</f>
        <v>B2</v>
      </c>
      <c r="X44" s="3">
        <f t="shared" ref="X44:X47" si="33">HEX2DEC(W44)</f>
        <v>178</v>
      </c>
    </row>
    <row r="45">
      <c r="A45" s="1">
        <v>3.0</v>
      </c>
      <c r="B45" s="3" t="str">
        <f t="shared" si="28"/>
        <v>00000010</v>
      </c>
      <c r="C45" s="3" t="str">
        <f t="shared" si="29"/>
        <v>02</v>
      </c>
      <c r="D45" s="3">
        <f t="shared" si="30"/>
        <v>2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100100000010100111110101</v>
      </c>
      <c r="U45" s="1">
        <v>2.0</v>
      </c>
      <c r="V45" s="3" t="str">
        <f t="shared" si="31"/>
        <v>00000011</v>
      </c>
      <c r="W45" s="3" t="str">
        <f t="shared" si="32"/>
        <v>03</v>
      </c>
      <c r="X45" s="3">
        <f t="shared" si="33"/>
        <v>3</v>
      </c>
    </row>
    <row r="46">
      <c r="A46" s="1">
        <v>4.0</v>
      </c>
      <c r="B46" s="3" t="str">
        <f t="shared" si="28"/>
        <v>10010000</v>
      </c>
      <c r="C46" s="3" t="str">
        <f t="shared" si="29"/>
        <v>90</v>
      </c>
      <c r="D46" s="3">
        <f t="shared" si="30"/>
        <v>144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0</v>
      </c>
      <c r="T46" s="7" t="str">
        <f t="shared" si="22"/>
        <v>00100000010100111110101</v>
      </c>
      <c r="U46" s="1">
        <v>3.0</v>
      </c>
      <c r="V46" s="3" t="str">
        <f t="shared" si="31"/>
        <v>10100100</v>
      </c>
      <c r="W46" s="3" t="str">
        <f t="shared" si="32"/>
        <v>A4</v>
      </c>
      <c r="X46" s="3">
        <f t="shared" si="33"/>
        <v>164</v>
      </c>
    </row>
    <row r="47">
      <c r="A47" s="1">
        <v>5.0</v>
      </c>
      <c r="B47" s="3" t="str">
        <f t="shared" si="28"/>
        <v>00101001</v>
      </c>
      <c r="C47" s="3" t="str">
        <f t="shared" si="29"/>
        <v>29</v>
      </c>
      <c r="D47" s="3">
        <f t="shared" si="30"/>
        <v>41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0</v>
      </c>
      <c r="T47" s="7" t="str">
        <f t="shared" si="22"/>
        <v>0100000010100111110101</v>
      </c>
      <c r="U47" s="1">
        <v>4.0</v>
      </c>
      <c r="V47" s="3" t="str">
        <f t="shared" si="31"/>
        <v>00110000</v>
      </c>
      <c r="W47" s="3" t="str">
        <f t="shared" si="32"/>
        <v>30</v>
      </c>
      <c r="X47" s="3">
        <f t="shared" si="33"/>
        <v>48</v>
      </c>
    </row>
    <row r="48">
      <c r="A48" s="1">
        <v>6.0</v>
      </c>
      <c r="B48" s="3" t="str">
        <f t="shared" si="28"/>
        <v>11110101</v>
      </c>
      <c r="C48" s="3" t="str">
        <f t="shared" si="29"/>
        <v>F5</v>
      </c>
      <c r="D48" s="3">
        <f t="shared" si="30"/>
        <v>245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1</v>
      </c>
      <c r="T48" s="7" t="str">
        <f t="shared" si="22"/>
        <v>100000010100111110101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00000010100111110101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0000010100111110101</v>
      </c>
    </row>
    <row r="51">
      <c r="A51" s="6">
        <v>1.0</v>
      </c>
      <c r="B51" s="7">
        <f t="shared" ref="B51:B56" si="34">BITXOR(D35,D43)</f>
        <v>8</v>
      </c>
      <c r="C51" s="7" t="str">
        <f t="shared" ref="C51:C56" si="35">DEC2BIN(B51,8)</f>
        <v>00001000</v>
      </c>
      <c r="D51" s="7" t="str">
        <f t="shared" ref="D51:D56" si="36">DEC2HEX(B51,2)</f>
        <v>08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000010100111110101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168</v>
      </c>
      <c r="C52" s="7" t="str">
        <f t="shared" si="35"/>
        <v>10101000</v>
      </c>
      <c r="D52" s="7" t="str">
        <f t="shared" si="36"/>
        <v>A8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00010100111110101</v>
      </c>
      <c r="U52" s="1">
        <v>1.0</v>
      </c>
      <c r="V52" s="3" t="str">
        <f t="shared" ref="V52:V55" si="37">MID($V$41,(U52-1)*8+1,8)</f>
        <v>11001100</v>
      </c>
      <c r="W52" s="3" t="str">
        <f t="shared" ref="W52:W55" si="38">BIN2HEX(V52,2)</f>
        <v>CC</v>
      </c>
      <c r="X52" s="3">
        <f t="shared" ref="X52:X55" si="39">HEX2DEC(W52)</f>
        <v>204</v>
      </c>
    </row>
    <row r="53">
      <c r="A53" s="6">
        <v>3.0</v>
      </c>
      <c r="B53" s="7">
        <f t="shared" si="34"/>
        <v>181</v>
      </c>
      <c r="C53" s="7" t="str">
        <f t="shared" si="35"/>
        <v>10110101</v>
      </c>
      <c r="D53" s="7" t="str">
        <f t="shared" si="36"/>
        <v>B5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0010100111110101</v>
      </c>
      <c r="U53" s="1">
        <v>2.0</v>
      </c>
      <c r="V53" s="3" t="str">
        <f t="shared" si="37"/>
        <v>01101011</v>
      </c>
      <c r="W53" s="3" t="str">
        <f t="shared" si="38"/>
        <v>6B</v>
      </c>
      <c r="X53" s="3">
        <f t="shared" si="39"/>
        <v>107</v>
      </c>
    </row>
    <row r="54">
      <c r="A54" s="6">
        <v>4.0</v>
      </c>
      <c r="B54" s="7">
        <f t="shared" si="34"/>
        <v>19</v>
      </c>
      <c r="C54" s="7" t="str">
        <f t="shared" si="35"/>
        <v>00010011</v>
      </c>
      <c r="D54" s="7" t="str">
        <f t="shared" si="36"/>
        <v>13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010100111110101</v>
      </c>
      <c r="U54" s="1">
        <v>3.0</v>
      </c>
      <c r="V54" s="3" t="str">
        <f t="shared" si="37"/>
        <v>01100101</v>
      </c>
      <c r="W54" s="3" t="str">
        <f t="shared" si="38"/>
        <v>65</v>
      </c>
      <c r="X54" s="3">
        <f t="shared" si="39"/>
        <v>101</v>
      </c>
    </row>
    <row r="55">
      <c r="A55" s="6">
        <v>5.0</v>
      </c>
      <c r="B55" s="7">
        <f t="shared" si="34"/>
        <v>244</v>
      </c>
      <c r="C55" s="7" t="str">
        <f t="shared" si="35"/>
        <v>11110100</v>
      </c>
      <c r="D55" s="7" t="str">
        <f t="shared" si="36"/>
        <v>F4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10100111110101</v>
      </c>
      <c r="U55" s="1">
        <v>4.0</v>
      </c>
      <c r="V55" s="3" t="str">
        <f t="shared" si="37"/>
        <v>00011000</v>
      </c>
      <c r="W55" s="3" t="str">
        <f t="shared" si="38"/>
        <v>18</v>
      </c>
      <c r="X55" s="3">
        <f t="shared" si="39"/>
        <v>24</v>
      </c>
    </row>
    <row r="56">
      <c r="A56" s="6">
        <v>6.0</v>
      </c>
      <c r="B56" s="7">
        <f t="shared" si="34"/>
        <v>120</v>
      </c>
      <c r="C56" s="7" t="str">
        <f t="shared" si="35"/>
        <v>01111000</v>
      </c>
      <c r="D56" s="7" t="str">
        <f t="shared" si="36"/>
        <v>78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0100111110101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100111110101</v>
      </c>
      <c r="U57" s="9" t="s">
        <v>116</v>
      </c>
      <c r="V57" s="10" t="str">
        <f>Y62</f>
        <v>01111110011010001100000100101000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00111110101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000010001010100010110101000100111111010001111000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0111110101</v>
      </c>
      <c r="U59" s="6">
        <v>1.0</v>
      </c>
      <c r="V59" s="7">
        <f t="shared" ref="V59:V62" si="40">BITXOR(X44,X52)</f>
        <v>126</v>
      </c>
      <c r="W59" s="7" t="str">
        <f t="shared" ref="W59:W62" si="41">DEC2HEX(V59)</f>
        <v>7E</v>
      </c>
      <c r="X59" s="7" t="str">
        <f t="shared" ref="X59:X62" si="42">HEX2BIN(W59,8)</f>
        <v>01111110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1</v>
      </c>
      <c r="T60" s="7" t="str">
        <f t="shared" si="22"/>
        <v>111110101</v>
      </c>
      <c r="U60" s="6">
        <v>2.0</v>
      </c>
      <c r="V60" s="7">
        <f t="shared" si="40"/>
        <v>104</v>
      </c>
      <c r="W60" s="7" t="str">
        <f t="shared" si="41"/>
        <v>68</v>
      </c>
      <c r="X60" s="7" t="str">
        <f t="shared" si="42"/>
        <v>01101000</v>
      </c>
      <c r="Y60" s="7" t="str">
        <f>X59&amp;X60</f>
        <v>0111111001101000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11110101</v>
      </c>
      <c r="U61" s="6">
        <v>3.0</v>
      </c>
      <c r="V61" s="7">
        <f t="shared" si="40"/>
        <v>193</v>
      </c>
      <c r="W61" s="7" t="str">
        <f t="shared" si="41"/>
        <v>C1</v>
      </c>
      <c r="X61" s="7" t="str">
        <f t="shared" si="42"/>
        <v>11000001</v>
      </c>
      <c r="Y61" s="7" t="str">
        <f t="shared" ref="Y61:Y62" si="43">Y60&amp;X61</f>
        <v>011111100110100011000001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1110101</v>
      </c>
      <c r="U62" s="6">
        <v>4.0</v>
      </c>
      <c r="V62" s="7">
        <f t="shared" si="40"/>
        <v>40</v>
      </c>
      <c r="W62" s="7" t="str">
        <f t="shared" si="41"/>
        <v>28</v>
      </c>
      <c r="X62" s="7" t="str">
        <f t="shared" si="42"/>
        <v>00101000</v>
      </c>
      <c r="Y62" s="7" t="str">
        <f t="shared" si="43"/>
        <v>01111110011010001100000100101000</v>
      </c>
    </row>
    <row r="63">
      <c r="A63" s="6">
        <v>1.0</v>
      </c>
      <c r="B63" s="7" t="str">
        <f t="shared" ref="B63:B70" si="44">MID($B$59,(A63-1)*6+1,6)</f>
        <v>000010</v>
      </c>
      <c r="C63" s="7" t="str">
        <f t="shared" ref="C63:C70" si="45">LEFT(B63,1)&amp;RIGHT(B63,1)</f>
        <v>00</v>
      </c>
      <c r="D63" s="7" t="str">
        <f t="shared" ref="D63:D70" si="46">MID(B63,2,4)</f>
        <v>0001</v>
      </c>
      <c r="E63" s="7" t="str">
        <f t="shared" ref="E63:E70" si="47">C63&amp;D63</f>
        <v>000001</v>
      </c>
      <c r="F63" s="7">
        <f t="shared" ref="F63:F70" si="48">BIN2DEC(E63)</f>
        <v>1</v>
      </c>
      <c r="G63" s="7">
        <f>VLOOKUP(F63,$A$79:$I$142,2,TRUE)</f>
        <v>4</v>
      </c>
      <c r="H63" s="7" t="str">
        <f t="shared" ref="H63:H70" si="49">DEC2BIN(G63,4)</f>
        <v>0100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110101</v>
      </c>
    </row>
    <row r="64">
      <c r="A64" s="6">
        <v>2.0</v>
      </c>
      <c r="B64" s="7" t="str">
        <f t="shared" si="44"/>
        <v>001010</v>
      </c>
      <c r="C64" s="7" t="str">
        <f t="shared" si="45"/>
        <v>00</v>
      </c>
      <c r="D64" s="7" t="str">
        <f t="shared" si="46"/>
        <v>0101</v>
      </c>
      <c r="E64" s="7" t="str">
        <f t="shared" si="47"/>
        <v>000101</v>
      </c>
      <c r="F64" s="7">
        <f t="shared" si="48"/>
        <v>5</v>
      </c>
      <c r="G64" s="7">
        <f>VLOOKUP(F64,$A$79:$I$142,3,TRUE)</f>
        <v>4</v>
      </c>
      <c r="H64" s="7" t="str">
        <f t="shared" si="49"/>
        <v>0100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10101</v>
      </c>
    </row>
    <row r="65">
      <c r="A65" s="6">
        <v>3.0</v>
      </c>
      <c r="B65" s="7" t="str">
        <f t="shared" si="44"/>
        <v>100010</v>
      </c>
      <c r="C65" s="7" t="str">
        <f t="shared" si="45"/>
        <v>10</v>
      </c>
      <c r="D65" s="7" t="str">
        <f t="shared" si="46"/>
        <v>0001</v>
      </c>
      <c r="E65" s="7" t="str">
        <f t="shared" si="47"/>
        <v>100001</v>
      </c>
      <c r="F65" s="7">
        <f t="shared" si="48"/>
        <v>33</v>
      </c>
      <c r="G65" s="7">
        <f>VLOOKUP(F65,$A$79:$I$142,4,TRUE)</f>
        <v>4</v>
      </c>
      <c r="H65" s="7" t="str">
        <f t="shared" si="49"/>
        <v>0100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0101</v>
      </c>
    </row>
    <row r="66">
      <c r="A66" s="6">
        <v>4.0</v>
      </c>
      <c r="B66" s="7" t="str">
        <f t="shared" si="44"/>
        <v>110101</v>
      </c>
      <c r="C66" s="7" t="str">
        <f t="shared" si="45"/>
        <v>11</v>
      </c>
      <c r="D66" s="7" t="str">
        <f t="shared" si="46"/>
        <v>1010</v>
      </c>
      <c r="E66" s="7" t="str">
        <f t="shared" si="47"/>
        <v>111010</v>
      </c>
      <c r="F66" s="7">
        <f t="shared" si="48"/>
        <v>58</v>
      </c>
      <c r="G66" s="7">
        <f>VLOOKUP(F66,$A$79:$I$142,5,TRUE)</f>
        <v>1</v>
      </c>
      <c r="H66" s="7" t="str">
        <f t="shared" si="49"/>
        <v>0001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1</v>
      </c>
      <c r="T66" s="7" t="str">
        <f t="shared" si="22"/>
        <v>101</v>
      </c>
    </row>
    <row r="67">
      <c r="A67" s="6">
        <v>5.0</v>
      </c>
      <c r="B67" s="7" t="str">
        <f t="shared" si="44"/>
        <v>000100</v>
      </c>
      <c r="C67" s="7" t="str">
        <f t="shared" si="45"/>
        <v>00</v>
      </c>
      <c r="D67" s="7" t="str">
        <f t="shared" si="46"/>
        <v>0010</v>
      </c>
      <c r="E67" s="7" t="str">
        <f t="shared" si="47"/>
        <v>000010</v>
      </c>
      <c r="F67" s="7">
        <f t="shared" si="48"/>
        <v>2</v>
      </c>
      <c r="G67" s="7">
        <f>VLOOKUP(F67,$A$79:$I$142,6,TRUE)</f>
        <v>1</v>
      </c>
      <c r="H67" s="7" t="str">
        <f t="shared" si="49"/>
        <v>0001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01</v>
      </c>
    </row>
    <row r="68">
      <c r="A68" s="6">
        <v>6.0</v>
      </c>
      <c r="B68" s="7" t="str">
        <f t="shared" si="44"/>
        <v>111111</v>
      </c>
      <c r="C68" s="7" t="str">
        <f t="shared" si="45"/>
        <v>11</v>
      </c>
      <c r="D68" s="7" t="str">
        <f t="shared" si="46"/>
        <v>1111</v>
      </c>
      <c r="E68" s="7" t="str">
        <f t="shared" si="47"/>
        <v>111111</v>
      </c>
      <c r="F68" s="7">
        <f t="shared" si="48"/>
        <v>63</v>
      </c>
      <c r="G68" s="7">
        <f>VLOOKUP(F68,$A$79:$I$142,7,TRUE)</f>
        <v>9</v>
      </c>
      <c r="H68" s="7" t="str">
        <f t="shared" si="49"/>
        <v>1001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1</v>
      </c>
    </row>
    <row r="69">
      <c r="A69" s="6">
        <v>7.0</v>
      </c>
      <c r="B69" s="7" t="str">
        <f t="shared" si="44"/>
        <v>010001</v>
      </c>
      <c r="C69" s="7" t="str">
        <f t="shared" si="45"/>
        <v>01</v>
      </c>
      <c r="D69" s="7" t="str">
        <f t="shared" si="46"/>
        <v>1000</v>
      </c>
      <c r="E69" s="7" t="str">
        <f t="shared" si="47"/>
        <v>011000</v>
      </c>
      <c r="F69" s="7">
        <f t="shared" si="48"/>
        <v>24</v>
      </c>
      <c r="G69" s="7">
        <f>VLOOKUP(F69,$A$79:$I$142,8,TRUE)</f>
        <v>3</v>
      </c>
      <c r="H69" s="7" t="str">
        <f t="shared" si="49"/>
        <v>0011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111000</v>
      </c>
      <c r="C70" s="7" t="str">
        <f t="shared" si="45"/>
        <v>10</v>
      </c>
      <c r="D70" s="7" t="str">
        <f t="shared" si="46"/>
        <v>1100</v>
      </c>
      <c r="E70" s="7" t="str">
        <f t="shared" si="47"/>
        <v>101100</v>
      </c>
      <c r="F70" s="7">
        <f t="shared" si="48"/>
        <v>44</v>
      </c>
      <c r="G70" s="7">
        <f>VLOOKUP(F70,$A$79:$I$142,9,TRUE)</f>
        <v>6</v>
      </c>
      <c r="H70" s="7" t="str">
        <f t="shared" si="49"/>
        <v>0110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117</v>
      </c>
      <c r="Q1" s="6" t="s">
        <v>14</v>
      </c>
      <c r="R1" s="6" t="s">
        <v>4</v>
      </c>
      <c r="U1" s="6" t="s">
        <v>15</v>
      </c>
      <c r="V1" s="7" t="str">
        <f>S9</f>
        <v>11111011100101011100110100101101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15</v>
      </c>
      <c r="R2" s="7" t="str">
        <f t="shared" si="1"/>
        <v>1111</v>
      </c>
    </row>
    <row r="3">
      <c r="A3" s="1">
        <v>1.0</v>
      </c>
      <c r="B3" s="3" t="str">
        <f t="shared" ref="B3:B8" si="3">MID($B$1,(A3-1)*8+1,8)</f>
        <v>10111111</v>
      </c>
      <c r="C3" s="3" t="str">
        <f t="shared" ref="C3:C8" si="4">BIN2HEX(B3,2)</f>
        <v>BF</v>
      </c>
      <c r="Q3" s="7">
        <f t="shared" ref="Q3:R3" si="2">G64</f>
        <v>11</v>
      </c>
      <c r="R3" s="7" t="str">
        <f t="shared" si="2"/>
        <v>1011</v>
      </c>
      <c r="S3" s="7" t="str">
        <f>R2&amp;R3</f>
        <v>11111011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10010001</v>
      </c>
      <c r="C4" s="3" t="str">
        <f t="shared" si="4"/>
        <v>91</v>
      </c>
      <c r="Q4" s="7">
        <f t="shared" ref="Q4:R4" si="5">G65</f>
        <v>9</v>
      </c>
      <c r="R4" s="7" t="str">
        <f t="shared" si="5"/>
        <v>1001</v>
      </c>
      <c r="S4" s="7" t="str">
        <f t="shared" ref="S4:S9" si="7">S3&amp;R4</f>
        <v>111110111001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10000101</v>
      </c>
      <c r="C5" s="3" t="str">
        <f t="shared" si="4"/>
        <v>85</v>
      </c>
      <c r="Q5" s="7">
        <f t="shared" ref="Q5:R5" si="6">G66</f>
        <v>5</v>
      </c>
      <c r="R5" s="7" t="str">
        <f t="shared" si="6"/>
        <v>0101</v>
      </c>
      <c r="S5" s="7" t="str">
        <f t="shared" si="7"/>
        <v>1111101110010101</v>
      </c>
      <c r="U5" s="8">
        <v>2.0</v>
      </c>
      <c r="V5" s="8">
        <v>7.0</v>
      </c>
      <c r="W5" s="7" t="str">
        <f t="shared" si="8"/>
        <v>1</v>
      </c>
      <c r="X5" s="7" t="str">
        <f>W4&amp;W5</f>
        <v>11</v>
      </c>
    </row>
    <row r="6">
      <c r="A6" s="1">
        <v>4.0</v>
      </c>
      <c r="B6" s="3" t="str">
        <f t="shared" si="3"/>
        <v>00001010</v>
      </c>
      <c r="C6" s="3" t="str">
        <f t="shared" si="4"/>
        <v>0A</v>
      </c>
      <c r="Q6" s="7">
        <f t="shared" ref="Q6:R6" si="9">G67</f>
        <v>12</v>
      </c>
      <c r="R6" s="7" t="str">
        <f t="shared" si="9"/>
        <v>1100</v>
      </c>
      <c r="S6" s="7" t="str">
        <f t="shared" si="7"/>
        <v>11111011100101011100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110</v>
      </c>
    </row>
    <row r="7">
      <c r="A7" s="1">
        <v>5.0</v>
      </c>
      <c r="B7" s="3" t="str">
        <f t="shared" si="3"/>
        <v>00010111</v>
      </c>
      <c r="C7" s="3" t="str">
        <f t="shared" si="4"/>
        <v>17</v>
      </c>
      <c r="Q7" s="7">
        <f t="shared" ref="Q7:R7" si="10">G68</f>
        <v>13</v>
      </c>
      <c r="R7" s="7" t="str">
        <f t="shared" si="10"/>
        <v>1101</v>
      </c>
      <c r="S7" s="7" t="str">
        <f t="shared" si="7"/>
        <v>111110111001010111001101</v>
      </c>
      <c r="U7" s="8">
        <v>4.0</v>
      </c>
      <c r="V7" s="8">
        <v>21.0</v>
      </c>
      <c r="W7" s="7" t="str">
        <f t="shared" si="8"/>
        <v>1</v>
      </c>
      <c r="X7" s="7" t="str">
        <f t="shared" si="11"/>
        <v>1101</v>
      </c>
    </row>
    <row r="8">
      <c r="A8" s="1">
        <v>6.0</v>
      </c>
      <c r="B8" s="3" t="str">
        <f t="shared" si="3"/>
        <v>10110101</v>
      </c>
      <c r="C8" s="3" t="str">
        <f t="shared" si="4"/>
        <v>B5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2</v>
      </c>
      <c r="R8" s="7" t="str">
        <f t="shared" si="12"/>
        <v>0010</v>
      </c>
      <c r="S8" s="7" t="str">
        <f t="shared" si="7"/>
        <v>1111101110010101110011010010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11011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13</v>
      </c>
      <c r="R9" s="7" t="str">
        <f t="shared" si="13"/>
        <v>1101</v>
      </c>
      <c r="S9" s="7" t="str">
        <f t="shared" si="7"/>
        <v>11111011100101011100110100101101</v>
      </c>
      <c r="U9" s="8">
        <v>6.0</v>
      </c>
      <c r="V9" s="8">
        <v>12.0</v>
      </c>
      <c r="W9" s="7" t="str">
        <f t="shared" si="8"/>
        <v>1</v>
      </c>
      <c r="X9" s="7" t="str">
        <f t="shared" si="11"/>
        <v>110111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0</v>
      </c>
      <c r="X10" s="7" t="str">
        <f t="shared" si="11"/>
        <v>1101110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1</v>
      </c>
      <c r="X11" s="7" t="str">
        <f t="shared" si="11"/>
        <v>11011101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1</v>
      </c>
      <c r="X12" s="7" t="str">
        <f t="shared" si="11"/>
        <v>110111011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1101110110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11011101100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110111011000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1</v>
      </c>
      <c r="X16" s="7" t="str">
        <f t="shared" si="11"/>
        <v>1101110110001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1</v>
      </c>
      <c r="X17" s="7" t="str">
        <f t="shared" si="11"/>
        <v>11011101100011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110111011000110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1101110110001100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118</v>
      </c>
      <c r="N20" s="10" t="s">
        <v>115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1</v>
      </c>
      <c r="X20" s="7" t="str">
        <f t="shared" si="11"/>
        <v>11011101100011001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119</v>
      </c>
      <c r="N21" s="7" t="s">
        <v>120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001111111100001101010001011000000010100101010000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110111011000110011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01111111100001101010001011000000010100101010000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1101110110001100111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1111111100001101010001011000000010100101010000</v>
      </c>
      <c r="U23" s="8">
        <v>20.0</v>
      </c>
      <c r="V23" s="8">
        <v>14.0</v>
      </c>
      <c r="W23" s="7" t="str">
        <f t="shared" si="8"/>
        <v>1</v>
      </c>
      <c r="X23" s="7" t="str">
        <f t="shared" si="11"/>
        <v>11011101100011001111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00111111</v>
      </c>
      <c r="O24" s="3" t="str">
        <f t="shared" ref="O24:O31" si="24">BIN2HEX(N24,2)</f>
        <v>3F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111111100001101010001011000000010100101010000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110111011000110011111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11000011</v>
      </c>
      <c r="O25" s="3" t="str">
        <f t="shared" si="24"/>
        <v>C3</v>
      </c>
      <c r="Q25" s="8">
        <v>5.0</v>
      </c>
      <c r="R25" s="8">
        <v>4.0</v>
      </c>
      <c r="S25" s="7" t="str">
        <f t="shared" si="21"/>
        <v>1</v>
      </c>
      <c r="T25" s="7" t="str">
        <f t="shared" si="22"/>
        <v>11111100001101010001011000000010100101010000</v>
      </c>
      <c r="U25" s="8">
        <v>22.0</v>
      </c>
      <c r="V25" s="8">
        <v>27.0</v>
      </c>
      <c r="W25" s="7" t="str">
        <f t="shared" si="8"/>
        <v>1</v>
      </c>
      <c r="X25" s="7" t="str">
        <f t="shared" si="11"/>
        <v>1101110110001100111111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01010001</v>
      </c>
      <c r="O26" s="3" t="str">
        <f t="shared" si="24"/>
        <v>51</v>
      </c>
      <c r="Q26" s="8">
        <v>6.0</v>
      </c>
      <c r="R26" s="8">
        <v>5.0</v>
      </c>
      <c r="S26" s="7" t="str">
        <f t="shared" si="21"/>
        <v>1</v>
      </c>
      <c r="T26" s="7" t="str">
        <f t="shared" si="22"/>
        <v>1111100001101010001011000000010100101010000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11011101100011001111111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01100000</v>
      </c>
      <c r="O27" s="3" t="str">
        <f t="shared" si="24"/>
        <v>60</v>
      </c>
      <c r="Q27" s="8">
        <v>7.0</v>
      </c>
      <c r="R27" s="8">
        <v>4.0</v>
      </c>
      <c r="S27" s="7" t="str">
        <f t="shared" si="21"/>
        <v>1</v>
      </c>
      <c r="T27" s="7" t="str">
        <f t="shared" si="22"/>
        <v>111100001101010001011000000010100101010000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110111011000110011111111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00101001</v>
      </c>
      <c r="O28" s="3" t="str">
        <f t="shared" si="24"/>
        <v>29</v>
      </c>
      <c r="Q28" s="8">
        <v>8.0</v>
      </c>
      <c r="R28" s="8">
        <v>5.0</v>
      </c>
      <c r="S28" s="7" t="str">
        <f t="shared" si="21"/>
        <v>1</v>
      </c>
      <c r="T28" s="7" t="str">
        <f t="shared" si="22"/>
        <v>11100001101010001011000000010100101010000</v>
      </c>
      <c r="U28" s="8">
        <v>25.0</v>
      </c>
      <c r="V28" s="8">
        <v>19.0</v>
      </c>
      <c r="W28" s="7" t="str">
        <f t="shared" si="8"/>
        <v>0</v>
      </c>
      <c r="X28" s="7" t="str">
        <f t="shared" si="11"/>
        <v>1101110110001100111111110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01010000</v>
      </c>
      <c r="O29" s="3" t="str">
        <f t="shared" si="24"/>
        <v>50</v>
      </c>
      <c r="Q29" s="8">
        <v>9.0</v>
      </c>
      <c r="R29" s="8">
        <v>6.0</v>
      </c>
      <c r="S29" s="7" t="str">
        <f t="shared" si="21"/>
        <v>1</v>
      </c>
      <c r="T29" s="7" t="str">
        <f t="shared" si="22"/>
        <v>1100001101010001011000000010100101010000</v>
      </c>
      <c r="U29" s="8">
        <v>26.0</v>
      </c>
      <c r="V29" s="8">
        <v>13.0</v>
      </c>
      <c r="W29" s="7" t="str">
        <f t="shared" si="8"/>
        <v>0</v>
      </c>
      <c r="X29" s="7" t="str">
        <f t="shared" si="11"/>
        <v>11011101100011001111111100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100001101010001011000000010100101010000</v>
      </c>
      <c r="U30" s="8">
        <v>27.0</v>
      </c>
      <c r="V30" s="8">
        <v>30.0</v>
      </c>
      <c r="W30" s="7" t="str">
        <f t="shared" si="8"/>
        <v>1</v>
      </c>
      <c r="X30" s="7" t="str">
        <f t="shared" si="11"/>
        <v>110111011000110011111111001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00001101010001011000000010100101010000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1101110110001100111111110010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0</v>
      </c>
      <c r="T32" s="7" t="str">
        <f t="shared" si="22"/>
        <v>0001101010001011000000010100101010000</v>
      </c>
      <c r="U32" s="8">
        <v>29.0</v>
      </c>
      <c r="V32" s="8">
        <v>22.0</v>
      </c>
      <c r="W32" s="7" t="str">
        <f t="shared" si="8"/>
        <v>1</v>
      </c>
      <c r="X32" s="7" t="str">
        <f t="shared" si="11"/>
        <v>11011101100011001111111100101</v>
      </c>
    </row>
    <row r="33">
      <c r="A33" s="6" t="s">
        <v>12</v>
      </c>
      <c r="B33" s="7" t="str">
        <f>B1</f>
        <v>101111111001000110000101000010100001011110110101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001101010001011000000010100101010000</v>
      </c>
      <c r="U33" s="8">
        <v>30.0</v>
      </c>
      <c r="V33" s="8">
        <v>11.0</v>
      </c>
      <c r="W33" s="7" t="str">
        <f t="shared" si="8"/>
        <v>0</v>
      </c>
      <c r="X33" s="7" t="str">
        <f t="shared" si="11"/>
        <v>110111011000110011111111001010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0</v>
      </c>
      <c r="T34" s="7" t="str">
        <f t="shared" si="22"/>
        <v>01101010001011000000010100101010000</v>
      </c>
      <c r="U34" s="8">
        <v>31.0</v>
      </c>
      <c r="V34" s="8">
        <v>4.0</v>
      </c>
      <c r="W34" s="7" t="str">
        <f t="shared" si="8"/>
        <v>1</v>
      </c>
      <c r="X34" s="7" t="str">
        <f t="shared" si="11"/>
        <v>1101110110001100111111110010101</v>
      </c>
    </row>
    <row r="35">
      <c r="A35" s="1">
        <v>1.0</v>
      </c>
      <c r="B35" s="3" t="str">
        <f t="shared" ref="B35:B40" si="25">MID($B$1,(A35-1)*8+1,8)</f>
        <v>10111111</v>
      </c>
      <c r="C35" s="3" t="str">
        <f t="shared" ref="C35:C40" si="26">BIN2HEX(B35,2)</f>
        <v>BF</v>
      </c>
      <c r="D35" s="3">
        <f t="shared" ref="D35:D40" si="27">BIN2DEC(B35)</f>
        <v>191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1101010001011000000010100101010000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11011101100011001111111100101010</v>
      </c>
    </row>
    <row r="36">
      <c r="A36" s="1">
        <v>2.0</v>
      </c>
      <c r="B36" s="3" t="str">
        <f t="shared" si="25"/>
        <v>10010001</v>
      </c>
      <c r="C36" s="3" t="str">
        <f t="shared" si="26"/>
        <v>91</v>
      </c>
      <c r="D36" s="3">
        <f t="shared" si="27"/>
        <v>145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101010001011000000010100101010000</v>
      </c>
    </row>
    <row r="37">
      <c r="A37" s="1">
        <v>3.0</v>
      </c>
      <c r="B37" s="3" t="str">
        <f t="shared" si="25"/>
        <v>10000101</v>
      </c>
      <c r="C37" s="3" t="str">
        <f t="shared" si="26"/>
        <v>85</v>
      </c>
      <c r="D37" s="3">
        <f t="shared" si="27"/>
        <v>133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01010001011000000010100101010000</v>
      </c>
    </row>
    <row r="38">
      <c r="A38" s="1">
        <v>4.0</v>
      </c>
      <c r="B38" s="3" t="str">
        <f t="shared" si="25"/>
        <v>00001010</v>
      </c>
      <c r="C38" s="3" t="str">
        <f t="shared" si="26"/>
        <v>0A</v>
      </c>
      <c r="D38" s="3">
        <f t="shared" si="27"/>
        <v>10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1010001011000000010100101010000</v>
      </c>
      <c r="U38" s="11" t="s">
        <v>27</v>
      </c>
      <c r="V38" s="12" t="str">
        <f>X35</f>
        <v>11011101100011001111111100101010</v>
      </c>
      <c r="W38" s="12"/>
      <c r="X38" s="12"/>
    </row>
    <row r="39">
      <c r="A39" s="1">
        <v>5.0</v>
      </c>
      <c r="B39" s="3" t="str">
        <f t="shared" si="25"/>
        <v>00010111</v>
      </c>
      <c r="C39" s="3" t="str">
        <f t="shared" si="26"/>
        <v>17</v>
      </c>
      <c r="D39" s="3">
        <f t="shared" si="27"/>
        <v>23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010001011000000010100101010000</v>
      </c>
    </row>
    <row r="40">
      <c r="A40" s="1">
        <v>6.0</v>
      </c>
      <c r="B40" s="3" t="str">
        <f t="shared" si="25"/>
        <v>10110101</v>
      </c>
      <c r="C40" s="3" t="str">
        <f t="shared" si="26"/>
        <v>B5</v>
      </c>
      <c r="D40" s="3">
        <f t="shared" si="27"/>
        <v>181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10001011000000010100101010000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0</v>
      </c>
      <c r="T41" s="7" t="str">
        <f t="shared" si="22"/>
        <v>0001011000000010100101010000</v>
      </c>
      <c r="U41" s="6" t="s">
        <v>29</v>
      </c>
      <c r="V41" s="7" t="str">
        <f>N20</f>
        <v>10111111011000010010000100111010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001111111100001101010001011000000010100101010000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001011000000010100101010000</v>
      </c>
    </row>
    <row r="43">
      <c r="A43" s="1">
        <v>1.0</v>
      </c>
      <c r="B43" s="3" t="str">
        <f t="shared" ref="B43:B48" si="28">MID($T$21,(A43-1)*8+1,8)</f>
        <v>00111111</v>
      </c>
      <c r="C43" s="3" t="str">
        <f t="shared" ref="C43:C48" si="29">BIN2HEX(B43,2)</f>
        <v>3F</v>
      </c>
      <c r="D43" s="3">
        <f t="shared" ref="D43:D48" si="30">BIN2DEC(B43)</f>
        <v>63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0</v>
      </c>
      <c r="T43" s="7" t="str">
        <f t="shared" si="22"/>
        <v>01011000000010100101010000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11000011</v>
      </c>
      <c r="C44" s="3" t="str">
        <f t="shared" si="29"/>
        <v>C3</v>
      </c>
      <c r="D44" s="3">
        <f t="shared" si="30"/>
        <v>195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1011000000010100101010000</v>
      </c>
      <c r="U44" s="1">
        <v>1.0</v>
      </c>
      <c r="V44" s="3" t="str">
        <f t="shared" ref="V44:V47" si="31">MID($V$38,(U44-1)*8+1,8)</f>
        <v>11011101</v>
      </c>
      <c r="W44" s="3" t="str">
        <f t="shared" ref="W44:W47" si="32">BIN2HEX(V44,2)</f>
        <v>DD</v>
      </c>
      <c r="X44" s="3">
        <f t="shared" ref="X44:X47" si="33">HEX2DEC(W44)</f>
        <v>221</v>
      </c>
    </row>
    <row r="45">
      <c r="A45" s="1">
        <v>3.0</v>
      </c>
      <c r="B45" s="3" t="str">
        <f t="shared" si="28"/>
        <v>01010001</v>
      </c>
      <c r="C45" s="3" t="str">
        <f t="shared" si="29"/>
        <v>51</v>
      </c>
      <c r="D45" s="3">
        <f t="shared" si="30"/>
        <v>81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0</v>
      </c>
      <c r="T45" s="7" t="str">
        <f t="shared" si="22"/>
        <v>011000000010100101010000</v>
      </c>
      <c r="U45" s="1">
        <v>2.0</v>
      </c>
      <c r="V45" s="3" t="str">
        <f t="shared" si="31"/>
        <v>10001100</v>
      </c>
      <c r="W45" s="3" t="str">
        <f t="shared" si="32"/>
        <v>8C</v>
      </c>
      <c r="X45" s="3">
        <f t="shared" si="33"/>
        <v>140</v>
      </c>
    </row>
    <row r="46">
      <c r="A46" s="1">
        <v>4.0</v>
      </c>
      <c r="B46" s="3" t="str">
        <f t="shared" si="28"/>
        <v>01100000</v>
      </c>
      <c r="C46" s="3" t="str">
        <f t="shared" si="29"/>
        <v>60</v>
      </c>
      <c r="D46" s="3">
        <f t="shared" si="30"/>
        <v>96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11000000010100101010000</v>
      </c>
      <c r="U46" s="1">
        <v>3.0</v>
      </c>
      <c r="V46" s="3" t="str">
        <f t="shared" si="31"/>
        <v>11111111</v>
      </c>
      <c r="W46" s="3" t="str">
        <f t="shared" si="32"/>
        <v>FF</v>
      </c>
      <c r="X46" s="3">
        <f t="shared" si="33"/>
        <v>255</v>
      </c>
    </row>
    <row r="47">
      <c r="A47" s="1">
        <v>5.0</v>
      </c>
      <c r="B47" s="3" t="str">
        <f t="shared" si="28"/>
        <v>00101001</v>
      </c>
      <c r="C47" s="3" t="str">
        <f t="shared" si="29"/>
        <v>29</v>
      </c>
      <c r="D47" s="3">
        <f t="shared" si="30"/>
        <v>41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1000000010100101010000</v>
      </c>
      <c r="U47" s="1">
        <v>4.0</v>
      </c>
      <c r="V47" s="3" t="str">
        <f t="shared" si="31"/>
        <v>00101010</v>
      </c>
      <c r="W47" s="3" t="str">
        <f t="shared" si="32"/>
        <v>2A</v>
      </c>
      <c r="X47" s="3">
        <f t="shared" si="33"/>
        <v>42</v>
      </c>
    </row>
    <row r="48">
      <c r="A48" s="1">
        <v>6.0</v>
      </c>
      <c r="B48" s="3" t="str">
        <f t="shared" si="28"/>
        <v>01010000</v>
      </c>
      <c r="C48" s="3" t="str">
        <f t="shared" si="29"/>
        <v>50</v>
      </c>
      <c r="D48" s="3">
        <f t="shared" si="30"/>
        <v>80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000000010100101010000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0</v>
      </c>
      <c r="T49" s="7" t="str">
        <f t="shared" si="22"/>
        <v>00000010100101010000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0</v>
      </c>
      <c r="T50" s="7" t="str">
        <f t="shared" si="22"/>
        <v>0000010100101010000</v>
      </c>
    </row>
    <row r="51">
      <c r="A51" s="6">
        <v>1.0</v>
      </c>
      <c r="B51" s="7">
        <f t="shared" ref="B51:B56" si="34">BITXOR(D35,D43)</f>
        <v>128</v>
      </c>
      <c r="C51" s="7" t="str">
        <f t="shared" ref="C51:C56" si="35">DEC2BIN(B51,8)</f>
        <v>10000000</v>
      </c>
      <c r="D51" s="7" t="str">
        <f t="shared" ref="D51:D56" si="36">DEC2HEX(B51,2)</f>
        <v>80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0</v>
      </c>
      <c r="T51" s="7" t="str">
        <f t="shared" si="22"/>
        <v>000010100101010000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82</v>
      </c>
      <c r="C52" s="7" t="str">
        <f t="shared" si="35"/>
        <v>01010010</v>
      </c>
      <c r="D52" s="7" t="str">
        <f t="shared" si="36"/>
        <v>52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0</v>
      </c>
      <c r="T52" s="7" t="str">
        <f t="shared" si="22"/>
        <v>00010100101010000</v>
      </c>
      <c r="U52" s="1">
        <v>1.0</v>
      </c>
      <c r="V52" s="3" t="str">
        <f t="shared" ref="V52:V55" si="37">MID($V$41,(U52-1)*8+1,8)</f>
        <v>10111111</v>
      </c>
      <c r="W52" s="3" t="str">
        <f t="shared" ref="W52:W55" si="38">BIN2HEX(V52,2)</f>
        <v>BF</v>
      </c>
      <c r="X52" s="3">
        <f t="shared" ref="X52:X55" si="39">HEX2DEC(W52)</f>
        <v>191</v>
      </c>
    </row>
    <row r="53">
      <c r="A53" s="6">
        <v>3.0</v>
      </c>
      <c r="B53" s="7">
        <f t="shared" si="34"/>
        <v>212</v>
      </c>
      <c r="C53" s="7" t="str">
        <f t="shared" si="35"/>
        <v>11010100</v>
      </c>
      <c r="D53" s="7" t="str">
        <f t="shared" si="36"/>
        <v>D4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0</v>
      </c>
      <c r="T53" s="7" t="str">
        <f t="shared" si="22"/>
        <v>0010100101010000</v>
      </c>
      <c r="U53" s="1">
        <v>2.0</v>
      </c>
      <c r="V53" s="3" t="str">
        <f t="shared" si="37"/>
        <v>01100001</v>
      </c>
      <c r="W53" s="3" t="str">
        <f t="shared" si="38"/>
        <v>61</v>
      </c>
      <c r="X53" s="3">
        <f t="shared" si="39"/>
        <v>97</v>
      </c>
    </row>
    <row r="54">
      <c r="A54" s="6">
        <v>4.0</v>
      </c>
      <c r="B54" s="7">
        <f t="shared" si="34"/>
        <v>106</v>
      </c>
      <c r="C54" s="7" t="str">
        <f t="shared" si="35"/>
        <v>01101010</v>
      </c>
      <c r="D54" s="7" t="str">
        <f t="shared" si="36"/>
        <v>6A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0</v>
      </c>
      <c r="T54" s="7" t="str">
        <f t="shared" si="22"/>
        <v>010100101010000</v>
      </c>
      <c r="U54" s="1">
        <v>3.0</v>
      </c>
      <c r="V54" s="3" t="str">
        <f t="shared" si="37"/>
        <v>00100001</v>
      </c>
      <c r="W54" s="3" t="str">
        <f t="shared" si="38"/>
        <v>21</v>
      </c>
      <c r="X54" s="3">
        <f t="shared" si="39"/>
        <v>33</v>
      </c>
    </row>
    <row r="55">
      <c r="A55" s="6">
        <v>5.0</v>
      </c>
      <c r="B55" s="7">
        <f t="shared" si="34"/>
        <v>62</v>
      </c>
      <c r="C55" s="7" t="str">
        <f t="shared" si="35"/>
        <v>00111110</v>
      </c>
      <c r="D55" s="7" t="str">
        <f t="shared" si="36"/>
        <v>3E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1</v>
      </c>
      <c r="T55" s="7" t="str">
        <f t="shared" si="22"/>
        <v>10100101010000</v>
      </c>
      <c r="U55" s="1">
        <v>4.0</v>
      </c>
      <c r="V55" s="3" t="str">
        <f t="shared" si="37"/>
        <v>00111010</v>
      </c>
      <c r="W55" s="3" t="str">
        <f t="shared" si="38"/>
        <v>3A</v>
      </c>
      <c r="X55" s="3">
        <f t="shared" si="39"/>
        <v>58</v>
      </c>
    </row>
    <row r="56">
      <c r="A56" s="6">
        <v>6.0</v>
      </c>
      <c r="B56" s="7">
        <f t="shared" si="34"/>
        <v>229</v>
      </c>
      <c r="C56" s="7" t="str">
        <f t="shared" si="35"/>
        <v>11100101</v>
      </c>
      <c r="D56" s="7" t="str">
        <f t="shared" si="36"/>
        <v>E5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0100101010000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1</v>
      </c>
      <c r="T57" s="7" t="str">
        <f t="shared" si="22"/>
        <v>100101010000</v>
      </c>
      <c r="U57" s="9" t="s">
        <v>121</v>
      </c>
      <c r="V57" s="10" t="str">
        <f>Y62</f>
        <v>01100010111011011101111000010000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00101010000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100000000101001011010100011010100011111011100101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0101010000</v>
      </c>
      <c r="U59" s="6">
        <v>1.0</v>
      </c>
      <c r="V59" s="7">
        <f t="shared" ref="V59:V62" si="40">BITXOR(X44,X52)</f>
        <v>98</v>
      </c>
      <c r="W59" s="7" t="str">
        <f t="shared" ref="W59:W62" si="41">DEC2HEX(V59)</f>
        <v>62</v>
      </c>
      <c r="X59" s="7" t="str">
        <f t="shared" ref="X59:X62" si="42">HEX2BIN(W59,8)</f>
        <v>01100010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1</v>
      </c>
      <c r="T60" s="7" t="str">
        <f t="shared" si="22"/>
        <v>101010000</v>
      </c>
      <c r="U60" s="6">
        <v>2.0</v>
      </c>
      <c r="V60" s="7">
        <f t="shared" si="40"/>
        <v>237</v>
      </c>
      <c r="W60" s="7" t="str">
        <f t="shared" si="41"/>
        <v>ED</v>
      </c>
      <c r="X60" s="7" t="str">
        <f t="shared" si="42"/>
        <v>11101101</v>
      </c>
      <c r="Y60" s="7" t="str">
        <f>X59&amp;X60</f>
        <v>0110001011101101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0</v>
      </c>
      <c r="T61" s="7" t="str">
        <f t="shared" si="22"/>
        <v>01010000</v>
      </c>
      <c r="U61" s="6">
        <v>3.0</v>
      </c>
      <c r="V61" s="7">
        <f t="shared" si="40"/>
        <v>222</v>
      </c>
      <c r="W61" s="7" t="str">
        <f t="shared" si="41"/>
        <v>DE</v>
      </c>
      <c r="X61" s="7" t="str">
        <f t="shared" si="42"/>
        <v>11011110</v>
      </c>
      <c r="Y61" s="7" t="str">
        <f t="shared" ref="Y61:Y62" si="43">Y60&amp;X61</f>
        <v>011000101110110111011110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1</v>
      </c>
      <c r="T62" s="7" t="str">
        <f t="shared" si="22"/>
        <v>1010000</v>
      </c>
      <c r="U62" s="6">
        <v>4.0</v>
      </c>
      <c r="V62" s="7">
        <f t="shared" si="40"/>
        <v>16</v>
      </c>
      <c r="W62" s="7" t="str">
        <f t="shared" si="41"/>
        <v>10</v>
      </c>
      <c r="X62" s="7" t="str">
        <f t="shared" si="42"/>
        <v>00010000</v>
      </c>
      <c r="Y62" s="7" t="str">
        <f t="shared" si="43"/>
        <v>01100010111011011101111000010000</v>
      </c>
    </row>
    <row r="63">
      <c r="A63" s="6">
        <v>1.0</v>
      </c>
      <c r="B63" s="7" t="str">
        <f t="shared" ref="B63:B70" si="44">MID($B$59,(A63-1)*6+1,6)</f>
        <v>100000</v>
      </c>
      <c r="C63" s="7" t="str">
        <f t="shared" ref="C63:C70" si="45">LEFT(B63,1)&amp;RIGHT(B63,1)</f>
        <v>10</v>
      </c>
      <c r="D63" s="7" t="str">
        <f t="shared" ref="D63:D70" si="46">MID(B63,2,4)</f>
        <v>0000</v>
      </c>
      <c r="E63" s="7" t="str">
        <f t="shared" ref="E63:E70" si="47">C63&amp;D63</f>
        <v>100000</v>
      </c>
      <c r="F63" s="7">
        <f t="shared" ref="F63:F70" si="48">BIN2DEC(E63)</f>
        <v>32</v>
      </c>
      <c r="G63" s="7">
        <f>VLOOKUP(F63,$A$79:$I$142,2,TRUE)</f>
        <v>15</v>
      </c>
      <c r="H63" s="7" t="str">
        <f t="shared" ref="H63:H70" si="49">DEC2BIN(G63,4)</f>
        <v>1111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0</v>
      </c>
      <c r="T63" s="7" t="str">
        <f t="shared" si="22"/>
        <v>010000</v>
      </c>
    </row>
    <row r="64">
      <c r="A64" s="6">
        <v>2.0</v>
      </c>
      <c r="B64" s="7" t="str">
        <f t="shared" si="44"/>
        <v>000101</v>
      </c>
      <c r="C64" s="7" t="str">
        <f t="shared" si="45"/>
        <v>01</v>
      </c>
      <c r="D64" s="7" t="str">
        <f t="shared" si="46"/>
        <v>0010</v>
      </c>
      <c r="E64" s="7" t="str">
        <f t="shared" si="47"/>
        <v>010010</v>
      </c>
      <c r="F64" s="7">
        <f t="shared" si="48"/>
        <v>18</v>
      </c>
      <c r="G64" s="7">
        <f>VLOOKUP(F64,$A$79:$I$142,3,TRUE)</f>
        <v>11</v>
      </c>
      <c r="H64" s="7" t="str">
        <f t="shared" si="49"/>
        <v>1011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1</v>
      </c>
      <c r="T64" s="7" t="str">
        <f t="shared" si="22"/>
        <v>10000</v>
      </c>
    </row>
    <row r="65">
      <c r="A65" s="6">
        <v>3.0</v>
      </c>
      <c r="B65" s="7" t="str">
        <f t="shared" si="44"/>
        <v>001011</v>
      </c>
      <c r="C65" s="7" t="str">
        <f t="shared" si="45"/>
        <v>01</v>
      </c>
      <c r="D65" s="7" t="str">
        <f t="shared" si="46"/>
        <v>0101</v>
      </c>
      <c r="E65" s="7" t="str">
        <f t="shared" si="47"/>
        <v>010101</v>
      </c>
      <c r="F65" s="7">
        <f t="shared" si="48"/>
        <v>21</v>
      </c>
      <c r="G65" s="7">
        <f>VLOOKUP(F65,$A$79:$I$142,4,TRUE)</f>
        <v>9</v>
      </c>
      <c r="H65" s="7" t="str">
        <f t="shared" si="49"/>
        <v>1001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0000</v>
      </c>
    </row>
    <row r="66">
      <c r="A66" s="6">
        <v>4.0</v>
      </c>
      <c r="B66" s="7" t="str">
        <f t="shared" si="44"/>
        <v>010100</v>
      </c>
      <c r="C66" s="7" t="str">
        <f t="shared" si="45"/>
        <v>00</v>
      </c>
      <c r="D66" s="7" t="str">
        <f t="shared" si="46"/>
        <v>1010</v>
      </c>
      <c r="E66" s="7" t="str">
        <f t="shared" si="47"/>
        <v>001010</v>
      </c>
      <c r="F66" s="7">
        <f t="shared" si="48"/>
        <v>10</v>
      </c>
      <c r="G66" s="7">
        <f>VLOOKUP(F66,$A$79:$I$142,5,TRUE)</f>
        <v>5</v>
      </c>
      <c r="H66" s="7" t="str">
        <f t="shared" si="49"/>
        <v>0101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000</v>
      </c>
    </row>
    <row r="67">
      <c r="A67" s="6">
        <v>5.0</v>
      </c>
      <c r="B67" s="7" t="str">
        <f t="shared" si="44"/>
        <v>011010</v>
      </c>
      <c r="C67" s="7" t="str">
        <f t="shared" si="45"/>
        <v>00</v>
      </c>
      <c r="D67" s="7" t="str">
        <f t="shared" si="46"/>
        <v>1101</v>
      </c>
      <c r="E67" s="7" t="str">
        <f t="shared" si="47"/>
        <v>001101</v>
      </c>
      <c r="F67" s="7">
        <f t="shared" si="48"/>
        <v>13</v>
      </c>
      <c r="G67" s="7">
        <f>VLOOKUP(F67,$A$79:$I$142,6,TRUE)</f>
        <v>12</v>
      </c>
      <c r="H67" s="7" t="str">
        <f t="shared" si="49"/>
        <v>1100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00</v>
      </c>
    </row>
    <row r="68">
      <c r="A68" s="6">
        <v>6.0</v>
      </c>
      <c r="B68" s="7" t="str">
        <f t="shared" si="44"/>
        <v>100011</v>
      </c>
      <c r="C68" s="7" t="str">
        <f t="shared" si="45"/>
        <v>11</v>
      </c>
      <c r="D68" s="7" t="str">
        <f t="shared" si="46"/>
        <v>0001</v>
      </c>
      <c r="E68" s="7" t="str">
        <f t="shared" si="47"/>
        <v>110001</v>
      </c>
      <c r="F68" s="7">
        <f t="shared" si="48"/>
        <v>49</v>
      </c>
      <c r="G68" s="7">
        <f>VLOOKUP(F68,$A$79:$I$142,7,TRUE)</f>
        <v>13</v>
      </c>
      <c r="H68" s="7" t="str">
        <f t="shared" si="49"/>
        <v>1101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111011</v>
      </c>
      <c r="C69" s="7" t="str">
        <f t="shared" si="45"/>
        <v>11</v>
      </c>
      <c r="D69" s="7" t="str">
        <f t="shared" si="46"/>
        <v>1101</v>
      </c>
      <c r="E69" s="7" t="str">
        <f t="shared" si="47"/>
        <v>111101</v>
      </c>
      <c r="F69" s="7">
        <f t="shared" si="48"/>
        <v>61</v>
      </c>
      <c r="G69" s="7">
        <f>VLOOKUP(F69,$A$79:$I$142,8,TRUE)</f>
        <v>2</v>
      </c>
      <c r="H69" s="7" t="str">
        <f t="shared" si="49"/>
        <v>0010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100101</v>
      </c>
      <c r="C70" s="7" t="str">
        <f t="shared" si="45"/>
        <v>11</v>
      </c>
      <c r="D70" s="7" t="str">
        <f t="shared" si="46"/>
        <v>0010</v>
      </c>
      <c r="E70" s="7" t="str">
        <f t="shared" si="47"/>
        <v>110010</v>
      </c>
      <c r="F70" s="7">
        <f t="shared" si="48"/>
        <v>50</v>
      </c>
      <c r="G70" s="7">
        <f>VLOOKUP(F70,$A$79:$I$142,9,TRUE)</f>
        <v>13</v>
      </c>
      <c r="H70" s="7" t="str">
        <f t="shared" si="49"/>
        <v>1101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12" max="12" width="57.88"/>
    <col customWidth="1" min="20" max="20" width="44.75"/>
  </cols>
  <sheetData>
    <row r="1">
      <c r="A1" s="6" t="s">
        <v>12</v>
      </c>
      <c r="B1" s="7" t="s">
        <v>122</v>
      </c>
      <c r="Q1" s="6" t="s">
        <v>14</v>
      </c>
      <c r="R1" s="6" t="s">
        <v>4</v>
      </c>
      <c r="U1" s="6" t="s">
        <v>15</v>
      </c>
      <c r="V1" s="7" t="str">
        <f>S9</f>
        <v>00100011101010010010000100011001</v>
      </c>
    </row>
    <row r="2">
      <c r="A2" s="1" t="s">
        <v>8</v>
      </c>
      <c r="B2" s="1" t="s">
        <v>8</v>
      </c>
      <c r="C2" s="1" t="s">
        <v>9</v>
      </c>
      <c r="Q2" s="7">
        <f t="shared" ref="Q2:R2" si="1">G63</f>
        <v>2</v>
      </c>
      <c r="R2" s="7" t="str">
        <f t="shared" si="1"/>
        <v>0010</v>
      </c>
    </row>
    <row r="3">
      <c r="A3" s="1">
        <v>1.0</v>
      </c>
      <c r="B3" s="3" t="str">
        <f t="shared" ref="B3:B8" si="3">MID($B$1,(A3-1)*8+1,8)</f>
        <v>11001011</v>
      </c>
      <c r="C3" s="3" t="str">
        <f t="shared" ref="C3:C8" si="4">BIN2HEX(B3,2)</f>
        <v>CB</v>
      </c>
      <c r="Q3" s="7">
        <f t="shared" ref="Q3:R3" si="2">G64</f>
        <v>3</v>
      </c>
      <c r="R3" s="7" t="str">
        <f t="shared" si="2"/>
        <v>0011</v>
      </c>
      <c r="S3" s="7" t="str">
        <f>R2&amp;R3</f>
        <v>00100011</v>
      </c>
      <c r="U3" s="6" t="s">
        <v>10</v>
      </c>
      <c r="V3" s="6" t="s">
        <v>16</v>
      </c>
    </row>
    <row r="4">
      <c r="A4" s="1">
        <v>2.0</v>
      </c>
      <c r="B4" s="3" t="str">
        <f t="shared" si="3"/>
        <v>00111101</v>
      </c>
      <c r="C4" s="3" t="str">
        <f t="shared" si="4"/>
        <v>3D</v>
      </c>
      <c r="Q4" s="7">
        <f t="shared" ref="Q4:R4" si="5">G65</f>
        <v>10</v>
      </c>
      <c r="R4" s="7" t="str">
        <f t="shared" si="5"/>
        <v>1010</v>
      </c>
      <c r="S4" s="7" t="str">
        <f t="shared" ref="S4:S9" si="7">S3&amp;R4</f>
        <v>001000111010</v>
      </c>
      <c r="U4" s="8">
        <v>1.0</v>
      </c>
      <c r="V4" s="8">
        <v>16.0</v>
      </c>
      <c r="W4" s="7" t="str">
        <f t="shared" ref="W4:W35" si="8">MID($V$1,V4,1)</f>
        <v>1</v>
      </c>
    </row>
    <row r="5">
      <c r="A5" s="1">
        <v>3.0</v>
      </c>
      <c r="B5" s="3" t="str">
        <f t="shared" si="3"/>
        <v>00001011</v>
      </c>
      <c r="C5" s="3" t="str">
        <f t="shared" si="4"/>
        <v>0B</v>
      </c>
      <c r="Q5" s="7">
        <f t="shared" ref="Q5:R5" si="6">G66</f>
        <v>9</v>
      </c>
      <c r="R5" s="7" t="str">
        <f t="shared" si="6"/>
        <v>1001</v>
      </c>
      <c r="S5" s="7" t="str">
        <f t="shared" si="7"/>
        <v>0010001110101001</v>
      </c>
      <c r="U5" s="8">
        <v>2.0</v>
      </c>
      <c r="V5" s="8">
        <v>7.0</v>
      </c>
      <c r="W5" s="7" t="str">
        <f t="shared" si="8"/>
        <v>1</v>
      </c>
      <c r="X5" s="7" t="str">
        <f>W4&amp;W5</f>
        <v>11</v>
      </c>
    </row>
    <row r="6">
      <c r="A6" s="1">
        <v>4.0</v>
      </c>
      <c r="B6" s="3" t="str">
        <f t="shared" si="3"/>
        <v>10111100</v>
      </c>
      <c r="C6" s="3" t="str">
        <f t="shared" si="4"/>
        <v>BC</v>
      </c>
      <c r="Q6" s="7">
        <f t="shared" ref="Q6:R6" si="9">G67</f>
        <v>2</v>
      </c>
      <c r="R6" s="7" t="str">
        <f t="shared" si="9"/>
        <v>0010</v>
      </c>
      <c r="S6" s="7" t="str">
        <f t="shared" si="7"/>
        <v>00100011101010010010</v>
      </c>
      <c r="U6" s="8">
        <v>3.0</v>
      </c>
      <c r="V6" s="8">
        <v>20.0</v>
      </c>
      <c r="W6" s="7" t="str">
        <f t="shared" si="8"/>
        <v>0</v>
      </c>
      <c r="X6" s="7" t="str">
        <f t="shared" ref="X6:X35" si="11">X5&amp;W6</f>
        <v>110</v>
      </c>
    </row>
    <row r="7">
      <c r="A7" s="1">
        <v>5.0</v>
      </c>
      <c r="B7" s="3" t="str">
        <f t="shared" si="3"/>
        <v>01110000</v>
      </c>
      <c r="C7" s="3" t="str">
        <f t="shared" si="4"/>
        <v>70</v>
      </c>
      <c r="Q7" s="7">
        <f t="shared" ref="Q7:R7" si="10">G68</f>
        <v>1</v>
      </c>
      <c r="R7" s="7" t="str">
        <f t="shared" si="10"/>
        <v>0001</v>
      </c>
      <c r="S7" s="7" t="str">
        <f t="shared" si="7"/>
        <v>001000111010100100100001</v>
      </c>
      <c r="U7" s="8">
        <v>4.0</v>
      </c>
      <c r="V7" s="8">
        <v>21.0</v>
      </c>
      <c r="W7" s="7" t="str">
        <f t="shared" si="8"/>
        <v>0</v>
      </c>
      <c r="X7" s="7" t="str">
        <f t="shared" si="11"/>
        <v>1100</v>
      </c>
    </row>
    <row r="8">
      <c r="A8" s="1">
        <v>6.0</v>
      </c>
      <c r="B8" s="3" t="str">
        <f t="shared" si="3"/>
        <v>01110010</v>
      </c>
      <c r="C8" s="3" t="str">
        <f t="shared" si="4"/>
        <v>72</v>
      </c>
      <c r="K8" s="6" t="s">
        <v>17</v>
      </c>
      <c r="L8" s="7" t="str">
        <f>L12</f>
        <v>1001100011111110110011000000000011100000010101001111000010101010</v>
      </c>
      <c r="M8" s="1" t="s">
        <v>8</v>
      </c>
      <c r="N8" s="1" t="s">
        <v>8</v>
      </c>
      <c r="O8" s="1" t="s">
        <v>9</v>
      </c>
      <c r="Q8" s="7">
        <f t="shared" ref="Q8:R8" si="12">G69</f>
        <v>1</v>
      </c>
      <c r="R8" s="7" t="str">
        <f t="shared" si="12"/>
        <v>0001</v>
      </c>
      <c r="S8" s="7" t="str">
        <f t="shared" si="7"/>
        <v>0010001110101001001000010001</v>
      </c>
      <c r="U8" s="8">
        <v>5.0</v>
      </c>
      <c r="V8" s="8">
        <v>29.0</v>
      </c>
      <c r="W8" s="7" t="str">
        <f t="shared" si="8"/>
        <v>1</v>
      </c>
      <c r="X8" s="7" t="str">
        <f t="shared" si="11"/>
        <v>11001</v>
      </c>
    </row>
    <row r="9">
      <c r="M9" s="1">
        <v>1.0</v>
      </c>
      <c r="N9" s="3" t="str">
        <f t="shared" ref="N9:N16" si="14">MID($L$8,(M9-1)*8+1,8)</f>
        <v>10011000</v>
      </c>
      <c r="O9" s="3" t="str">
        <f t="shared" ref="O9:O16" si="15">BIN2HEX(N9,2)</f>
        <v>98</v>
      </c>
      <c r="Q9" s="7">
        <f t="shared" ref="Q9:R9" si="13">G70</f>
        <v>9</v>
      </c>
      <c r="R9" s="7" t="str">
        <f t="shared" si="13"/>
        <v>1001</v>
      </c>
      <c r="S9" s="7" t="str">
        <f t="shared" si="7"/>
        <v>00100011101010010010000100011001</v>
      </c>
      <c r="U9" s="8">
        <v>6.0</v>
      </c>
      <c r="V9" s="8">
        <v>12.0</v>
      </c>
      <c r="W9" s="7" t="str">
        <f t="shared" si="8"/>
        <v>0</v>
      </c>
      <c r="X9" s="7" t="str">
        <f t="shared" si="11"/>
        <v>110010</v>
      </c>
    </row>
    <row r="10">
      <c r="A10" s="6" t="s">
        <v>18</v>
      </c>
      <c r="B10" s="6" t="s">
        <v>19</v>
      </c>
      <c r="D10" s="7" t="str">
        <f>D12</f>
        <v>0000000000010010001101000101011001111000100110101011110011011110</v>
      </c>
      <c r="I10" s="6" t="s">
        <v>20</v>
      </c>
      <c r="M10" s="1">
        <v>2.0</v>
      </c>
      <c r="N10" s="3" t="str">
        <f t="shared" si="14"/>
        <v>11111110</v>
      </c>
      <c r="O10" s="3" t="str">
        <f t="shared" si="15"/>
        <v>FE</v>
      </c>
      <c r="U10" s="8">
        <v>7.0</v>
      </c>
      <c r="V10" s="8">
        <v>28.0</v>
      </c>
      <c r="W10" s="7" t="str">
        <f t="shared" si="8"/>
        <v>1</v>
      </c>
      <c r="X10" s="7" t="str">
        <f t="shared" si="11"/>
        <v>1100101</v>
      </c>
    </row>
    <row r="11">
      <c r="A11" s="1" t="s">
        <v>2</v>
      </c>
      <c r="B11" s="1" t="s">
        <v>3</v>
      </c>
      <c r="C11" s="1" t="s">
        <v>4</v>
      </c>
      <c r="D11" s="3" t="s">
        <v>5</v>
      </c>
      <c r="I11" s="6" t="s">
        <v>10</v>
      </c>
      <c r="J11" s="6" t="s">
        <v>2</v>
      </c>
      <c r="K11" s="6" t="s">
        <v>21</v>
      </c>
      <c r="M11" s="1">
        <v>3.0</v>
      </c>
      <c r="N11" s="3" t="str">
        <f t="shared" si="14"/>
        <v>11001100</v>
      </c>
      <c r="O11" s="3" t="str">
        <f t="shared" si="15"/>
        <v>CC</v>
      </c>
      <c r="U11" s="8">
        <v>8.0</v>
      </c>
      <c r="V11" s="8">
        <v>17.0</v>
      </c>
      <c r="W11" s="7" t="str">
        <f t="shared" si="8"/>
        <v>0</v>
      </c>
      <c r="X11" s="7" t="str">
        <f t="shared" si="11"/>
        <v>11001010</v>
      </c>
    </row>
    <row r="12">
      <c r="A12" s="4">
        <v>1.0</v>
      </c>
      <c r="B12" s="2" t="str">
        <f t="shared" ref="B12:B27" si="16">MID($B$10,A12,1)</f>
        <v>0</v>
      </c>
      <c r="C12" s="2" t="str">
        <f t="shared" ref="C12:C27" si="17">HEX2BIN(B12,4)</f>
        <v>0000</v>
      </c>
      <c r="D12" s="2" t="str">
        <f t="shared" ref="D12:D25" si="18">C12&amp;D13</f>
        <v>0000000000010010001101000101011001111000100110101011110011011110</v>
      </c>
      <c r="I12" s="8">
        <v>1.0</v>
      </c>
      <c r="J12" s="8">
        <v>58.0</v>
      </c>
      <c r="K12" s="7" t="str">
        <f t="shared" ref="K12:K75" si="19">MID($D$12,J12,1)</f>
        <v>1</v>
      </c>
      <c r="L12" s="7" t="str">
        <f t="shared" ref="L12:L73" si="20">K12&amp;L13</f>
        <v>1001100011111110110011000000000011100000010101001111000010101010</v>
      </c>
      <c r="M12" s="1">
        <v>4.0</v>
      </c>
      <c r="N12" s="3" t="str">
        <f t="shared" si="14"/>
        <v>00000000</v>
      </c>
      <c r="O12" s="3" t="str">
        <f t="shared" si="15"/>
        <v>00</v>
      </c>
      <c r="U12" s="8">
        <v>9.0</v>
      </c>
      <c r="V12" s="8">
        <v>1.0</v>
      </c>
      <c r="W12" s="7" t="str">
        <f t="shared" si="8"/>
        <v>0</v>
      </c>
      <c r="X12" s="7" t="str">
        <f t="shared" si="11"/>
        <v>110010100</v>
      </c>
    </row>
    <row r="13">
      <c r="A13" s="4">
        <v>2.0</v>
      </c>
      <c r="B13" s="2" t="str">
        <f t="shared" si="16"/>
        <v>0</v>
      </c>
      <c r="C13" s="2" t="str">
        <f t="shared" si="17"/>
        <v>0000</v>
      </c>
      <c r="D13" s="2" t="str">
        <f t="shared" si="18"/>
        <v>000000010010001101000101011001111000100110101011110011011110</v>
      </c>
      <c r="I13" s="8">
        <v>2.0</v>
      </c>
      <c r="J13" s="8">
        <v>50.0</v>
      </c>
      <c r="K13" s="7" t="str">
        <f t="shared" si="19"/>
        <v>0</v>
      </c>
      <c r="L13" s="7" t="str">
        <f t="shared" si="20"/>
        <v>001100011111110110011000000000011100000010101001111000010101010</v>
      </c>
      <c r="M13" s="1">
        <v>5.0</v>
      </c>
      <c r="N13" s="3" t="str">
        <f t="shared" si="14"/>
        <v>11100000</v>
      </c>
      <c r="O13" s="3" t="str">
        <f t="shared" si="15"/>
        <v>E0</v>
      </c>
      <c r="U13" s="8">
        <v>10.0</v>
      </c>
      <c r="V13" s="8">
        <v>15.0</v>
      </c>
      <c r="W13" s="7" t="str">
        <f t="shared" si="8"/>
        <v>0</v>
      </c>
      <c r="X13" s="7" t="str">
        <f t="shared" si="11"/>
        <v>1100101000</v>
      </c>
    </row>
    <row r="14">
      <c r="A14" s="4">
        <v>3.0</v>
      </c>
      <c r="B14" s="2" t="str">
        <f t="shared" si="16"/>
        <v>1</v>
      </c>
      <c r="C14" s="2" t="str">
        <f t="shared" si="17"/>
        <v>0001</v>
      </c>
      <c r="D14" s="2" t="str">
        <f t="shared" si="18"/>
        <v>00010010001101000101011001111000100110101011110011011110</v>
      </c>
      <c r="I14" s="8">
        <v>3.0</v>
      </c>
      <c r="J14" s="8">
        <v>42.0</v>
      </c>
      <c r="K14" s="7" t="str">
        <f t="shared" si="19"/>
        <v>0</v>
      </c>
      <c r="L14" s="7" t="str">
        <f t="shared" si="20"/>
        <v>01100011111110110011000000000011100000010101001111000010101010</v>
      </c>
      <c r="M14" s="1">
        <v>6.0</v>
      </c>
      <c r="N14" s="3" t="str">
        <f t="shared" si="14"/>
        <v>01010100</v>
      </c>
      <c r="O14" s="3" t="str">
        <f t="shared" si="15"/>
        <v>54</v>
      </c>
      <c r="U14" s="8">
        <v>11.0</v>
      </c>
      <c r="V14" s="8">
        <v>23.0</v>
      </c>
      <c r="W14" s="7" t="str">
        <f t="shared" si="8"/>
        <v>0</v>
      </c>
      <c r="X14" s="7" t="str">
        <f t="shared" si="11"/>
        <v>11001010000</v>
      </c>
    </row>
    <row r="15">
      <c r="A15" s="4">
        <v>4.0</v>
      </c>
      <c r="B15" s="2" t="str">
        <f t="shared" si="16"/>
        <v>2</v>
      </c>
      <c r="C15" s="2" t="str">
        <f t="shared" si="17"/>
        <v>0010</v>
      </c>
      <c r="D15" s="2" t="str">
        <f t="shared" si="18"/>
        <v>0010001101000101011001111000100110101011110011011110</v>
      </c>
      <c r="I15" s="8">
        <v>4.0</v>
      </c>
      <c r="J15" s="8">
        <v>34.0</v>
      </c>
      <c r="K15" s="7" t="str">
        <f t="shared" si="19"/>
        <v>1</v>
      </c>
      <c r="L15" s="7" t="str">
        <f t="shared" si="20"/>
        <v>1100011111110110011000000000011100000010101001111000010101010</v>
      </c>
      <c r="M15" s="1">
        <v>7.0</v>
      </c>
      <c r="N15" s="3" t="str">
        <f t="shared" si="14"/>
        <v>11110000</v>
      </c>
      <c r="O15" s="3" t="str">
        <f t="shared" si="15"/>
        <v>F0</v>
      </c>
      <c r="U15" s="8">
        <v>12.0</v>
      </c>
      <c r="V15" s="8">
        <v>26.0</v>
      </c>
      <c r="W15" s="7" t="str">
        <f t="shared" si="8"/>
        <v>0</v>
      </c>
      <c r="X15" s="7" t="str">
        <f t="shared" si="11"/>
        <v>110010100000</v>
      </c>
    </row>
    <row r="16">
      <c r="A16" s="4">
        <v>5.0</v>
      </c>
      <c r="B16" s="2" t="str">
        <f t="shared" si="16"/>
        <v>3</v>
      </c>
      <c r="C16" s="2" t="str">
        <f t="shared" si="17"/>
        <v>0011</v>
      </c>
      <c r="D16" s="2" t="str">
        <f t="shared" si="18"/>
        <v>001101000101011001111000100110101011110011011110</v>
      </c>
      <c r="I16" s="8">
        <v>5.0</v>
      </c>
      <c r="J16" s="8">
        <v>26.0</v>
      </c>
      <c r="K16" s="7" t="str">
        <f t="shared" si="19"/>
        <v>1</v>
      </c>
      <c r="L16" s="7" t="str">
        <f t="shared" si="20"/>
        <v>100011111110110011000000000011100000010101001111000010101010</v>
      </c>
      <c r="M16" s="1">
        <v>8.0</v>
      </c>
      <c r="N16" s="3" t="str">
        <f t="shared" si="14"/>
        <v>10101010</v>
      </c>
      <c r="O16" s="3" t="str">
        <f t="shared" si="15"/>
        <v>AA</v>
      </c>
      <c r="U16" s="8">
        <v>13.0</v>
      </c>
      <c r="V16" s="8">
        <v>5.0</v>
      </c>
      <c r="W16" s="7" t="str">
        <f t="shared" si="8"/>
        <v>0</v>
      </c>
      <c r="X16" s="7" t="str">
        <f t="shared" si="11"/>
        <v>1100101000000</v>
      </c>
    </row>
    <row r="17">
      <c r="A17" s="4">
        <v>6.0</v>
      </c>
      <c r="B17" s="2" t="str">
        <f t="shared" si="16"/>
        <v>4</v>
      </c>
      <c r="C17" s="2" t="str">
        <f t="shared" si="17"/>
        <v>0100</v>
      </c>
      <c r="D17" s="2" t="str">
        <f t="shared" si="18"/>
        <v>01000101011001111000100110101011110011011110</v>
      </c>
      <c r="I17" s="8">
        <v>6.0</v>
      </c>
      <c r="J17" s="8">
        <v>18.0</v>
      </c>
      <c r="K17" s="7" t="str">
        <f t="shared" si="19"/>
        <v>0</v>
      </c>
      <c r="L17" s="7" t="str">
        <f t="shared" si="20"/>
        <v>00011111110110011000000000011100000010101001111000010101010</v>
      </c>
      <c r="U17" s="8">
        <v>14.0</v>
      </c>
      <c r="V17" s="8">
        <v>18.0</v>
      </c>
      <c r="W17" s="7" t="str">
        <f t="shared" si="8"/>
        <v>0</v>
      </c>
      <c r="X17" s="7" t="str">
        <f t="shared" si="11"/>
        <v>11001010000000</v>
      </c>
    </row>
    <row r="18">
      <c r="A18" s="4">
        <v>7.0</v>
      </c>
      <c r="B18" s="2" t="str">
        <f t="shared" si="16"/>
        <v>5</v>
      </c>
      <c r="C18" s="2" t="str">
        <f t="shared" si="17"/>
        <v>0101</v>
      </c>
      <c r="D18" s="2" t="str">
        <f t="shared" si="18"/>
        <v>0101011001111000100110101011110011011110</v>
      </c>
      <c r="I18" s="8">
        <v>7.0</v>
      </c>
      <c r="J18" s="8">
        <v>10.0</v>
      </c>
      <c r="K18" s="7" t="str">
        <f t="shared" si="19"/>
        <v>0</v>
      </c>
      <c r="L18" s="7" t="str">
        <f t="shared" si="20"/>
        <v>0011111110110011000000000011100000010101001111000010101010</v>
      </c>
      <c r="U18" s="8">
        <v>15.0</v>
      </c>
      <c r="V18" s="8">
        <v>31.0</v>
      </c>
      <c r="W18" s="7" t="str">
        <f t="shared" si="8"/>
        <v>0</v>
      </c>
      <c r="X18" s="7" t="str">
        <f t="shared" si="11"/>
        <v>110010100000000</v>
      </c>
    </row>
    <row r="19">
      <c r="A19" s="4">
        <v>8.0</v>
      </c>
      <c r="B19" s="2" t="str">
        <f t="shared" si="16"/>
        <v>6</v>
      </c>
      <c r="C19" s="2" t="str">
        <f t="shared" si="17"/>
        <v>0110</v>
      </c>
      <c r="D19" s="2" t="str">
        <f t="shared" si="18"/>
        <v>011001111000100110101011110011011110</v>
      </c>
      <c r="I19" s="8">
        <v>8.0</v>
      </c>
      <c r="J19" s="8">
        <v>2.0</v>
      </c>
      <c r="K19" s="7" t="str">
        <f t="shared" si="19"/>
        <v>0</v>
      </c>
      <c r="L19" s="7" t="str">
        <f t="shared" si="20"/>
        <v>011111110110011000000000011100000010101001111000010101010</v>
      </c>
      <c r="U19" s="8">
        <v>16.0</v>
      </c>
      <c r="V19" s="8">
        <v>10.0</v>
      </c>
      <c r="W19" s="7" t="str">
        <f t="shared" si="8"/>
        <v>0</v>
      </c>
      <c r="X19" s="7" t="str">
        <f t="shared" si="11"/>
        <v>1100101000000000</v>
      </c>
    </row>
    <row r="20">
      <c r="A20" s="4">
        <v>9.0</v>
      </c>
      <c r="B20" s="2" t="str">
        <f t="shared" si="16"/>
        <v>7</v>
      </c>
      <c r="C20" s="2" t="str">
        <f t="shared" si="17"/>
        <v>0111</v>
      </c>
      <c r="D20" s="2" t="str">
        <f t="shared" si="18"/>
        <v>01111000100110101011110011011110</v>
      </c>
      <c r="I20" s="8">
        <v>9.0</v>
      </c>
      <c r="J20" s="8">
        <v>60.0</v>
      </c>
      <c r="K20" s="7" t="str">
        <f t="shared" si="19"/>
        <v>1</v>
      </c>
      <c r="L20" s="7" t="str">
        <f t="shared" si="20"/>
        <v>11111110110011000000000011100000010101001111000010101010</v>
      </c>
      <c r="M20" s="9" t="s">
        <v>123</v>
      </c>
      <c r="N20" s="10" t="s">
        <v>120</v>
      </c>
      <c r="O20" s="10"/>
      <c r="P20" s="10"/>
      <c r="Q20" s="6" t="s">
        <v>10</v>
      </c>
      <c r="R20" s="6" t="s">
        <v>23</v>
      </c>
      <c r="S20" s="6" t="s">
        <v>21</v>
      </c>
      <c r="T20" s="6" t="s">
        <v>24</v>
      </c>
      <c r="U20" s="8">
        <v>17.0</v>
      </c>
      <c r="V20" s="8">
        <v>2.0</v>
      </c>
      <c r="W20" s="7" t="str">
        <f t="shared" si="8"/>
        <v>0</v>
      </c>
      <c r="X20" s="7" t="str">
        <f t="shared" si="11"/>
        <v>11001010000000000</v>
      </c>
    </row>
    <row r="21">
      <c r="A21" s="4">
        <v>10.0</v>
      </c>
      <c r="B21" s="2" t="str">
        <f t="shared" si="16"/>
        <v>8</v>
      </c>
      <c r="C21" s="2" t="str">
        <f t="shared" si="17"/>
        <v>1000</v>
      </c>
      <c r="D21" s="2" t="str">
        <f t="shared" si="18"/>
        <v>1000100110101011110011011110</v>
      </c>
      <c r="I21" s="8">
        <v>10.0</v>
      </c>
      <c r="J21" s="8">
        <v>52.0</v>
      </c>
      <c r="K21" s="7" t="str">
        <f t="shared" si="19"/>
        <v>1</v>
      </c>
      <c r="L21" s="7" t="str">
        <f t="shared" si="20"/>
        <v>1111110110011000000000011100000010101001111000010101010</v>
      </c>
      <c r="M21" s="6" t="s">
        <v>124</v>
      </c>
      <c r="N21" s="7" t="s">
        <v>125</v>
      </c>
      <c r="Q21" s="8">
        <v>1.0</v>
      </c>
      <c r="R21" s="8">
        <v>32.0</v>
      </c>
      <c r="S21" s="7" t="str">
        <f t="shared" ref="S21:S68" si="21">MID($N$21,R21,1)</f>
        <v>0</v>
      </c>
      <c r="T21" s="7" t="str">
        <f t="shared" ref="T21:T66" si="22">S21&amp;T22</f>
        <v>001100000101011101011011111011111100000010100000</v>
      </c>
      <c r="U21" s="8">
        <v>18.0</v>
      </c>
      <c r="V21" s="8">
        <v>8.0</v>
      </c>
      <c r="W21" s="7" t="str">
        <f t="shared" si="8"/>
        <v>1</v>
      </c>
      <c r="X21" s="7" t="str">
        <f t="shared" si="11"/>
        <v>110010100000000001</v>
      </c>
    </row>
    <row r="22">
      <c r="A22" s="4">
        <v>11.0</v>
      </c>
      <c r="B22" s="2" t="str">
        <f t="shared" si="16"/>
        <v>9</v>
      </c>
      <c r="C22" s="2" t="str">
        <f t="shared" si="17"/>
        <v>1001</v>
      </c>
      <c r="D22" s="2" t="str">
        <f t="shared" si="18"/>
        <v>100110101011110011011110</v>
      </c>
      <c r="I22" s="8">
        <v>11.0</v>
      </c>
      <c r="J22" s="8">
        <v>44.0</v>
      </c>
      <c r="K22" s="7" t="str">
        <f t="shared" si="19"/>
        <v>1</v>
      </c>
      <c r="L22" s="7" t="str">
        <f t="shared" si="20"/>
        <v>111110110011000000000011100000010101001111000010101010</v>
      </c>
      <c r="Q22" s="8">
        <v>2.0</v>
      </c>
      <c r="R22" s="8">
        <v>1.0</v>
      </c>
      <c r="S22" s="7" t="str">
        <f t="shared" si="21"/>
        <v>0</v>
      </c>
      <c r="T22" s="7" t="str">
        <f t="shared" si="22"/>
        <v>01100000101011101011011111011111100000010100000</v>
      </c>
      <c r="U22" s="8">
        <v>19.0</v>
      </c>
      <c r="V22" s="8">
        <v>24.0</v>
      </c>
      <c r="W22" s="7" t="str">
        <f t="shared" si="8"/>
        <v>1</v>
      </c>
      <c r="X22" s="7" t="str">
        <f t="shared" si="11"/>
        <v>1100101000000000011</v>
      </c>
    </row>
    <row r="23">
      <c r="A23" s="4">
        <v>12.0</v>
      </c>
      <c r="B23" s="2" t="str">
        <f t="shared" si="16"/>
        <v>a</v>
      </c>
      <c r="C23" s="2" t="str">
        <f t="shared" si="17"/>
        <v>1010</v>
      </c>
      <c r="D23" s="2" t="str">
        <f t="shared" si="18"/>
        <v>10101011110011011110</v>
      </c>
      <c r="I23" s="8">
        <v>12.0</v>
      </c>
      <c r="J23" s="8">
        <v>36.0</v>
      </c>
      <c r="K23" s="7" t="str">
        <f t="shared" si="19"/>
        <v>1</v>
      </c>
      <c r="L23" s="7" t="str">
        <f t="shared" si="20"/>
        <v>11110110011000000000011100000010101001111000010101010</v>
      </c>
      <c r="M23" s="1" t="s">
        <v>8</v>
      </c>
      <c r="N23" s="1" t="s">
        <v>8</v>
      </c>
      <c r="O23" s="1" t="s">
        <v>9</v>
      </c>
      <c r="Q23" s="8">
        <v>3.0</v>
      </c>
      <c r="R23" s="8">
        <v>2.0</v>
      </c>
      <c r="S23" s="7" t="str">
        <f t="shared" si="21"/>
        <v>1</v>
      </c>
      <c r="T23" s="7" t="str">
        <f t="shared" si="22"/>
        <v>1100000101011101011011111011111100000010100000</v>
      </c>
      <c r="U23" s="8">
        <v>20.0</v>
      </c>
      <c r="V23" s="8">
        <v>14.0</v>
      </c>
      <c r="W23" s="7" t="str">
        <f t="shared" si="8"/>
        <v>0</v>
      </c>
      <c r="X23" s="7" t="str">
        <f t="shared" si="11"/>
        <v>11001010000000000110</v>
      </c>
    </row>
    <row r="24">
      <c r="A24" s="4">
        <v>13.0</v>
      </c>
      <c r="B24" s="2" t="str">
        <f t="shared" si="16"/>
        <v>b</v>
      </c>
      <c r="C24" s="2" t="str">
        <f t="shared" si="17"/>
        <v>1011</v>
      </c>
      <c r="D24" s="2" t="str">
        <f t="shared" si="18"/>
        <v>1011110011011110</v>
      </c>
      <c r="I24" s="8">
        <v>13.0</v>
      </c>
      <c r="J24" s="8">
        <v>28.0</v>
      </c>
      <c r="K24" s="7" t="str">
        <f t="shared" si="19"/>
        <v>1</v>
      </c>
      <c r="L24" s="7" t="str">
        <f t="shared" si="20"/>
        <v>1110110011000000000011100000010101001111000010101010</v>
      </c>
      <c r="M24" s="1">
        <v>1.0</v>
      </c>
      <c r="N24" s="3" t="str">
        <f t="shared" ref="N24:N31" si="23">MID($T$21,(M24-1)*8+1,8)</f>
        <v>00110000</v>
      </c>
      <c r="O24" s="3" t="str">
        <f t="shared" ref="O24:O31" si="24">BIN2HEX(N24,2)</f>
        <v>30</v>
      </c>
      <c r="Q24" s="8">
        <v>4.0</v>
      </c>
      <c r="R24" s="8">
        <v>3.0</v>
      </c>
      <c r="S24" s="7" t="str">
        <f t="shared" si="21"/>
        <v>1</v>
      </c>
      <c r="T24" s="7" t="str">
        <f t="shared" si="22"/>
        <v>100000101011101011011111011111100000010100000</v>
      </c>
      <c r="U24" s="8">
        <v>21.0</v>
      </c>
      <c r="V24" s="8">
        <v>32.0</v>
      </c>
      <c r="W24" s="7" t="str">
        <f t="shared" si="8"/>
        <v>1</v>
      </c>
      <c r="X24" s="7" t="str">
        <f t="shared" si="11"/>
        <v>110010100000000001101</v>
      </c>
    </row>
    <row r="25">
      <c r="A25" s="4">
        <v>14.0</v>
      </c>
      <c r="B25" s="2" t="str">
        <f t="shared" si="16"/>
        <v>c</v>
      </c>
      <c r="C25" s="2" t="str">
        <f t="shared" si="17"/>
        <v>1100</v>
      </c>
      <c r="D25" s="2" t="str">
        <f t="shared" si="18"/>
        <v>110011011110</v>
      </c>
      <c r="I25" s="8">
        <v>14.0</v>
      </c>
      <c r="J25" s="8">
        <v>20.0</v>
      </c>
      <c r="K25" s="7" t="str">
        <f t="shared" si="19"/>
        <v>1</v>
      </c>
      <c r="L25" s="7" t="str">
        <f t="shared" si="20"/>
        <v>110110011000000000011100000010101001111000010101010</v>
      </c>
      <c r="M25" s="1">
        <v>2.0</v>
      </c>
      <c r="N25" s="3" t="str">
        <f t="shared" si="23"/>
        <v>01010111</v>
      </c>
      <c r="O25" s="3" t="str">
        <f t="shared" si="24"/>
        <v>57</v>
      </c>
      <c r="Q25" s="8">
        <v>5.0</v>
      </c>
      <c r="R25" s="8">
        <v>4.0</v>
      </c>
      <c r="S25" s="7" t="str">
        <f t="shared" si="21"/>
        <v>0</v>
      </c>
      <c r="T25" s="7" t="str">
        <f t="shared" si="22"/>
        <v>00000101011101011011111011111100000010100000</v>
      </c>
      <c r="U25" s="8">
        <v>22.0</v>
      </c>
      <c r="V25" s="8">
        <v>27.0</v>
      </c>
      <c r="W25" s="7" t="str">
        <f t="shared" si="8"/>
        <v>0</v>
      </c>
      <c r="X25" s="7" t="str">
        <f t="shared" si="11"/>
        <v>1100101000000000011010</v>
      </c>
    </row>
    <row r="26">
      <c r="A26" s="4">
        <v>15.0</v>
      </c>
      <c r="B26" s="2" t="str">
        <f t="shared" si="16"/>
        <v>d</v>
      </c>
      <c r="C26" s="2" t="str">
        <f t="shared" si="17"/>
        <v>1101</v>
      </c>
      <c r="D26" s="2" t="str">
        <f>C26&amp;C27</f>
        <v>11011110</v>
      </c>
      <c r="I26" s="8">
        <v>15.0</v>
      </c>
      <c r="J26" s="8">
        <v>12.0</v>
      </c>
      <c r="K26" s="7" t="str">
        <f t="shared" si="19"/>
        <v>1</v>
      </c>
      <c r="L26" s="7" t="str">
        <f t="shared" si="20"/>
        <v>10110011000000000011100000010101001111000010101010</v>
      </c>
      <c r="M26" s="1">
        <v>3.0</v>
      </c>
      <c r="N26" s="3" t="str">
        <f t="shared" si="23"/>
        <v>01011011</v>
      </c>
      <c r="O26" s="3" t="str">
        <f t="shared" si="24"/>
        <v>5B</v>
      </c>
      <c r="Q26" s="8">
        <v>6.0</v>
      </c>
      <c r="R26" s="8">
        <v>5.0</v>
      </c>
      <c r="S26" s="7" t="str">
        <f t="shared" si="21"/>
        <v>0</v>
      </c>
      <c r="T26" s="7" t="str">
        <f t="shared" si="22"/>
        <v>0000101011101011011111011111100000010100000</v>
      </c>
      <c r="U26" s="8">
        <v>23.0</v>
      </c>
      <c r="V26" s="8">
        <v>3.0</v>
      </c>
      <c r="W26" s="7" t="str">
        <f t="shared" si="8"/>
        <v>1</v>
      </c>
      <c r="X26" s="7" t="str">
        <f t="shared" si="11"/>
        <v>11001010000000000110101</v>
      </c>
    </row>
    <row r="27">
      <c r="A27" s="4">
        <v>16.0</v>
      </c>
      <c r="B27" s="2" t="str">
        <f t="shared" si="16"/>
        <v>e</v>
      </c>
      <c r="C27" s="2" t="str">
        <f t="shared" si="17"/>
        <v>1110</v>
      </c>
      <c r="D27" s="2"/>
      <c r="I27" s="8">
        <v>16.0</v>
      </c>
      <c r="J27" s="8">
        <v>4.0</v>
      </c>
      <c r="K27" s="7" t="str">
        <f t="shared" si="19"/>
        <v>0</v>
      </c>
      <c r="L27" s="7" t="str">
        <f t="shared" si="20"/>
        <v>0110011000000000011100000010101001111000010101010</v>
      </c>
      <c r="M27" s="1">
        <v>4.0</v>
      </c>
      <c r="N27" s="3" t="str">
        <f t="shared" si="23"/>
        <v>11101111</v>
      </c>
      <c r="O27" s="3" t="str">
        <f t="shared" si="24"/>
        <v>EF</v>
      </c>
      <c r="Q27" s="8">
        <v>7.0</v>
      </c>
      <c r="R27" s="8">
        <v>4.0</v>
      </c>
      <c r="S27" s="7" t="str">
        <f t="shared" si="21"/>
        <v>0</v>
      </c>
      <c r="T27" s="7" t="str">
        <f t="shared" si="22"/>
        <v>000101011101011011111011111100000010100000</v>
      </c>
      <c r="U27" s="8">
        <v>24.0</v>
      </c>
      <c r="V27" s="8">
        <v>9.0</v>
      </c>
      <c r="W27" s="7" t="str">
        <f t="shared" si="8"/>
        <v>1</v>
      </c>
      <c r="X27" s="7" t="str">
        <f t="shared" si="11"/>
        <v>110010100000000001101011</v>
      </c>
    </row>
    <row r="28">
      <c r="I28" s="8">
        <v>17.0</v>
      </c>
      <c r="J28" s="8">
        <v>62.0</v>
      </c>
      <c r="K28" s="7" t="str">
        <f t="shared" si="19"/>
        <v>1</v>
      </c>
      <c r="L28" s="7" t="str">
        <f t="shared" si="20"/>
        <v>110011000000000011100000010101001111000010101010</v>
      </c>
      <c r="M28" s="1">
        <v>5.0</v>
      </c>
      <c r="N28" s="3" t="str">
        <f t="shared" si="23"/>
        <v>11000000</v>
      </c>
      <c r="O28" s="3" t="str">
        <f t="shared" si="24"/>
        <v>C0</v>
      </c>
      <c r="Q28" s="8">
        <v>8.0</v>
      </c>
      <c r="R28" s="8">
        <v>5.0</v>
      </c>
      <c r="S28" s="7" t="str">
        <f t="shared" si="21"/>
        <v>0</v>
      </c>
      <c r="T28" s="7" t="str">
        <f t="shared" si="22"/>
        <v>00101011101011011111011111100000010100000</v>
      </c>
      <c r="U28" s="8">
        <v>25.0</v>
      </c>
      <c r="V28" s="8">
        <v>19.0</v>
      </c>
      <c r="W28" s="7" t="str">
        <f t="shared" si="8"/>
        <v>1</v>
      </c>
      <c r="X28" s="7" t="str">
        <f t="shared" si="11"/>
        <v>1100101000000000011010111</v>
      </c>
    </row>
    <row r="29">
      <c r="I29" s="8">
        <v>18.0</v>
      </c>
      <c r="J29" s="8">
        <v>54.0</v>
      </c>
      <c r="K29" s="7" t="str">
        <f t="shared" si="19"/>
        <v>1</v>
      </c>
      <c r="L29" s="7" t="str">
        <f t="shared" si="20"/>
        <v>10011000000000011100000010101001111000010101010</v>
      </c>
      <c r="M29" s="1">
        <v>6.0</v>
      </c>
      <c r="N29" s="3" t="str">
        <f t="shared" si="23"/>
        <v>10100000</v>
      </c>
      <c r="O29" s="3" t="str">
        <f t="shared" si="24"/>
        <v>A0</v>
      </c>
      <c r="Q29" s="8">
        <v>9.0</v>
      </c>
      <c r="R29" s="8">
        <v>6.0</v>
      </c>
      <c r="S29" s="7" t="str">
        <f t="shared" si="21"/>
        <v>0</v>
      </c>
      <c r="T29" s="7" t="str">
        <f t="shared" si="22"/>
        <v>0101011101011011111011111100000010100000</v>
      </c>
      <c r="U29" s="8">
        <v>26.0</v>
      </c>
      <c r="V29" s="8">
        <v>13.0</v>
      </c>
      <c r="W29" s="7" t="str">
        <f t="shared" si="8"/>
        <v>1</v>
      </c>
      <c r="X29" s="7" t="str">
        <f t="shared" si="11"/>
        <v>11001010000000000110101111</v>
      </c>
    </row>
    <row r="30">
      <c r="I30" s="8">
        <v>19.0</v>
      </c>
      <c r="J30" s="8">
        <v>46.0</v>
      </c>
      <c r="K30" s="7" t="str">
        <f t="shared" si="19"/>
        <v>0</v>
      </c>
      <c r="L30" s="7" t="str">
        <f t="shared" si="20"/>
        <v>0011000000000011100000010101001111000010101010</v>
      </c>
      <c r="M30" s="1">
        <v>7.0</v>
      </c>
      <c r="N30" s="3" t="str">
        <f t="shared" si="23"/>
        <v/>
      </c>
      <c r="O30" s="3" t="str">
        <f t="shared" si="24"/>
        <v>00</v>
      </c>
      <c r="Q30" s="8">
        <v>10.0</v>
      </c>
      <c r="R30" s="8">
        <v>7.0</v>
      </c>
      <c r="S30" s="7" t="str">
        <f t="shared" si="21"/>
        <v>1</v>
      </c>
      <c r="T30" s="7" t="str">
        <f t="shared" si="22"/>
        <v>101011101011011111011111100000010100000</v>
      </c>
      <c r="U30" s="8">
        <v>27.0</v>
      </c>
      <c r="V30" s="8">
        <v>30.0</v>
      </c>
      <c r="W30" s="7" t="str">
        <f t="shared" si="8"/>
        <v>0</v>
      </c>
      <c r="X30" s="7" t="str">
        <f t="shared" si="11"/>
        <v>110010100000000001101011110</v>
      </c>
    </row>
    <row r="31">
      <c r="I31" s="8">
        <v>20.0</v>
      </c>
      <c r="J31" s="8">
        <v>38.0</v>
      </c>
      <c r="K31" s="7" t="str">
        <f t="shared" si="19"/>
        <v>0</v>
      </c>
      <c r="L31" s="7" t="str">
        <f t="shared" si="20"/>
        <v>011000000000011100000010101001111000010101010</v>
      </c>
      <c r="M31" s="1">
        <v>8.0</v>
      </c>
      <c r="N31" s="3" t="str">
        <f t="shared" si="23"/>
        <v/>
      </c>
      <c r="O31" s="3" t="str">
        <f t="shared" si="24"/>
        <v>00</v>
      </c>
      <c r="Q31" s="8">
        <v>11.0</v>
      </c>
      <c r="R31" s="8">
        <v>8.0</v>
      </c>
      <c r="S31" s="7" t="str">
        <f t="shared" si="21"/>
        <v>0</v>
      </c>
      <c r="T31" s="7" t="str">
        <f t="shared" si="22"/>
        <v>01011101011011111011111100000010100000</v>
      </c>
      <c r="U31" s="8">
        <v>28.0</v>
      </c>
      <c r="V31" s="8">
        <v>6.0</v>
      </c>
      <c r="W31" s="7" t="str">
        <f t="shared" si="8"/>
        <v>0</v>
      </c>
      <c r="X31" s="7" t="str">
        <f t="shared" si="11"/>
        <v>1100101000000000011010111100</v>
      </c>
    </row>
    <row r="32">
      <c r="I32" s="8">
        <v>21.0</v>
      </c>
      <c r="J32" s="8">
        <v>30.0</v>
      </c>
      <c r="K32" s="7" t="str">
        <f t="shared" si="19"/>
        <v>1</v>
      </c>
      <c r="L32" s="7" t="str">
        <f t="shared" si="20"/>
        <v>11000000000011100000010101001111000010101010</v>
      </c>
      <c r="Q32" s="8">
        <v>12.0</v>
      </c>
      <c r="R32" s="8">
        <v>9.0</v>
      </c>
      <c r="S32" s="7" t="str">
        <f t="shared" si="21"/>
        <v>1</v>
      </c>
      <c r="T32" s="7" t="str">
        <f t="shared" si="22"/>
        <v>1011101011011111011111100000010100000</v>
      </c>
      <c r="U32" s="8">
        <v>29.0</v>
      </c>
      <c r="V32" s="8">
        <v>22.0</v>
      </c>
      <c r="W32" s="7" t="str">
        <f t="shared" si="8"/>
        <v>0</v>
      </c>
      <c r="X32" s="7" t="str">
        <f t="shared" si="11"/>
        <v>11001010000000000110101111000</v>
      </c>
    </row>
    <row r="33">
      <c r="A33" s="6" t="s">
        <v>12</v>
      </c>
      <c r="B33" s="7" t="str">
        <f>B1</f>
        <v>110010110011110100001011101111000111000001110010</v>
      </c>
      <c r="I33" s="8">
        <v>22.0</v>
      </c>
      <c r="J33" s="8">
        <v>22.0</v>
      </c>
      <c r="K33" s="7" t="str">
        <f t="shared" si="19"/>
        <v>1</v>
      </c>
      <c r="L33" s="7" t="str">
        <f t="shared" si="20"/>
        <v>1000000000011100000010101001111000010101010</v>
      </c>
      <c r="Q33" s="8">
        <v>13.0</v>
      </c>
      <c r="R33" s="8">
        <v>8.0</v>
      </c>
      <c r="S33" s="7" t="str">
        <f t="shared" si="21"/>
        <v>0</v>
      </c>
      <c r="T33" s="7" t="str">
        <f t="shared" si="22"/>
        <v>011101011011111011111100000010100000</v>
      </c>
      <c r="U33" s="8">
        <v>30.0</v>
      </c>
      <c r="V33" s="8">
        <v>11.0</v>
      </c>
      <c r="W33" s="7" t="str">
        <f t="shared" si="8"/>
        <v>1</v>
      </c>
      <c r="X33" s="7" t="str">
        <f t="shared" si="11"/>
        <v>110010100000000001101011110001</v>
      </c>
    </row>
    <row r="34">
      <c r="A34" s="1" t="s">
        <v>8</v>
      </c>
      <c r="B34" s="1" t="s">
        <v>8</v>
      </c>
      <c r="C34" s="1" t="s">
        <v>9</v>
      </c>
      <c r="D34" s="1" t="s">
        <v>26</v>
      </c>
      <c r="I34" s="8">
        <v>23.0</v>
      </c>
      <c r="J34" s="8">
        <v>14.0</v>
      </c>
      <c r="K34" s="7" t="str">
        <f t="shared" si="19"/>
        <v>0</v>
      </c>
      <c r="L34" s="7" t="str">
        <f t="shared" si="20"/>
        <v>000000000011100000010101001111000010101010</v>
      </c>
      <c r="Q34" s="8">
        <v>14.0</v>
      </c>
      <c r="R34" s="8">
        <v>9.0</v>
      </c>
      <c r="S34" s="7" t="str">
        <f t="shared" si="21"/>
        <v>1</v>
      </c>
      <c r="T34" s="7" t="str">
        <f t="shared" si="22"/>
        <v>11101011011111011111100000010100000</v>
      </c>
      <c r="U34" s="8">
        <v>31.0</v>
      </c>
      <c r="V34" s="8">
        <v>4.0</v>
      </c>
      <c r="W34" s="7" t="str">
        <f t="shared" si="8"/>
        <v>0</v>
      </c>
      <c r="X34" s="7" t="str">
        <f t="shared" si="11"/>
        <v>1100101000000000011010111100010</v>
      </c>
    </row>
    <row r="35">
      <c r="A35" s="1">
        <v>1.0</v>
      </c>
      <c r="B35" s="3" t="str">
        <f t="shared" ref="B35:B40" si="25">MID($B$1,(A35-1)*8+1,8)</f>
        <v>11001011</v>
      </c>
      <c r="C35" s="3" t="str">
        <f t="shared" ref="C35:C40" si="26">BIN2HEX(B35,2)</f>
        <v>CB</v>
      </c>
      <c r="D35" s="3">
        <f t="shared" ref="D35:D40" si="27">BIN2DEC(B35)</f>
        <v>203</v>
      </c>
      <c r="I35" s="8">
        <v>24.0</v>
      </c>
      <c r="J35" s="8">
        <v>6.0</v>
      </c>
      <c r="K35" s="7" t="str">
        <f t="shared" si="19"/>
        <v>0</v>
      </c>
      <c r="L35" s="7" t="str">
        <f t="shared" si="20"/>
        <v>00000000011100000010101001111000010101010</v>
      </c>
      <c r="Q35" s="8">
        <v>15.0</v>
      </c>
      <c r="R35" s="8">
        <v>10.0</v>
      </c>
      <c r="S35" s="7" t="str">
        <f t="shared" si="21"/>
        <v>1</v>
      </c>
      <c r="T35" s="7" t="str">
        <f t="shared" si="22"/>
        <v>1101011011111011111100000010100000</v>
      </c>
      <c r="U35" s="8">
        <v>32.0</v>
      </c>
      <c r="V35" s="8">
        <v>25.0</v>
      </c>
      <c r="W35" s="7" t="str">
        <f t="shared" si="8"/>
        <v>0</v>
      </c>
      <c r="X35" s="7" t="str">
        <f t="shared" si="11"/>
        <v>11001010000000000110101111000100</v>
      </c>
    </row>
    <row r="36">
      <c r="A36" s="1">
        <v>2.0</v>
      </c>
      <c r="B36" s="3" t="str">
        <f t="shared" si="25"/>
        <v>00111101</v>
      </c>
      <c r="C36" s="3" t="str">
        <f t="shared" si="26"/>
        <v>3D</v>
      </c>
      <c r="D36" s="3">
        <f t="shared" si="27"/>
        <v>61</v>
      </c>
      <c r="I36" s="8">
        <v>25.0</v>
      </c>
      <c r="J36" s="8">
        <v>64.0</v>
      </c>
      <c r="K36" s="7" t="str">
        <f t="shared" si="19"/>
        <v>0</v>
      </c>
      <c r="L36" s="7" t="str">
        <f t="shared" si="20"/>
        <v>0000000011100000010101001111000010101010</v>
      </c>
      <c r="Q36" s="8">
        <v>16.0</v>
      </c>
      <c r="R36" s="8">
        <v>11.0</v>
      </c>
      <c r="S36" s="7" t="str">
        <f t="shared" si="21"/>
        <v>1</v>
      </c>
      <c r="T36" s="7" t="str">
        <f t="shared" si="22"/>
        <v>101011011111011111100000010100000</v>
      </c>
    </row>
    <row r="37">
      <c r="A37" s="1">
        <v>3.0</v>
      </c>
      <c r="B37" s="3" t="str">
        <f t="shared" si="25"/>
        <v>00001011</v>
      </c>
      <c r="C37" s="3" t="str">
        <f t="shared" si="26"/>
        <v>0B</v>
      </c>
      <c r="D37" s="3">
        <f t="shared" si="27"/>
        <v>11</v>
      </c>
      <c r="I37" s="8">
        <v>26.0</v>
      </c>
      <c r="J37" s="8">
        <v>56.0</v>
      </c>
      <c r="K37" s="7" t="str">
        <f t="shared" si="19"/>
        <v>0</v>
      </c>
      <c r="L37" s="7" t="str">
        <f t="shared" si="20"/>
        <v>000000011100000010101001111000010101010</v>
      </c>
      <c r="Q37" s="8">
        <v>17.0</v>
      </c>
      <c r="R37" s="8">
        <v>12.0</v>
      </c>
      <c r="S37" s="7" t="str">
        <f t="shared" si="21"/>
        <v>0</v>
      </c>
      <c r="T37" s="7" t="str">
        <f t="shared" si="22"/>
        <v>01011011111011111100000010100000</v>
      </c>
    </row>
    <row r="38">
      <c r="A38" s="1">
        <v>4.0</v>
      </c>
      <c r="B38" s="3" t="str">
        <f t="shared" si="25"/>
        <v>10111100</v>
      </c>
      <c r="C38" s="3" t="str">
        <f t="shared" si="26"/>
        <v>BC</v>
      </c>
      <c r="D38" s="3">
        <f t="shared" si="27"/>
        <v>188</v>
      </c>
      <c r="I38" s="8">
        <v>27.0</v>
      </c>
      <c r="J38" s="8">
        <v>48.0</v>
      </c>
      <c r="K38" s="7" t="str">
        <f t="shared" si="19"/>
        <v>0</v>
      </c>
      <c r="L38" s="7" t="str">
        <f t="shared" si="20"/>
        <v>00000011100000010101001111000010101010</v>
      </c>
      <c r="Q38" s="8">
        <v>18.0</v>
      </c>
      <c r="R38" s="8">
        <v>13.0</v>
      </c>
      <c r="S38" s="7" t="str">
        <f t="shared" si="21"/>
        <v>1</v>
      </c>
      <c r="T38" s="7" t="str">
        <f t="shared" si="22"/>
        <v>1011011111011111100000010100000</v>
      </c>
      <c r="U38" s="11" t="s">
        <v>27</v>
      </c>
      <c r="V38" s="12" t="str">
        <f>X35</f>
        <v>11001010000000000110101111000100</v>
      </c>
      <c r="W38" s="12"/>
      <c r="X38" s="12"/>
    </row>
    <row r="39">
      <c r="A39" s="1">
        <v>5.0</v>
      </c>
      <c r="B39" s="3" t="str">
        <f t="shared" si="25"/>
        <v>01110000</v>
      </c>
      <c r="C39" s="3" t="str">
        <f t="shared" si="26"/>
        <v>70</v>
      </c>
      <c r="D39" s="3">
        <f t="shared" si="27"/>
        <v>112</v>
      </c>
      <c r="I39" s="8">
        <v>28.0</v>
      </c>
      <c r="J39" s="8">
        <v>40.0</v>
      </c>
      <c r="K39" s="7" t="str">
        <f t="shared" si="19"/>
        <v>0</v>
      </c>
      <c r="L39" s="7" t="str">
        <f t="shared" si="20"/>
        <v>0000011100000010101001111000010101010</v>
      </c>
      <c r="Q39" s="8">
        <v>19.0</v>
      </c>
      <c r="R39" s="8">
        <v>12.0</v>
      </c>
      <c r="S39" s="7" t="str">
        <f t="shared" si="21"/>
        <v>0</v>
      </c>
      <c r="T39" s="7" t="str">
        <f t="shared" si="22"/>
        <v>011011111011111100000010100000</v>
      </c>
    </row>
    <row r="40">
      <c r="A40" s="1">
        <v>6.0</v>
      </c>
      <c r="B40" s="3" t="str">
        <f t="shared" si="25"/>
        <v>01110010</v>
      </c>
      <c r="C40" s="3" t="str">
        <f t="shared" si="26"/>
        <v>72</v>
      </c>
      <c r="D40" s="3">
        <f t="shared" si="27"/>
        <v>114</v>
      </c>
      <c r="I40" s="8">
        <v>29.0</v>
      </c>
      <c r="J40" s="8">
        <v>32.0</v>
      </c>
      <c r="K40" s="7" t="str">
        <f t="shared" si="19"/>
        <v>0</v>
      </c>
      <c r="L40" s="7" t="str">
        <f t="shared" si="20"/>
        <v>000011100000010101001111000010101010</v>
      </c>
      <c r="Q40" s="8">
        <v>20.0</v>
      </c>
      <c r="R40" s="8">
        <v>13.0</v>
      </c>
      <c r="S40" s="7" t="str">
        <f t="shared" si="21"/>
        <v>1</v>
      </c>
      <c r="T40" s="7" t="str">
        <f t="shared" si="22"/>
        <v>11011111011111100000010100000</v>
      </c>
      <c r="U40" s="6" t="s">
        <v>28</v>
      </c>
    </row>
    <row r="41">
      <c r="I41" s="8">
        <v>30.0</v>
      </c>
      <c r="J41" s="8">
        <v>24.0</v>
      </c>
      <c r="K41" s="7" t="str">
        <f t="shared" si="19"/>
        <v>0</v>
      </c>
      <c r="L41" s="7" t="str">
        <f t="shared" si="20"/>
        <v>00011100000010101001111000010101010</v>
      </c>
      <c r="Q41" s="8">
        <v>21.0</v>
      </c>
      <c r="R41" s="8">
        <v>14.0</v>
      </c>
      <c r="S41" s="7" t="str">
        <f t="shared" si="21"/>
        <v>1</v>
      </c>
      <c r="T41" s="7" t="str">
        <f t="shared" si="22"/>
        <v>1011111011111100000010100000</v>
      </c>
      <c r="U41" s="6" t="s">
        <v>29</v>
      </c>
      <c r="V41" s="7" t="str">
        <f>N20</f>
        <v>01111110011010001100000100101000</v>
      </c>
    </row>
    <row r="42">
      <c r="A42" s="1" t="s">
        <v>8</v>
      </c>
      <c r="B42" s="1" t="s">
        <v>8</v>
      </c>
      <c r="C42" s="1" t="s">
        <v>9</v>
      </c>
      <c r="D42" s="1" t="s">
        <v>30</v>
      </c>
      <c r="E42" s="2" t="str">
        <f>T21</f>
        <v>001100000101011101011011111011111100000010100000</v>
      </c>
      <c r="I42" s="8">
        <v>31.0</v>
      </c>
      <c r="J42" s="8">
        <v>16.0</v>
      </c>
      <c r="K42" s="7" t="str">
        <f t="shared" si="19"/>
        <v>0</v>
      </c>
      <c r="L42" s="7" t="str">
        <f t="shared" si="20"/>
        <v>0011100000010101001111000010101010</v>
      </c>
      <c r="Q42" s="8">
        <v>22.0</v>
      </c>
      <c r="R42" s="8">
        <v>15.0</v>
      </c>
      <c r="S42" s="7" t="str">
        <f t="shared" si="21"/>
        <v>0</v>
      </c>
      <c r="T42" s="7" t="str">
        <f t="shared" si="22"/>
        <v>011111011111100000010100000</v>
      </c>
    </row>
    <row r="43">
      <c r="A43" s="1">
        <v>1.0</v>
      </c>
      <c r="B43" s="3" t="str">
        <f t="shared" ref="B43:B48" si="28">MID($T$21,(A43-1)*8+1,8)</f>
        <v>00110000</v>
      </c>
      <c r="C43" s="3" t="str">
        <f t="shared" ref="C43:C48" si="29">BIN2HEX(B43,2)</f>
        <v>30</v>
      </c>
      <c r="D43" s="3">
        <f t="shared" ref="D43:D48" si="30">BIN2DEC(B43)</f>
        <v>48</v>
      </c>
      <c r="E43" s="3"/>
      <c r="I43" s="8">
        <v>32.0</v>
      </c>
      <c r="J43" s="8">
        <v>8.0</v>
      </c>
      <c r="K43" s="7" t="str">
        <f t="shared" si="19"/>
        <v>0</v>
      </c>
      <c r="L43" s="7" t="str">
        <f t="shared" si="20"/>
        <v>011100000010101001111000010101010</v>
      </c>
      <c r="Q43" s="8">
        <v>23.0</v>
      </c>
      <c r="R43" s="8">
        <v>16.0</v>
      </c>
      <c r="S43" s="7" t="str">
        <f t="shared" si="21"/>
        <v>1</v>
      </c>
      <c r="T43" s="7" t="str">
        <f t="shared" si="22"/>
        <v>11111011111100000010100000</v>
      </c>
      <c r="U43" s="1" t="s">
        <v>8</v>
      </c>
      <c r="V43" s="1" t="s">
        <v>8</v>
      </c>
      <c r="W43" s="1" t="s">
        <v>9</v>
      </c>
      <c r="X43" s="1" t="s">
        <v>26</v>
      </c>
    </row>
    <row r="44">
      <c r="A44" s="1">
        <v>2.0</v>
      </c>
      <c r="B44" s="3" t="str">
        <f t="shared" si="28"/>
        <v>01010111</v>
      </c>
      <c r="C44" s="3" t="str">
        <f t="shared" si="29"/>
        <v>57</v>
      </c>
      <c r="D44" s="3">
        <f t="shared" si="30"/>
        <v>87</v>
      </c>
      <c r="E44" s="3"/>
      <c r="I44" s="8">
        <v>33.0</v>
      </c>
      <c r="J44" s="8">
        <v>57.0</v>
      </c>
      <c r="K44" s="7" t="str">
        <f t="shared" si="19"/>
        <v>1</v>
      </c>
      <c r="L44" s="7" t="str">
        <f t="shared" si="20"/>
        <v>11100000010101001111000010101010</v>
      </c>
      <c r="Q44" s="8">
        <v>24.0</v>
      </c>
      <c r="R44" s="8">
        <v>17.0</v>
      </c>
      <c r="S44" s="7" t="str">
        <f t="shared" si="21"/>
        <v>1</v>
      </c>
      <c r="T44" s="7" t="str">
        <f t="shared" si="22"/>
        <v>1111011111100000010100000</v>
      </c>
      <c r="U44" s="1">
        <v>1.0</v>
      </c>
      <c r="V44" s="3" t="str">
        <f t="shared" ref="V44:V47" si="31">MID($V$38,(U44-1)*8+1,8)</f>
        <v>11001010</v>
      </c>
      <c r="W44" s="3" t="str">
        <f t="shared" ref="W44:W47" si="32">BIN2HEX(V44,2)</f>
        <v>CA</v>
      </c>
      <c r="X44" s="3">
        <f t="shared" ref="X44:X47" si="33">HEX2DEC(W44)</f>
        <v>202</v>
      </c>
    </row>
    <row r="45">
      <c r="A45" s="1">
        <v>3.0</v>
      </c>
      <c r="B45" s="3" t="str">
        <f t="shared" si="28"/>
        <v>01011011</v>
      </c>
      <c r="C45" s="3" t="str">
        <f t="shared" si="29"/>
        <v>5B</v>
      </c>
      <c r="D45" s="3">
        <f t="shared" si="30"/>
        <v>91</v>
      </c>
      <c r="E45" s="3"/>
      <c r="I45" s="8">
        <v>34.0</v>
      </c>
      <c r="J45" s="8">
        <v>49.0</v>
      </c>
      <c r="K45" s="7" t="str">
        <f t="shared" si="19"/>
        <v>1</v>
      </c>
      <c r="L45" s="7" t="str">
        <f t="shared" si="20"/>
        <v>1100000010101001111000010101010</v>
      </c>
      <c r="Q45" s="8">
        <v>25.0</v>
      </c>
      <c r="R45" s="8">
        <v>16.0</v>
      </c>
      <c r="S45" s="7" t="str">
        <f t="shared" si="21"/>
        <v>1</v>
      </c>
      <c r="T45" s="7" t="str">
        <f t="shared" si="22"/>
        <v>111011111100000010100000</v>
      </c>
      <c r="U45" s="1">
        <v>2.0</v>
      </c>
      <c r="V45" s="3" t="str">
        <f t="shared" si="31"/>
        <v>00000000</v>
      </c>
      <c r="W45" s="3" t="str">
        <f t="shared" si="32"/>
        <v>00</v>
      </c>
      <c r="X45" s="3">
        <f t="shared" si="33"/>
        <v>0</v>
      </c>
    </row>
    <row r="46">
      <c r="A46" s="1">
        <v>4.0</v>
      </c>
      <c r="B46" s="3" t="str">
        <f t="shared" si="28"/>
        <v>11101111</v>
      </c>
      <c r="C46" s="3" t="str">
        <f t="shared" si="29"/>
        <v>EF</v>
      </c>
      <c r="D46" s="3">
        <f t="shared" si="30"/>
        <v>239</v>
      </c>
      <c r="E46" s="3"/>
      <c r="I46" s="8">
        <v>35.0</v>
      </c>
      <c r="J46" s="8">
        <v>41.0</v>
      </c>
      <c r="K46" s="7" t="str">
        <f t="shared" si="19"/>
        <v>1</v>
      </c>
      <c r="L46" s="7" t="str">
        <f t="shared" si="20"/>
        <v>100000010101001111000010101010</v>
      </c>
      <c r="Q46" s="8">
        <v>26.0</v>
      </c>
      <c r="R46" s="8">
        <v>17.0</v>
      </c>
      <c r="S46" s="7" t="str">
        <f t="shared" si="21"/>
        <v>1</v>
      </c>
      <c r="T46" s="7" t="str">
        <f t="shared" si="22"/>
        <v>11011111100000010100000</v>
      </c>
      <c r="U46" s="1">
        <v>3.0</v>
      </c>
      <c r="V46" s="3" t="str">
        <f t="shared" si="31"/>
        <v>01101011</v>
      </c>
      <c r="W46" s="3" t="str">
        <f t="shared" si="32"/>
        <v>6B</v>
      </c>
      <c r="X46" s="3">
        <f t="shared" si="33"/>
        <v>107</v>
      </c>
    </row>
    <row r="47">
      <c r="A47" s="1">
        <v>5.0</v>
      </c>
      <c r="B47" s="3" t="str">
        <f t="shared" si="28"/>
        <v>11000000</v>
      </c>
      <c r="C47" s="3" t="str">
        <f t="shared" si="29"/>
        <v>C0</v>
      </c>
      <c r="D47" s="3">
        <f t="shared" si="30"/>
        <v>192</v>
      </c>
      <c r="I47" s="8">
        <v>36.0</v>
      </c>
      <c r="J47" s="8">
        <v>33.0</v>
      </c>
      <c r="K47" s="7" t="str">
        <f t="shared" si="19"/>
        <v>0</v>
      </c>
      <c r="L47" s="7" t="str">
        <f t="shared" si="20"/>
        <v>00000010101001111000010101010</v>
      </c>
      <c r="Q47" s="8">
        <v>27.0</v>
      </c>
      <c r="R47" s="8">
        <v>18.0</v>
      </c>
      <c r="S47" s="7" t="str">
        <f t="shared" si="21"/>
        <v>1</v>
      </c>
      <c r="T47" s="7" t="str">
        <f t="shared" si="22"/>
        <v>1011111100000010100000</v>
      </c>
      <c r="U47" s="1">
        <v>4.0</v>
      </c>
      <c r="V47" s="3" t="str">
        <f t="shared" si="31"/>
        <v>11000100</v>
      </c>
      <c r="W47" s="3" t="str">
        <f t="shared" si="32"/>
        <v>C4</v>
      </c>
      <c r="X47" s="3">
        <f t="shared" si="33"/>
        <v>196</v>
      </c>
    </row>
    <row r="48">
      <c r="A48" s="1">
        <v>6.0</v>
      </c>
      <c r="B48" s="3" t="str">
        <f t="shared" si="28"/>
        <v>10100000</v>
      </c>
      <c r="C48" s="3" t="str">
        <f t="shared" si="29"/>
        <v>A0</v>
      </c>
      <c r="D48" s="3">
        <f t="shared" si="30"/>
        <v>160</v>
      </c>
      <c r="I48" s="8">
        <v>37.0</v>
      </c>
      <c r="J48" s="8">
        <v>25.0</v>
      </c>
      <c r="K48" s="7" t="str">
        <f t="shared" si="19"/>
        <v>0</v>
      </c>
      <c r="L48" s="7" t="str">
        <f t="shared" si="20"/>
        <v>0000010101001111000010101010</v>
      </c>
      <c r="Q48" s="8">
        <v>28.0</v>
      </c>
      <c r="R48" s="8">
        <v>19.0</v>
      </c>
      <c r="S48" s="7" t="str">
        <f t="shared" si="21"/>
        <v>0</v>
      </c>
      <c r="T48" s="7" t="str">
        <f t="shared" si="22"/>
        <v>011111100000010100000</v>
      </c>
      <c r="U48" s="1"/>
      <c r="V48" s="3"/>
      <c r="W48" s="3"/>
      <c r="X48" s="3"/>
    </row>
    <row r="49">
      <c r="I49" s="8">
        <v>38.0</v>
      </c>
      <c r="J49" s="8">
        <v>17.0</v>
      </c>
      <c r="K49" s="7" t="str">
        <f t="shared" si="19"/>
        <v>0</v>
      </c>
      <c r="L49" s="7" t="str">
        <f t="shared" si="20"/>
        <v>000010101001111000010101010</v>
      </c>
      <c r="Q49" s="8">
        <v>29.0</v>
      </c>
      <c r="R49" s="8">
        <v>20.0</v>
      </c>
      <c r="S49" s="7" t="str">
        <f t="shared" si="21"/>
        <v>1</v>
      </c>
      <c r="T49" s="7" t="str">
        <f t="shared" si="22"/>
        <v>11111100000010100000</v>
      </c>
      <c r="U49" s="1"/>
      <c r="V49" s="3"/>
      <c r="W49" s="3"/>
      <c r="X49" s="3"/>
    </row>
    <row r="50">
      <c r="A50" s="6" t="s">
        <v>8</v>
      </c>
      <c r="B50" s="6" t="s">
        <v>31</v>
      </c>
      <c r="C50" s="6" t="s">
        <v>4</v>
      </c>
      <c r="D50" s="6" t="s">
        <v>9</v>
      </c>
      <c r="I50" s="8">
        <v>39.0</v>
      </c>
      <c r="J50" s="8">
        <v>9.0</v>
      </c>
      <c r="K50" s="7" t="str">
        <f t="shared" si="19"/>
        <v>0</v>
      </c>
      <c r="L50" s="7" t="str">
        <f t="shared" si="20"/>
        <v>00010101001111000010101010</v>
      </c>
      <c r="Q50" s="8">
        <v>30.0</v>
      </c>
      <c r="R50" s="8">
        <v>21.0</v>
      </c>
      <c r="S50" s="7" t="str">
        <f t="shared" si="21"/>
        <v>1</v>
      </c>
      <c r="T50" s="7" t="str">
        <f t="shared" si="22"/>
        <v>1111100000010100000</v>
      </c>
    </row>
    <row r="51">
      <c r="A51" s="6">
        <v>1.0</v>
      </c>
      <c r="B51" s="7">
        <f t="shared" ref="B51:B56" si="34">BITXOR(D35,D43)</f>
        <v>251</v>
      </c>
      <c r="C51" s="7" t="str">
        <f t="shared" ref="C51:C56" si="35">DEC2BIN(B51,8)</f>
        <v>11111011</v>
      </c>
      <c r="D51" s="7" t="str">
        <f t="shared" ref="D51:D56" si="36">DEC2HEX(B51,2)</f>
        <v>FB</v>
      </c>
      <c r="I51" s="8">
        <v>40.0</v>
      </c>
      <c r="J51" s="8">
        <v>1.0</v>
      </c>
      <c r="K51" s="7" t="str">
        <f t="shared" si="19"/>
        <v>0</v>
      </c>
      <c r="L51" s="7" t="str">
        <f t="shared" si="20"/>
        <v>0010101001111000010101010</v>
      </c>
      <c r="Q51" s="8">
        <v>31.0</v>
      </c>
      <c r="R51" s="8">
        <v>20.0</v>
      </c>
      <c r="S51" s="7" t="str">
        <f t="shared" si="21"/>
        <v>1</v>
      </c>
      <c r="T51" s="7" t="str">
        <f t="shared" si="22"/>
        <v>111100000010100000</v>
      </c>
      <c r="U51" s="1" t="s">
        <v>8</v>
      </c>
      <c r="V51" s="1" t="s">
        <v>8</v>
      </c>
      <c r="W51" s="1" t="s">
        <v>9</v>
      </c>
      <c r="X51" s="1" t="s">
        <v>26</v>
      </c>
    </row>
    <row r="52">
      <c r="A52" s="6">
        <v>2.0</v>
      </c>
      <c r="B52" s="7">
        <f t="shared" si="34"/>
        <v>106</v>
      </c>
      <c r="C52" s="7" t="str">
        <f t="shared" si="35"/>
        <v>01101010</v>
      </c>
      <c r="D52" s="7" t="str">
        <f t="shared" si="36"/>
        <v>6A</v>
      </c>
      <c r="I52" s="8">
        <v>41.0</v>
      </c>
      <c r="J52" s="8">
        <v>59.0</v>
      </c>
      <c r="K52" s="7" t="str">
        <f t="shared" si="19"/>
        <v>0</v>
      </c>
      <c r="L52" s="7" t="str">
        <f t="shared" si="20"/>
        <v>010101001111000010101010</v>
      </c>
      <c r="Q52" s="8">
        <v>32.0</v>
      </c>
      <c r="R52" s="8">
        <v>21.0</v>
      </c>
      <c r="S52" s="7" t="str">
        <f t="shared" si="21"/>
        <v>1</v>
      </c>
      <c r="T52" s="7" t="str">
        <f t="shared" si="22"/>
        <v>11100000010100000</v>
      </c>
      <c r="U52" s="1">
        <v>1.0</v>
      </c>
      <c r="V52" s="3" t="str">
        <f t="shared" ref="V52:V55" si="37">MID($V$41,(U52-1)*8+1,8)</f>
        <v>01111110</v>
      </c>
      <c r="W52" s="3" t="str">
        <f t="shared" ref="W52:W55" si="38">BIN2HEX(V52,2)</f>
        <v>7E</v>
      </c>
      <c r="X52" s="3">
        <f t="shared" ref="X52:X55" si="39">HEX2DEC(W52)</f>
        <v>126</v>
      </c>
    </row>
    <row r="53">
      <c r="A53" s="6">
        <v>3.0</v>
      </c>
      <c r="B53" s="7">
        <f t="shared" si="34"/>
        <v>80</v>
      </c>
      <c r="C53" s="7" t="str">
        <f t="shared" si="35"/>
        <v>01010000</v>
      </c>
      <c r="D53" s="7" t="str">
        <f t="shared" si="36"/>
        <v>50</v>
      </c>
      <c r="I53" s="8">
        <v>42.0</v>
      </c>
      <c r="J53" s="8">
        <v>51.0</v>
      </c>
      <c r="K53" s="7" t="str">
        <f t="shared" si="19"/>
        <v>1</v>
      </c>
      <c r="L53" s="7" t="str">
        <f t="shared" si="20"/>
        <v>10101001111000010101010</v>
      </c>
      <c r="Q53" s="8">
        <v>33.0</v>
      </c>
      <c r="R53" s="8">
        <v>22.0</v>
      </c>
      <c r="S53" s="7" t="str">
        <f t="shared" si="21"/>
        <v>1</v>
      </c>
      <c r="T53" s="7" t="str">
        <f t="shared" si="22"/>
        <v>1100000010100000</v>
      </c>
      <c r="U53" s="1">
        <v>2.0</v>
      </c>
      <c r="V53" s="3" t="str">
        <f t="shared" si="37"/>
        <v>01101000</v>
      </c>
      <c r="W53" s="3" t="str">
        <f t="shared" si="38"/>
        <v>68</v>
      </c>
      <c r="X53" s="3">
        <f t="shared" si="39"/>
        <v>104</v>
      </c>
    </row>
    <row r="54">
      <c r="A54" s="6">
        <v>4.0</v>
      </c>
      <c r="B54" s="7">
        <f t="shared" si="34"/>
        <v>83</v>
      </c>
      <c r="C54" s="7" t="str">
        <f t="shared" si="35"/>
        <v>01010011</v>
      </c>
      <c r="D54" s="7" t="str">
        <f t="shared" si="36"/>
        <v>53</v>
      </c>
      <c r="I54" s="8">
        <v>43.0</v>
      </c>
      <c r="J54" s="8">
        <v>43.0</v>
      </c>
      <c r="K54" s="7" t="str">
        <f t="shared" si="19"/>
        <v>0</v>
      </c>
      <c r="L54" s="7" t="str">
        <f t="shared" si="20"/>
        <v>0101001111000010101010</v>
      </c>
      <c r="Q54" s="8">
        <v>34.0</v>
      </c>
      <c r="R54" s="8">
        <v>23.0</v>
      </c>
      <c r="S54" s="7" t="str">
        <f t="shared" si="21"/>
        <v>1</v>
      </c>
      <c r="T54" s="7" t="str">
        <f t="shared" si="22"/>
        <v>100000010100000</v>
      </c>
      <c r="U54" s="1">
        <v>3.0</v>
      </c>
      <c r="V54" s="3" t="str">
        <f t="shared" si="37"/>
        <v>11000001</v>
      </c>
      <c r="W54" s="3" t="str">
        <f t="shared" si="38"/>
        <v>C1</v>
      </c>
      <c r="X54" s="3">
        <f t="shared" si="39"/>
        <v>193</v>
      </c>
    </row>
    <row r="55">
      <c r="A55" s="6">
        <v>5.0</v>
      </c>
      <c r="B55" s="7">
        <f t="shared" si="34"/>
        <v>176</v>
      </c>
      <c r="C55" s="7" t="str">
        <f t="shared" si="35"/>
        <v>10110000</v>
      </c>
      <c r="D55" s="7" t="str">
        <f t="shared" si="36"/>
        <v>B0</v>
      </c>
      <c r="I55" s="8">
        <v>44.0</v>
      </c>
      <c r="J55" s="8">
        <v>35.0</v>
      </c>
      <c r="K55" s="7" t="str">
        <f t="shared" si="19"/>
        <v>1</v>
      </c>
      <c r="L55" s="7" t="str">
        <f t="shared" si="20"/>
        <v>101001111000010101010</v>
      </c>
      <c r="Q55" s="8">
        <v>35.0</v>
      </c>
      <c r="R55" s="8">
        <v>24.0</v>
      </c>
      <c r="S55" s="7" t="str">
        <f t="shared" si="21"/>
        <v>0</v>
      </c>
      <c r="T55" s="7" t="str">
        <f t="shared" si="22"/>
        <v>00000010100000</v>
      </c>
      <c r="U55" s="1">
        <v>4.0</v>
      </c>
      <c r="V55" s="3" t="str">
        <f t="shared" si="37"/>
        <v>00101000</v>
      </c>
      <c r="W55" s="3" t="str">
        <f t="shared" si="38"/>
        <v>28</v>
      </c>
      <c r="X55" s="3">
        <f t="shared" si="39"/>
        <v>40</v>
      </c>
    </row>
    <row r="56">
      <c r="A56" s="6">
        <v>6.0</v>
      </c>
      <c r="B56" s="7">
        <f t="shared" si="34"/>
        <v>210</v>
      </c>
      <c r="C56" s="7" t="str">
        <f t="shared" si="35"/>
        <v>11010010</v>
      </c>
      <c r="D56" s="7" t="str">
        <f t="shared" si="36"/>
        <v>D2</v>
      </c>
      <c r="I56" s="8">
        <v>45.0</v>
      </c>
      <c r="J56" s="8">
        <v>27.0</v>
      </c>
      <c r="K56" s="7" t="str">
        <f t="shared" si="19"/>
        <v>0</v>
      </c>
      <c r="L56" s="7" t="str">
        <f t="shared" si="20"/>
        <v>01001111000010101010</v>
      </c>
      <c r="Q56" s="8">
        <v>36.0</v>
      </c>
      <c r="R56" s="8">
        <v>25.0</v>
      </c>
      <c r="S56" s="7" t="str">
        <f t="shared" si="21"/>
        <v>0</v>
      </c>
      <c r="T56" s="7" t="str">
        <f t="shared" si="22"/>
        <v>0000010100000</v>
      </c>
    </row>
    <row r="57">
      <c r="I57" s="8">
        <v>46.0</v>
      </c>
      <c r="J57" s="8">
        <v>19.0</v>
      </c>
      <c r="K57" s="7" t="str">
        <f t="shared" si="19"/>
        <v>1</v>
      </c>
      <c r="L57" s="7" t="str">
        <f t="shared" si="20"/>
        <v>1001111000010101010</v>
      </c>
      <c r="Q57" s="8">
        <v>37.0</v>
      </c>
      <c r="R57" s="8">
        <v>24.0</v>
      </c>
      <c r="S57" s="7" t="str">
        <f t="shared" si="21"/>
        <v>0</v>
      </c>
      <c r="T57" s="7" t="str">
        <f t="shared" si="22"/>
        <v>000010100000</v>
      </c>
      <c r="U57" s="9" t="s">
        <v>126</v>
      </c>
      <c r="V57" s="10" t="str">
        <f>Y62</f>
        <v>10110100011010001010101011101100</v>
      </c>
      <c r="W57" s="10"/>
      <c r="X57" s="10"/>
    </row>
    <row r="58">
      <c r="B58" s="6" t="s">
        <v>33</v>
      </c>
      <c r="I58" s="8">
        <v>47.0</v>
      </c>
      <c r="J58" s="8">
        <v>11.0</v>
      </c>
      <c r="K58" s="7" t="str">
        <f t="shared" si="19"/>
        <v>0</v>
      </c>
      <c r="L58" s="7" t="str">
        <f t="shared" si="20"/>
        <v>001111000010101010</v>
      </c>
      <c r="Q58" s="8">
        <v>38.0</v>
      </c>
      <c r="R58" s="8">
        <v>25.0</v>
      </c>
      <c r="S58" s="7" t="str">
        <f t="shared" si="21"/>
        <v>0</v>
      </c>
      <c r="T58" s="7" t="str">
        <f t="shared" si="22"/>
        <v>00010100000</v>
      </c>
      <c r="U58" s="6" t="s">
        <v>34</v>
      </c>
      <c r="V58" s="6" t="s">
        <v>35</v>
      </c>
      <c r="W58" s="6" t="s">
        <v>36</v>
      </c>
      <c r="X58" s="6" t="s">
        <v>4</v>
      </c>
    </row>
    <row r="59">
      <c r="B59" s="7" t="str">
        <f>C51&amp;C52&amp;C53&amp;C54&amp;C55&amp;C56</f>
        <v>111110110110101001010000010100111011000011010010</v>
      </c>
      <c r="I59" s="8">
        <v>48.0</v>
      </c>
      <c r="J59" s="8">
        <v>3.0</v>
      </c>
      <c r="K59" s="7" t="str">
        <f t="shared" si="19"/>
        <v>0</v>
      </c>
      <c r="L59" s="7" t="str">
        <f t="shared" si="20"/>
        <v>01111000010101010</v>
      </c>
      <c r="Q59" s="8">
        <v>39.0</v>
      </c>
      <c r="R59" s="8">
        <v>26.0</v>
      </c>
      <c r="S59" s="7" t="str">
        <f t="shared" si="21"/>
        <v>0</v>
      </c>
      <c r="T59" s="7" t="str">
        <f t="shared" si="22"/>
        <v>0010100000</v>
      </c>
      <c r="U59" s="6">
        <v>1.0</v>
      </c>
      <c r="V59" s="7">
        <f t="shared" ref="V59:V62" si="40">BITXOR(X44,X52)</f>
        <v>180</v>
      </c>
      <c r="W59" s="7" t="str">
        <f t="shared" ref="W59:W62" si="41">DEC2HEX(V59)</f>
        <v>B4</v>
      </c>
      <c r="X59" s="7" t="str">
        <f t="shared" ref="X59:X62" si="42">HEX2BIN(W59,8)</f>
        <v>10110100</v>
      </c>
    </row>
    <row r="60">
      <c r="I60" s="8">
        <v>49.0</v>
      </c>
      <c r="J60" s="8">
        <v>61.0</v>
      </c>
      <c r="K60" s="7" t="str">
        <f t="shared" si="19"/>
        <v>1</v>
      </c>
      <c r="L60" s="7" t="str">
        <f t="shared" si="20"/>
        <v>1111000010101010</v>
      </c>
      <c r="Q60" s="8">
        <v>40.0</v>
      </c>
      <c r="R60" s="8">
        <v>27.0</v>
      </c>
      <c r="S60" s="7" t="str">
        <f t="shared" si="21"/>
        <v>0</v>
      </c>
      <c r="T60" s="7" t="str">
        <f t="shared" si="22"/>
        <v>010100000</v>
      </c>
      <c r="U60" s="6">
        <v>2.0</v>
      </c>
      <c r="V60" s="7">
        <f t="shared" si="40"/>
        <v>104</v>
      </c>
      <c r="W60" s="7" t="str">
        <f t="shared" si="41"/>
        <v>68</v>
      </c>
      <c r="X60" s="7" t="str">
        <f t="shared" si="42"/>
        <v>01101000</v>
      </c>
      <c r="Y60" s="7" t="str">
        <f>X59&amp;X60</f>
        <v>1011010001101000</v>
      </c>
    </row>
    <row r="61">
      <c r="A61" s="6" t="s">
        <v>37</v>
      </c>
      <c r="I61" s="8">
        <v>50.0</v>
      </c>
      <c r="J61" s="8">
        <v>53.0</v>
      </c>
      <c r="K61" s="7" t="str">
        <f t="shared" si="19"/>
        <v>1</v>
      </c>
      <c r="L61" s="7" t="str">
        <f t="shared" si="20"/>
        <v>111000010101010</v>
      </c>
      <c r="Q61" s="8">
        <v>41.0</v>
      </c>
      <c r="R61" s="8">
        <v>28.0</v>
      </c>
      <c r="S61" s="7" t="str">
        <f t="shared" si="21"/>
        <v>1</v>
      </c>
      <c r="T61" s="7" t="str">
        <f t="shared" si="22"/>
        <v>10100000</v>
      </c>
      <c r="U61" s="6">
        <v>3.0</v>
      </c>
      <c r="V61" s="7">
        <f t="shared" si="40"/>
        <v>170</v>
      </c>
      <c r="W61" s="7" t="str">
        <f t="shared" si="41"/>
        <v>AA</v>
      </c>
      <c r="X61" s="7" t="str">
        <f t="shared" si="42"/>
        <v>10101010</v>
      </c>
      <c r="Y61" s="7" t="str">
        <f t="shared" ref="Y61:Y62" si="43">Y60&amp;X61</f>
        <v>101101000110100010101010</v>
      </c>
    </row>
    <row r="62">
      <c r="A62" s="6" t="s">
        <v>38</v>
      </c>
      <c r="C62" s="6" t="s">
        <v>39</v>
      </c>
      <c r="D62" s="6" t="s">
        <v>40</v>
      </c>
      <c r="F62" s="6" t="s">
        <v>41</v>
      </c>
      <c r="G62" s="6" t="s">
        <v>14</v>
      </c>
      <c r="H62" s="6" t="s">
        <v>4</v>
      </c>
      <c r="I62" s="8">
        <v>51.0</v>
      </c>
      <c r="J62" s="8">
        <v>45.0</v>
      </c>
      <c r="K62" s="7" t="str">
        <f t="shared" si="19"/>
        <v>1</v>
      </c>
      <c r="L62" s="7" t="str">
        <f t="shared" si="20"/>
        <v>11000010101010</v>
      </c>
      <c r="Q62" s="8">
        <v>42.0</v>
      </c>
      <c r="R62" s="8">
        <v>29.0</v>
      </c>
      <c r="S62" s="7" t="str">
        <f t="shared" si="21"/>
        <v>0</v>
      </c>
      <c r="T62" s="7" t="str">
        <f t="shared" si="22"/>
        <v>0100000</v>
      </c>
      <c r="U62" s="6">
        <v>4.0</v>
      </c>
      <c r="V62" s="7">
        <f t="shared" si="40"/>
        <v>236</v>
      </c>
      <c r="W62" s="7" t="str">
        <f t="shared" si="41"/>
        <v>EC</v>
      </c>
      <c r="X62" s="7" t="str">
        <f t="shared" si="42"/>
        <v>11101100</v>
      </c>
      <c r="Y62" s="7" t="str">
        <f t="shared" si="43"/>
        <v>10110100011010001010101011101100</v>
      </c>
    </row>
    <row r="63">
      <c r="A63" s="6">
        <v>1.0</v>
      </c>
      <c r="B63" s="7" t="str">
        <f t="shared" ref="B63:B70" si="44">MID($B$59,(A63-1)*6+1,6)</f>
        <v>111110</v>
      </c>
      <c r="C63" s="7" t="str">
        <f t="shared" ref="C63:C70" si="45">LEFT(B63,1)&amp;RIGHT(B63,1)</f>
        <v>10</v>
      </c>
      <c r="D63" s="7" t="str">
        <f t="shared" ref="D63:D70" si="46">MID(B63,2,4)</f>
        <v>1111</v>
      </c>
      <c r="E63" s="7" t="str">
        <f t="shared" ref="E63:E70" si="47">C63&amp;D63</f>
        <v>101111</v>
      </c>
      <c r="F63" s="7">
        <f t="shared" ref="F63:F70" si="48">BIN2DEC(E63)</f>
        <v>47</v>
      </c>
      <c r="G63" s="7">
        <f>VLOOKUP(F63,$A$79:$I$142,2,TRUE)</f>
        <v>2</v>
      </c>
      <c r="H63" s="7" t="str">
        <f t="shared" ref="H63:H70" si="49">DEC2BIN(G63,4)</f>
        <v>0010</v>
      </c>
      <c r="I63" s="8">
        <v>52.0</v>
      </c>
      <c r="J63" s="8">
        <v>37.0</v>
      </c>
      <c r="K63" s="7" t="str">
        <f t="shared" si="19"/>
        <v>1</v>
      </c>
      <c r="L63" s="7" t="str">
        <f t="shared" si="20"/>
        <v>1000010101010</v>
      </c>
      <c r="Q63" s="8">
        <v>43.0</v>
      </c>
      <c r="R63" s="8">
        <v>28.0</v>
      </c>
      <c r="S63" s="7" t="str">
        <f t="shared" si="21"/>
        <v>1</v>
      </c>
      <c r="T63" s="7" t="str">
        <f t="shared" si="22"/>
        <v>100000</v>
      </c>
    </row>
    <row r="64">
      <c r="A64" s="6">
        <v>2.0</v>
      </c>
      <c r="B64" s="7" t="str">
        <f t="shared" si="44"/>
        <v>110110</v>
      </c>
      <c r="C64" s="7" t="str">
        <f t="shared" si="45"/>
        <v>10</v>
      </c>
      <c r="D64" s="7" t="str">
        <f t="shared" si="46"/>
        <v>1011</v>
      </c>
      <c r="E64" s="7" t="str">
        <f t="shared" si="47"/>
        <v>101011</v>
      </c>
      <c r="F64" s="7">
        <f t="shared" si="48"/>
        <v>43</v>
      </c>
      <c r="G64" s="7">
        <f>VLOOKUP(F64,$A$79:$I$142,3,TRUE)</f>
        <v>3</v>
      </c>
      <c r="H64" s="7" t="str">
        <f t="shared" si="49"/>
        <v>0011</v>
      </c>
      <c r="I64" s="8">
        <v>53.0</v>
      </c>
      <c r="J64" s="8">
        <v>29.0</v>
      </c>
      <c r="K64" s="7" t="str">
        <f t="shared" si="19"/>
        <v>0</v>
      </c>
      <c r="L64" s="7" t="str">
        <f t="shared" si="20"/>
        <v>000010101010</v>
      </c>
      <c r="Q64" s="8">
        <v>44.0</v>
      </c>
      <c r="R64" s="8">
        <v>29.0</v>
      </c>
      <c r="S64" s="7" t="str">
        <f t="shared" si="21"/>
        <v>0</v>
      </c>
      <c r="T64" s="7" t="str">
        <f t="shared" si="22"/>
        <v>00000</v>
      </c>
    </row>
    <row r="65">
      <c r="A65" s="6">
        <v>3.0</v>
      </c>
      <c r="B65" s="7" t="str">
        <f t="shared" si="44"/>
        <v>101001</v>
      </c>
      <c r="C65" s="7" t="str">
        <f t="shared" si="45"/>
        <v>11</v>
      </c>
      <c r="D65" s="7" t="str">
        <f t="shared" si="46"/>
        <v>0100</v>
      </c>
      <c r="E65" s="7" t="str">
        <f t="shared" si="47"/>
        <v>110100</v>
      </c>
      <c r="F65" s="7">
        <f t="shared" si="48"/>
        <v>52</v>
      </c>
      <c r="G65" s="7">
        <f>VLOOKUP(F65,$A$79:$I$142,4,TRUE)</f>
        <v>10</v>
      </c>
      <c r="H65" s="7" t="str">
        <f t="shared" si="49"/>
        <v>1010</v>
      </c>
      <c r="I65" s="8">
        <v>54.0</v>
      </c>
      <c r="J65" s="8">
        <v>21.0</v>
      </c>
      <c r="K65" s="7" t="str">
        <f t="shared" si="19"/>
        <v>0</v>
      </c>
      <c r="L65" s="7" t="str">
        <f t="shared" si="20"/>
        <v>00010101010</v>
      </c>
      <c r="Q65" s="8">
        <v>45.0</v>
      </c>
      <c r="R65" s="8">
        <v>30.0</v>
      </c>
      <c r="S65" s="7" t="str">
        <f t="shared" si="21"/>
        <v>0</v>
      </c>
      <c r="T65" s="7" t="str">
        <f t="shared" si="22"/>
        <v>0000</v>
      </c>
    </row>
    <row r="66">
      <c r="A66" s="6">
        <v>4.0</v>
      </c>
      <c r="B66" s="7" t="str">
        <f t="shared" si="44"/>
        <v>010000</v>
      </c>
      <c r="C66" s="7" t="str">
        <f t="shared" si="45"/>
        <v>00</v>
      </c>
      <c r="D66" s="7" t="str">
        <f t="shared" si="46"/>
        <v>1000</v>
      </c>
      <c r="E66" s="7" t="str">
        <f t="shared" si="47"/>
        <v>001000</v>
      </c>
      <c r="F66" s="7">
        <f t="shared" si="48"/>
        <v>8</v>
      </c>
      <c r="G66" s="7">
        <f>VLOOKUP(F66,$A$79:$I$142,5,TRUE)</f>
        <v>9</v>
      </c>
      <c r="H66" s="7" t="str">
        <f t="shared" si="49"/>
        <v>1001</v>
      </c>
      <c r="I66" s="8">
        <v>55.0</v>
      </c>
      <c r="J66" s="8">
        <v>13.0</v>
      </c>
      <c r="K66" s="7" t="str">
        <f t="shared" si="19"/>
        <v>0</v>
      </c>
      <c r="L66" s="7" t="str">
        <f t="shared" si="20"/>
        <v>0010101010</v>
      </c>
      <c r="Q66" s="8">
        <v>46.0</v>
      </c>
      <c r="R66" s="8">
        <v>31.0</v>
      </c>
      <c r="S66" s="7" t="str">
        <f t="shared" si="21"/>
        <v>0</v>
      </c>
      <c r="T66" s="7" t="str">
        <f t="shared" si="22"/>
        <v>000</v>
      </c>
    </row>
    <row r="67">
      <c r="A67" s="6">
        <v>5.0</v>
      </c>
      <c r="B67" s="7" t="str">
        <f t="shared" si="44"/>
        <v>010100</v>
      </c>
      <c r="C67" s="7" t="str">
        <f t="shared" si="45"/>
        <v>00</v>
      </c>
      <c r="D67" s="7" t="str">
        <f t="shared" si="46"/>
        <v>1010</v>
      </c>
      <c r="E67" s="7" t="str">
        <f t="shared" si="47"/>
        <v>001010</v>
      </c>
      <c r="F67" s="7">
        <f t="shared" si="48"/>
        <v>10</v>
      </c>
      <c r="G67" s="7">
        <f>VLOOKUP(F67,$A$79:$I$142,6,TRUE)</f>
        <v>2</v>
      </c>
      <c r="H67" s="7" t="str">
        <f t="shared" si="49"/>
        <v>0010</v>
      </c>
      <c r="I67" s="8">
        <v>56.0</v>
      </c>
      <c r="J67" s="8">
        <v>5.0</v>
      </c>
      <c r="K67" s="7" t="str">
        <f t="shared" si="19"/>
        <v>0</v>
      </c>
      <c r="L67" s="7" t="str">
        <f t="shared" si="20"/>
        <v>010101010</v>
      </c>
      <c r="Q67" s="8">
        <v>47.0</v>
      </c>
      <c r="R67" s="8">
        <v>32.0</v>
      </c>
      <c r="S67" s="7" t="str">
        <f t="shared" si="21"/>
        <v>0</v>
      </c>
      <c r="T67" s="7" t="str">
        <f>S67&amp;S68</f>
        <v>00</v>
      </c>
    </row>
    <row r="68">
      <c r="A68" s="6">
        <v>6.0</v>
      </c>
      <c r="B68" s="7" t="str">
        <f t="shared" si="44"/>
        <v>111011</v>
      </c>
      <c r="C68" s="7" t="str">
        <f t="shared" si="45"/>
        <v>11</v>
      </c>
      <c r="D68" s="7" t="str">
        <f t="shared" si="46"/>
        <v>1101</v>
      </c>
      <c r="E68" s="7" t="str">
        <f t="shared" si="47"/>
        <v>111101</v>
      </c>
      <c r="F68" s="7">
        <f t="shared" si="48"/>
        <v>61</v>
      </c>
      <c r="G68" s="7">
        <f>VLOOKUP(F68,$A$79:$I$142,7,TRUE)</f>
        <v>1</v>
      </c>
      <c r="H68" s="7" t="str">
        <f t="shared" si="49"/>
        <v>0001</v>
      </c>
      <c r="I68" s="8">
        <v>57.0</v>
      </c>
      <c r="J68" s="8">
        <v>63.0</v>
      </c>
      <c r="K68" s="7" t="str">
        <f t="shared" si="19"/>
        <v>1</v>
      </c>
      <c r="L68" s="7" t="str">
        <f t="shared" si="20"/>
        <v>10101010</v>
      </c>
      <c r="Q68" s="8">
        <v>48.0</v>
      </c>
      <c r="R68" s="8">
        <v>1.0</v>
      </c>
      <c r="S68" s="7" t="str">
        <f t="shared" si="21"/>
        <v>0</v>
      </c>
    </row>
    <row r="69">
      <c r="A69" s="6">
        <v>7.0</v>
      </c>
      <c r="B69" s="7" t="str">
        <f t="shared" si="44"/>
        <v>000011</v>
      </c>
      <c r="C69" s="7" t="str">
        <f t="shared" si="45"/>
        <v>01</v>
      </c>
      <c r="D69" s="7" t="str">
        <f t="shared" si="46"/>
        <v>0001</v>
      </c>
      <c r="E69" s="7" t="str">
        <f t="shared" si="47"/>
        <v>010001</v>
      </c>
      <c r="F69" s="7">
        <f t="shared" si="48"/>
        <v>17</v>
      </c>
      <c r="G69" s="7">
        <f>VLOOKUP(F69,$A$79:$I$142,8,TRUE)</f>
        <v>1</v>
      </c>
      <c r="H69" s="7" t="str">
        <f t="shared" si="49"/>
        <v>0001</v>
      </c>
      <c r="I69" s="8">
        <v>58.0</v>
      </c>
      <c r="J69" s="8">
        <v>55.0</v>
      </c>
      <c r="K69" s="7" t="str">
        <f t="shared" si="19"/>
        <v>0</v>
      </c>
      <c r="L69" s="7" t="str">
        <f t="shared" si="20"/>
        <v>0101010</v>
      </c>
    </row>
    <row r="70">
      <c r="A70" s="6">
        <v>8.0</v>
      </c>
      <c r="B70" s="7" t="str">
        <f t="shared" si="44"/>
        <v>010010</v>
      </c>
      <c r="C70" s="7" t="str">
        <f t="shared" si="45"/>
        <v>00</v>
      </c>
      <c r="D70" s="7" t="str">
        <f t="shared" si="46"/>
        <v>1001</v>
      </c>
      <c r="E70" s="7" t="str">
        <f t="shared" si="47"/>
        <v>001001</v>
      </c>
      <c r="F70" s="7">
        <f t="shared" si="48"/>
        <v>9</v>
      </c>
      <c r="G70" s="7">
        <f>VLOOKUP(F70,$A$79:$I$142,9,TRUE)</f>
        <v>9</v>
      </c>
      <c r="H70" s="7" t="str">
        <f t="shared" si="49"/>
        <v>1001</v>
      </c>
      <c r="I70" s="8">
        <v>59.0</v>
      </c>
      <c r="J70" s="8">
        <v>47.0</v>
      </c>
      <c r="K70" s="7" t="str">
        <f t="shared" si="19"/>
        <v>1</v>
      </c>
      <c r="L70" s="7" t="str">
        <f t="shared" si="20"/>
        <v>101010</v>
      </c>
    </row>
    <row r="71">
      <c r="I71" s="8">
        <v>60.0</v>
      </c>
      <c r="J71" s="8">
        <v>39.0</v>
      </c>
      <c r="K71" s="7" t="str">
        <f t="shared" si="19"/>
        <v>0</v>
      </c>
      <c r="L71" s="7" t="str">
        <f t="shared" si="20"/>
        <v>01010</v>
      </c>
    </row>
    <row r="72">
      <c r="I72" s="8">
        <v>61.0</v>
      </c>
      <c r="J72" s="8">
        <v>31.0</v>
      </c>
      <c r="K72" s="7" t="str">
        <f t="shared" si="19"/>
        <v>1</v>
      </c>
      <c r="L72" s="7" t="str">
        <f t="shared" si="20"/>
        <v>1010</v>
      </c>
    </row>
    <row r="73">
      <c r="I73" s="8">
        <v>62.0</v>
      </c>
      <c r="J73" s="8">
        <v>23.0</v>
      </c>
      <c r="K73" s="7" t="str">
        <f t="shared" si="19"/>
        <v>0</v>
      </c>
      <c r="L73" s="7" t="str">
        <f t="shared" si="20"/>
        <v>010</v>
      </c>
    </row>
    <row r="74">
      <c r="I74" s="8">
        <v>63.0</v>
      </c>
      <c r="J74" s="8">
        <v>15.0</v>
      </c>
      <c r="K74" s="7" t="str">
        <f t="shared" si="19"/>
        <v>1</v>
      </c>
      <c r="L74" s="7" t="str">
        <f>K74&amp;K75</f>
        <v>10</v>
      </c>
    </row>
    <row r="75">
      <c r="I75" s="8">
        <v>64.0</v>
      </c>
      <c r="J75" s="8">
        <v>7.0</v>
      </c>
      <c r="K75" s="7" t="str">
        <f t="shared" si="19"/>
        <v>0</v>
      </c>
    </row>
    <row r="78">
      <c r="A78" s="13" t="s">
        <v>42</v>
      </c>
      <c r="B78" s="13" t="s">
        <v>43</v>
      </c>
      <c r="C78" s="13" t="s">
        <v>44</v>
      </c>
      <c r="D78" s="13" t="s">
        <v>45</v>
      </c>
      <c r="E78" s="13" t="s">
        <v>46</v>
      </c>
      <c r="F78" s="13" t="s">
        <v>47</v>
      </c>
      <c r="G78" s="13" t="s">
        <v>48</v>
      </c>
      <c r="H78" s="13" t="s">
        <v>49</v>
      </c>
      <c r="I78" s="13" t="s">
        <v>50</v>
      </c>
      <c r="J78" s="8"/>
      <c r="K78" s="8"/>
      <c r="L78" s="8">
        <v>10.0</v>
      </c>
      <c r="M78" s="8">
        <v>11.0</v>
      </c>
      <c r="N78" s="8">
        <v>12.0</v>
      </c>
      <c r="O78" s="8">
        <v>13.0</v>
      </c>
      <c r="P78" s="8">
        <v>14.0</v>
      </c>
      <c r="Q78" s="8">
        <v>15.0</v>
      </c>
    </row>
    <row r="79">
      <c r="A79" s="8">
        <v>0.0</v>
      </c>
      <c r="B79" s="8">
        <v>14.0</v>
      </c>
      <c r="C79" s="8">
        <v>15.0</v>
      </c>
      <c r="D79" s="8">
        <v>13.0</v>
      </c>
      <c r="E79" s="8">
        <v>7.0</v>
      </c>
      <c r="F79" s="8">
        <v>13.0</v>
      </c>
      <c r="G79" s="8">
        <v>4.0</v>
      </c>
      <c r="H79" s="8">
        <v>2.0</v>
      </c>
      <c r="I79" s="8">
        <v>13.0</v>
      </c>
      <c r="J79" s="8"/>
      <c r="K79" s="8"/>
      <c r="L79" s="8">
        <v>6.0</v>
      </c>
      <c r="M79" s="8">
        <v>12.0</v>
      </c>
      <c r="N79" s="8">
        <v>5.0</v>
      </c>
      <c r="O79" s="8">
        <v>9.0</v>
      </c>
      <c r="P79" s="8">
        <v>0.0</v>
      </c>
      <c r="Q79" s="8">
        <v>7.0</v>
      </c>
    </row>
    <row r="80">
      <c r="A80" s="8">
        <v>1.0</v>
      </c>
      <c r="B80" s="8">
        <v>4.0</v>
      </c>
      <c r="C80" s="8">
        <v>1.0</v>
      </c>
      <c r="D80" s="8">
        <v>8.0</v>
      </c>
      <c r="E80" s="8">
        <v>10.0</v>
      </c>
      <c r="F80" s="8">
        <v>8.0</v>
      </c>
      <c r="G80" s="8">
        <v>11.0</v>
      </c>
      <c r="H80" s="8">
        <v>1.0</v>
      </c>
      <c r="I80" s="8">
        <v>0.0</v>
      </c>
      <c r="J80" s="8"/>
      <c r="K80" s="8"/>
      <c r="L80" s="8">
        <v>12.0</v>
      </c>
      <c r="M80" s="8">
        <v>11.0</v>
      </c>
      <c r="N80" s="8">
        <v>9.0</v>
      </c>
      <c r="O80" s="8">
        <v>5.0</v>
      </c>
      <c r="P80" s="8">
        <v>3.0</v>
      </c>
      <c r="Q80" s="8">
        <v>8.0</v>
      </c>
    </row>
    <row r="81">
      <c r="A81" s="8">
        <v>2.0</v>
      </c>
      <c r="B81" s="8">
        <v>13.0</v>
      </c>
      <c r="C81" s="8">
        <v>8.0</v>
      </c>
      <c r="D81" s="8">
        <v>11.0</v>
      </c>
      <c r="E81" s="8">
        <v>1.0</v>
      </c>
      <c r="F81" s="8">
        <v>1.0</v>
      </c>
      <c r="G81" s="8">
        <v>13.0</v>
      </c>
      <c r="H81" s="8">
        <v>4.0</v>
      </c>
      <c r="I81" s="8">
        <v>14.0</v>
      </c>
      <c r="J81" s="8"/>
      <c r="K81" s="8"/>
      <c r="L81" s="8">
        <v>9.0</v>
      </c>
      <c r="M81" s="8">
        <v>7.0</v>
      </c>
      <c r="N81" s="8">
        <v>3.0</v>
      </c>
      <c r="O81" s="8">
        <v>10.0</v>
      </c>
      <c r="P81" s="8">
        <v>5.0</v>
      </c>
      <c r="Q81" s="8">
        <v>0.0</v>
      </c>
    </row>
    <row r="82">
      <c r="A82" s="8">
        <v>3.0</v>
      </c>
      <c r="B82" s="8">
        <v>1.0</v>
      </c>
      <c r="C82" s="8">
        <v>10.0</v>
      </c>
      <c r="D82" s="8">
        <v>5.0</v>
      </c>
      <c r="E82" s="8">
        <v>7.0</v>
      </c>
      <c r="F82" s="8">
        <v>3.0</v>
      </c>
      <c r="G82" s="8">
        <v>14.0</v>
      </c>
      <c r="H82" s="8">
        <v>7.0</v>
      </c>
      <c r="I82" s="8">
        <v>8.0</v>
      </c>
      <c r="J82" s="8"/>
      <c r="K82" s="8"/>
      <c r="L82" s="8">
        <v>3.0</v>
      </c>
      <c r="M82" s="8">
        <v>14.0</v>
      </c>
      <c r="N82" s="8">
        <v>10.0</v>
      </c>
      <c r="O82" s="8">
        <v>0.0</v>
      </c>
      <c r="P82" s="8">
        <v>6.0</v>
      </c>
      <c r="Q82" s="8">
        <v>13.0</v>
      </c>
    </row>
    <row r="83">
      <c r="A83" s="8">
        <v>4.0</v>
      </c>
      <c r="B83" s="8">
        <v>2.0</v>
      </c>
      <c r="C83" s="8">
        <v>3.0</v>
      </c>
      <c r="D83" s="8">
        <v>6.0</v>
      </c>
      <c r="E83" s="8">
        <v>4.0</v>
      </c>
      <c r="F83" s="8">
        <v>15.0</v>
      </c>
      <c r="G83" s="8">
        <v>7.0</v>
      </c>
      <c r="H83" s="8">
        <v>10.0</v>
      </c>
      <c r="I83" s="8">
        <v>7.0</v>
      </c>
    </row>
    <row r="84">
      <c r="A84" s="8">
        <v>5.0</v>
      </c>
      <c r="B84" s="8">
        <v>15.0</v>
      </c>
      <c r="C84" s="8">
        <v>4.0</v>
      </c>
      <c r="D84" s="8">
        <v>2.0</v>
      </c>
      <c r="E84" s="8">
        <v>9.0</v>
      </c>
      <c r="F84" s="8">
        <v>11.0</v>
      </c>
      <c r="G84" s="8">
        <v>8.0</v>
      </c>
      <c r="H84" s="8">
        <v>12.0</v>
      </c>
      <c r="I84" s="8">
        <v>11.0</v>
      </c>
    </row>
    <row r="85">
      <c r="A85" s="8">
        <v>6.0</v>
      </c>
      <c r="B85" s="8">
        <v>11.0</v>
      </c>
      <c r="C85" s="8">
        <v>13.0</v>
      </c>
      <c r="D85" s="8">
        <v>0.0</v>
      </c>
      <c r="E85" s="8">
        <v>12.0</v>
      </c>
      <c r="F85" s="8">
        <v>6.0</v>
      </c>
      <c r="G85" s="8">
        <v>12.0</v>
      </c>
      <c r="H85" s="8">
        <v>15.0</v>
      </c>
      <c r="I85" s="8">
        <v>4.0</v>
      </c>
      <c r="J85" s="8"/>
      <c r="K85" s="8"/>
      <c r="L85" s="8">
        <v>10.0</v>
      </c>
      <c r="M85" s="8">
        <v>11.0</v>
      </c>
      <c r="N85" s="8">
        <v>12.0</v>
      </c>
      <c r="O85" s="8">
        <v>13.0</v>
      </c>
      <c r="P85" s="8">
        <v>14.0</v>
      </c>
      <c r="Q85" s="8">
        <v>15.0</v>
      </c>
    </row>
    <row r="86">
      <c r="A86" s="8">
        <v>7.0</v>
      </c>
      <c r="B86" s="8">
        <v>8.0</v>
      </c>
      <c r="C86" s="8">
        <v>7.0</v>
      </c>
      <c r="D86" s="8">
        <v>4.0</v>
      </c>
      <c r="E86" s="8">
        <v>15.0</v>
      </c>
      <c r="F86" s="8">
        <v>9.0</v>
      </c>
      <c r="G86" s="8">
        <v>9.0</v>
      </c>
      <c r="H86" s="8">
        <v>3.0</v>
      </c>
      <c r="I86" s="8">
        <v>12.0</v>
      </c>
      <c r="J86" s="8"/>
      <c r="K86" s="8"/>
      <c r="L86" s="8">
        <v>2.0</v>
      </c>
      <c r="M86" s="8">
        <v>13.0</v>
      </c>
      <c r="N86" s="8">
        <v>12.0</v>
      </c>
      <c r="O86" s="8">
        <v>0.0</v>
      </c>
      <c r="P86" s="8">
        <v>5.0</v>
      </c>
      <c r="Q86" s="8">
        <v>10.0</v>
      </c>
    </row>
    <row r="87">
      <c r="A87" s="8">
        <v>8.0</v>
      </c>
      <c r="B87" s="8">
        <v>3.0</v>
      </c>
      <c r="C87" s="8">
        <v>0.0</v>
      </c>
      <c r="D87" s="8">
        <v>7.0</v>
      </c>
      <c r="E87" s="8">
        <v>9.0</v>
      </c>
      <c r="F87" s="8">
        <v>0.0</v>
      </c>
      <c r="G87" s="8">
        <v>6.0</v>
      </c>
      <c r="H87" s="8">
        <v>9.0</v>
      </c>
      <c r="I87" s="8">
        <v>10.0</v>
      </c>
      <c r="J87" s="8"/>
      <c r="K87" s="8"/>
      <c r="L87" s="8">
        <v>1.0</v>
      </c>
      <c r="M87" s="8">
        <v>10.0</v>
      </c>
      <c r="N87" s="8">
        <v>6.0</v>
      </c>
      <c r="O87" s="8">
        <v>9.0</v>
      </c>
      <c r="P87" s="8">
        <v>11.0</v>
      </c>
      <c r="Q87" s="8">
        <v>5.0</v>
      </c>
    </row>
    <row r="88">
      <c r="A88" s="8">
        <v>9.0</v>
      </c>
      <c r="B88" s="8">
        <v>10.0</v>
      </c>
      <c r="C88" s="8">
        <v>9.0</v>
      </c>
      <c r="D88" s="8">
        <v>13.0</v>
      </c>
      <c r="E88" s="8">
        <v>14.0</v>
      </c>
      <c r="F88" s="8">
        <v>10.0</v>
      </c>
      <c r="G88" s="8">
        <v>5.0</v>
      </c>
      <c r="H88" s="8">
        <v>14.0</v>
      </c>
      <c r="I88" s="8">
        <v>9.0</v>
      </c>
      <c r="J88" s="8"/>
      <c r="K88" s="8"/>
      <c r="L88" s="8">
        <v>12.0</v>
      </c>
      <c r="M88" s="8">
        <v>6.0</v>
      </c>
      <c r="N88" s="8">
        <v>9.0</v>
      </c>
      <c r="O88" s="8">
        <v>3.0</v>
      </c>
      <c r="P88" s="8">
        <v>2.0</v>
      </c>
      <c r="Q88" s="8">
        <v>15.0</v>
      </c>
    </row>
    <row r="89">
      <c r="A89" s="8">
        <v>10.0</v>
      </c>
      <c r="B89" s="8">
        <v>6.0</v>
      </c>
      <c r="C89" s="8">
        <v>6.0</v>
      </c>
      <c r="D89" s="8">
        <v>10.0</v>
      </c>
      <c r="E89" s="8">
        <v>5.0</v>
      </c>
      <c r="F89" s="8">
        <v>2.0</v>
      </c>
      <c r="G89" s="8">
        <v>2.0</v>
      </c>
      <c r="H89" s="8">
        <v>0.0</v>
      </c>
      <c r="I89" s="8">
        <v>3.0</v>
      </c>
      <c r="J89" s="8"/>
      <c r="K89" s="8"/>
      <c r="L89" s="8">
        <v>7.0</v>
      </c>
      <c r="M89" s="8">
        <v>12.0</v>
      </c>
      <c r="N89" s="8">
        <v>0.0</v>
      </c>
      <c r="O89" s="8">
        <v>5.0</v>
      </c>
      <c r="P89" s="8">
        <v>14.0</v>
      </c>
      <c r="Q89" s="8">
        <v>9.0</v>
      </c>
    </row>
    <row r="90">
      <c r="A90" s="8">
        <v>11.0</v>
      </c>
      <c r="B90" s="8">
        <v>12.0</v>
      </c>
      <c r="C90" s="8">
        <v>11.0</v>
      </c>
      <c r="D90" s="8">
        <v>3.0</v>
      </c>
      <c r="E90" s="8">
        <v>6.0</v>
      </c>
      <c r="F90" s="8">
        <v>4.0</v>
      </c>
      <c r="G90" s="8">
        <v>15.0</v>
      </c>
      <c r="H90" s="8">
        <v>6.0</v>
      </c>
      <c r="I90" s="8">
        <v>5.0</v>
      </c>
    </row>
    <row r="91">
      <c r="A91" s="8">
        <v>12.0</v>
      </c>
      <c r="B91" s="8">
        <v>5.0</v>
      </c>
      <c r="C91" s="8">
        <v>5.0</v>
      </c>
      <c r="D91" s="8">
        <v>9.0</v>
      </c>
      <c r="E91" s="8">
        <v>2.0</v>
      </c>
      <c r="F91" s="8">
        <v>7.0</v>
      </c>
      <c r="G91" s="8">
        <v>3.0</v>
      </c>
      <c r="H91" s="8">
        <v>13.0</v>
      </c>
      <c r="I91" s="8">
        <v>6.0</v>
      </c>
    </row>
    <row r="92">
      <c r="A92" s="8">
        <v>13.0</v>
      </c>
      <c r="B92" s="8">
        <v>9.0</v>
      </c>
      <c r="C92" s="8">
        <v>2.0</v>
      </c>
      <c r="D92" s="8">
        <v>12.0</v>
      </c>
      <c r="E92" s="8">
        <v>8.0</v>
      </c>
      <c r="F92" s="8">
        <v>12.0</v>
      </c>
      <c r="G92" s="8">
        <v>0.0</v>
      </c>
      <c r="H92" s="8">
        <v>8.0</v>
      </c>
      <c r="I92" s="8">
        <v>1.0</v>
      </c>
      <c r="J92" s="8"/>
      <c r="K92" s="8"/>
      <c r="L92" s="8">
        <v>10.0</v>
      </c>
      <c r="M92" s="8">
        <v>11.0</v>
      </c>
      <c r="N92" s="8">
        <v>12.0</v>
      </c>
      <c r="O92" s="8">
        <v>13.0</v>
      </c>
      <c r="P92" s="8">
        <v>14.0</v>
      </c>
      <c r="Q92" s="8">
        <v>15.0</v>
      </c>
    </row>
    <row r="93">
      <c r="A93" s="8">
        <v>14.0</v>
      </c>
      <c r="B93" s="8">
        <v>7.0</v>
      </c>
      <c r="C93" s="8">
        <v>14.0</v>
      </c>
      <c r="D93" s="8">
        <v>1.0</v>
      </c>
      <c r="E93" s="8">
        <v>3.0</v>
      </c>
      <c r="F93" s="8">
        <v>5.0</v>
      </c>
      <c r="G93" s="8">
        <v>10.0</v>
      </c>
      <c r="H93" s="8">
        <v>5.0</v>
      </c>
      <c r="I93" s="8">
        <v>2.0</v>
      </c>
      <c r="J93" s="8"/>
      <c r="K93" s="8"/>
      <c r="L93" s="8">
        <v>12.0</v>
      </c>
      <c r="M93" s="8">
        <v>7.0</v>
      </c>
      <c r="N93" s="8">
        <v>11.0</v>
      </c>
      <c r="O93" s="8">
        <v>4.0</v>
      </c>
      <c r="P93" s="8">
        <v>2.0</v>
      </c>
      <c r="Q93" s="8">
        <v>8.0</v>
      </c>
    </row>
    <row r="94">
      <c r="A94" s="8">
        <v>15.0</v>
      </c>
      <c r="B94" s="8">
        <v>0.0</v>
      </c>
      <c r="C94" s="8">
        <v>12.0</v>
      </c>
      <c r="D94" s="8">
        <v>14.0</v>
      </c>
      <c r="E94" s="8">
        <v>13.0</v>
      </c>
      <c r="F94" s="8">
        <v>14.0</v>
      </c>
      <c r="G94" s="8">
        <v>1.0</v>
      </c>
      <c r="H94" s="8">
        <v>11.0</v>
      </c>
      <c r="I94" s="8">
        <v>15.0</v>
      </c>
      <c r="J94" s="8"/>
      <c r="K94" s="8"/>
      <c r="L94" s="8">
        <v>5.0</v>
      </c>
      <c r="M94" s="8">
        <v>14.0</v>
      </c>
      <c r="N94" s="8">
        <v>12.0</v>
      </c>
      <c r="O94" s="8">
        <v>11.0</v>
      </c>
      <c r="P94" s="8">
        <v>15.0</v>
      </c>
      <c r="Q94" s="8">
        <v>1.0</v>
      </c>
    </row>
    <row r="95">
      <c r="A95" s="8">
        <v>16.0</v>
      </c>
      <c r="B95" s="8">
        <v>4.0</v>
      </c>
      <c r="C95" s="8">
        <v>13.0</v>
      </c>
      <c r="D95" s="8">
        <v>13.0</v>
      </c>
      <c r="E95" s="8">
        <v>14.0</v>
      </c>
      <c r="F95" s="8">
        <v>1.0</v>
      </c>
      <c r="G95" s="8">
        <v>10.0</v>
      </c>
      <c r="H95" s="8">
        <v>10.0</v>
      </c>
      <c r="I95" s="8">
        <v>1.0</v>
      </c>
      <c r="J95" s="8"/>
      <c r="K95" s="8"/>
      <c r="L95" s="8">
        <v>2.0</v>
      </c>
      <c r="M95" s="8">
        <v>12.0</v>
      </c>
      <c r="N95" s="8">
        <v>5.0</v>
      </c>
      <c r="O95" s="8">
        <v>10.0</v>
      </c>
      <c r="P95" s="8">
        <v>14.0</v>
      </c>
      <c r="Q95" s="8">
        <v>7.0</v>
      </c>
    </row>
    <row r="96">
      <c r="A96" s="8">
        <v>17.0</v>
      </c>
      <c r="B96" s="8">
        <v>1.0</v>
      </c>
      <c r="C96" s="8">
        <v>0.0</v>
      </c>
      <c r="D96" s="8">
        <v>7.0</v>
      </c>
      <c r="E96" s="8">
        <v>2.0</v>
      </c>
      <c r="F96" s="8">
        <v>4.0</v>
      </c>
      <c r="G96" s="8">
        <v>13.0</v>
      </c>
      <c r="H96" s="8">
        <v>1.0</v>
      </c>
      <c r="I96" s="8">
        <v>4.0</v>
      </c>
      <c r="J96" s="8"/>
      <c r="K96" s="8"/>
      <c r="L96" s="8">
        <v>14.0</v>
      </c>
      <c r="M96" s="8">
        <v>3.0</v>
      </c>
      <c r="N96" s="8">
        <v>11.0</v>
      </c>
      <c r="O96" s="8">
        <v>5.0</v>
      </c>
      <c r="P96" s="8">
        <v>2.0</v>
      </c>
      <c r="Q96" s="8">
        <v>12.0</v>
      </c>
    </row>
    <row r="97">
      <c r="A97" s="8">
        <v>18.0</v>
      </c>
      <c r="B97" s="8">
        <v>14.0</v>
      </c>
      <c r="C97" s="8">
        <v>11.0</v>
      </c>
      <c r="D97" s="8">
        <v>4.0</v>
      </c>
      <c r="E97" s="8">
        <v>11.0</v>
      </c>
      <c r="F97" s="8">
        <v>7.0</v>
      </c>
      <c r="G97" s="8">
        <v>0.0</v>
      </c>
      <c r="H97" s="8">
        <v>8.0</v>
      </c>
      <c r="I97" s="8">
        <v>13.0</v>
      </c>
    </row>
    <row r="98">
      <c r="A98" s="8">
        <v>19.0</v>
      </c>
      <c r="B98" s="8">
        <v>8.0</v>
      </c>
      <c r="C98" s="8">
        <v>7.0</v>
      </c>
      <c r="D98" s="8">
        <v>1.0</v>
      </c>
      <c r="E98" s="8">
        <v>4.0</v>
      </c>
      <c r="F98" s="8">
        <v>13.0</v>
      </c>
      <c r="G98" s="8">
        <v>14.0</v>
      </c>
      <c r="H98" s="8">
        <v>15.0</v>
      </c>
      <c r="I98" s="8">
        <v>7.0</v>
      </c>
    </row>
    <row r="99">
      <c r="A99" s="8">
        <v>20.0</v>
      </c>
      <c r="B99" s="8">
        <v>13.0</v>
      </c>
      <c r="C99" s="8">
        <v>2.0</v>
      </c>
      <c r="D99" s="8">
        <v>10.0</v>
      </c>
      <c r="E99" s="8">
        <v>1.0</v>
      </c>
      <c r="F99" s="8">
        <v>6.0</v>
      </c>
      <c r="G99" s="8">
        <v>6.0</v>
      </c>
      <c r="H99" s="8">
        <v>13.0</v>
      </c>
      <c r="I99" s="8">
        <v>10.0</v>
      </c>
      <c r="J99" s="8"/>
      <c r="K99" s="8"/>
      <c r="L99" s="8">
        <v>10.0</v>
      </c>
      <c r="M99" s="8">
        <v>11.0</v>
      </c>
      <c r="N99" s="8">
        <v>12.0</v>
      </c>
      <c r="O99" s="8">
        <v>13.0</v>
      </c>
      <c r="P99" s="8">
        <v>14.0</v>
      </c>
      <c r="Q99" s="8">
        <v>15.0</v>
      </c>
    </row>
    <row r="100">
      <c r="A100" s="8">
        <v>21.0</v>
      </c>
      <c r="B100" s="8">
        <v>6.0</v>
      </c>
      <c r="C100" s="8">
        <v>1.0</v>
      </c>
      <c r="D100" s="8">
        <v>9.0</v>
      </c>
      <c r="E100" s="8">
        <v>5.0</v>
      </c>
      <c r="F100" s="8">
        <v>11.0</v>
      </c>
      <c r="G100" s="8">
        <v>15.0</v>
      </c>
      <c r="H100" s="8">
        <v>6.0</v>
      </c>
      <c r="I100" s="8">
        <v>0.0</v>
      </c>
      <c r="J100" s="8"/>
      <c r="K100" s="8"/>
      <c r="L100" s="8">
        <v>8.0</v>
      </c>
      <c r="M100" s="8">
        <v>5.0</v>
      </c>
      <c r="N100" s="8">
        <v>11.0</v>
      </c>
      <c r="O100" s="8">
        <v>12.0</v>
      </c>
      <c r="P100" s="8">
        <v>4.0</v>
      </c>
      <c r="Q100" s="8">
        <v>15.0</v>
      </c>
    </row>
    <row r="101">
      <c r="A101" s="8">
        <v>22.0</v>
      </c>
      <c r="B101" s="8">
        <v>15.0</v>
      </c>
      <c r="C101" s="8">
        <v>12.0</v>
      </c>
      <c r="D101" s="8">
        <v>5.0</v>
      </c>
      <c r="E101" s="8">
        <v>3.0</v>
      </c>
      <c r="F101" s="8">
        <v>10.0</v>
      </c>
      <c r="G101" s="8">
        <v>8.0</v>
      </c>
      <c r="H101" s="8">
        <v>12.0</v>
      </c>
      <c r="I101" s="8">
        <v>15.0</v>
      </c>
      <c r="J101" s="8"/>
      <c r="K101" s="8"/>
      <c r="L101" s="8">
        <v>2.0</v>
      </c>
      <c r="M101" s="8">
        <v>12.0</v>
      </c>
      <c r="N101" s="8">
        <v>1.0</v>
      </c>
      <c r="O101" s="8">
        <v>10.0</v>
      </c>
      <c r="P101" s="8">
        <v>14.0</v>
      </c>
      <c r="Q101" s="8">
        <v>9.0</v>
      </c>
    </row>
    <row r="102">
      <c r="A102" s="8">
        <v>23.0</v>
      </c>
      <c r="B102" s="8">
        <v>9.0</v>
      </c>
      <c r="C102" s="8">
        <v>14.0</v>
      </c>
      <c r="D102" s="8">
        <v>3.0</v>
      </c>
      <c r="E102" s="8">
        <v>12.0</v>
      </c>
      <c r="F102" s="8">
        <v>2.0</v>
      </c>
      <c r="G102" s="8">
        <v>3.0</v>
      </c>
      <c r="H102" s="8">
        <v>5.0</v>
      </c>
      <c r="I102" s="8">
        <v>5.0</v>
      </c>
      <c r="J102" s="8"/>
      <c r="K102" s="8"/>
      <c r="L102" s="8">
        <v>3.0</v>
      </c>
      <c r="M102" s="8">
        <v>14.0</v>
      </c>
      <c r="N102" s="8">
        <v>5.0</v>
      </c>
      <c r="O102" s="8">
        <v>2.0</v>
      </c>
      <c r="P102" s="8">
        <v>8.0</v>
      </c>
      <c r="Q102" s="8">
        <v>4.0</v>
      </c>
    </row>
    <row r="103">
      <c r="A103" s="8">
        <v>24.0</v>
      </c>
      <c r="B103" s="8">
        <v>12.0</v>
      </c>
      <c r="C103" s="8">
        <v>8.0</v>
      </c>
      <c r="D103" s="8">
        <v>0.0</v>
      </c>
      <c r="E103" s="8">
        <v>7.0</v>
      </c>
      <c r="F103" s="8">
        <v>8.0</v>
      </c>
      <c r="G103" s="8">
        <v>4.0</v>
      </c>
      <c r="H103" s="8">
        <v>3.0</v>
      </c>
      <c r="I103" s="8">
        <v>9.0</v>
      </c>
      <c r="J103" s="8"/>
      <c r="K103" s="8"/>
      <c r="L103" s="8">
        <v>5.0</v>
      </c>
      <c r="M103" s="8">
        <v>11.0</v>
      </c>
      <c r="N103" s="8">
        <v>12.0</v>
      </c>
      <c r="O103" s="8">
        <v>7.0</v>
      </c>
      <c r="P103" s="8">
        <v>2.0</v>
      </c>
      <c r="Q103" s="8">
        <v>14.0</v>
      </c>
    </row>
    <row r="104">
      <c r="A104" s="8">
        <v>25.0</v>
      </c>
      <c r="B104" s="8">
        <v>5.0</v>
      </c>
      <c r="C104" s="8">
        <v>6.0</v>
      </c>
      <c r="D104" s="8">
        <v>11.0</v>
      </c>
      <c r="E104" s="8">
        <v>9.0</v>
      </c>
      <c r="F104" s="8">
        <v>15.0</v>
      </c>
      <c r="G104" s="8">
        <v>7.0</v>
      </c>
      <c r="H104" s="8">
        <v>9.0</v>
      </c>
      <c r="I104" s="8">
        <v>2.0</v>
      </c>
    </row>
    <row r="105">
      <c r="A105" s="8">
        <v>26.0</v>
      </c>
      <c r="B105" s="8">
        <v>2.0</v>
      </c>
      <c r="C105" s="8">
        <v>4.0</v>
      </c>
      <c r="D105" s="8">
        <v>15.0</v>
      </c>
      <c r="E105" s="8">
        <v>1.0</v>
      </c>
      <c r="F105" s="8">
        <v>0.0</v>
      </c>
      <c r="G105" s="8">
        <v>5.0</v>
      </c>
      <c r="H105" s="8">
        <v>0.0</v>
      </c>
      <c r="I105" s="8">
        <v>12.0</v>
      </c>
    </row>
    <row r="106">
      <c r="A106" s="8">
        <v>27.0</v>
      </c>
      <c r="B106" s="8">
        <v>11.0</v>
      </c>
      <c r="C106" s="8">
        <v>3.0</v>
      </c>
      <c r="D106" s="8">
        <v>14.0</v>
      </c>
      <c r="E106" s="8">
        <v>15.0</v>
      </c>
      <c r="F106" s="8">
        <v>12.0</v>
      </c>
      <c r="G106" s="8">
        <v>2.0</v>
      </c>
      <c r="H106" s="8">
        <v>7.0</v>
      </c>
      <c r="I106" s="8">
        <v>6.0</v>
      </c>
      <c r="J106" s="8"/>
      <c r="K106" s="8"/>
      <c r="L106" s="8">
        <v>10.0</v>
      </c>
      <c r="M106" s="8">
        <v>11.0</v>
      </c>
      <c r="N106" s="8">
        <v>12.0</v>
      </c>
      <c r="O106" s="8">
        <v>13.0</v>
      </c>
      <c r="P106" s="8">
        <v>14.0</v>
      </c>
      <c r="Q106" s="8">
        <v>15.0</v>
      </c>
    </row>
    <row r="107">
      <c r="A107" s="8">
        <v>28.0</v>
      </c>
      <c r="B107" s="8">
        <v>7.0</v>
      </c>
      <c r="C107" s="8">
        <v>5.0</v>
      </c>
      <c r="D107" s="8">
        <v>6.0</v>
      </c>
      <c r="E107" s="8">
        <v>0.0</v>
      </c>
      <c r="F107" s="8">
        <v>9.0</v>
      </c>
      <c r="G107" s="8">
        <v>11.0</v>
      </c>
      <c r="H107" s="8">
        <v>4.0</v>
      </c>
      <c r="I107" s="8">
        <v>8.0</v>
      </c>
      <c r="J107" s="8"/>
      <c r="K107" s="8"/>
      <c r="L107" s="8">
        <v>3.0</v>
      </c>
      <c r="M107" s="8">
        <v>15.0</v>
      </c>
      <c r="N107" s="8">
        <v>13.0</v>
      </c>
      <c r="O107" s="8">
        <v>0.0</v>
      </c>
      <c r="P107" s="8">
        <v>14.0</v>
      </c>
      <c r="Q107" s="8">
        <v>9.0</v>
      </c>
    </row>
    <row r="108">
      <c r="A108" s="8">
        <v>29.0</v>
      </c>
      <c r="B108" s="8">
        <v>0.0</v>
      </c>
      <c r="C108" s="8">
        <v>10.0</v>
      </c>
      <c r="D108" s="8">
        <v>12.0</v>
      </c>
      <c r="E108" s="8">
        <v>13.0</v>
      </c>
      <c r="F108" s="8">
        <v>3.0</v>
      </c>
      <c r="G108" s="8">
        <v>1.0</v>
      </c>
      <c r="H108" s="8">
        <v>2.0</v>
      </c>
      <c r="I108" s="8">
        <v>11.0</v>
      </c>
      <c r="J108" s="8"/>
      <c r="K108" s="8"/>
      <c r="L108" s="8">
        <v>15.0</v>
      </c>
      <c r="M108" s="8">
        <v>10.0</v>
      </c>
      <c r="N108" s="8">
        <v>3.0</v>
      </c>
      <c r="O108" s="8">
        <v>9.0</v>
      </c>
      <c r="P108" s="8">
        <v>8.0</v>
      </c>
      <c r="Q108" s="8">
        <v>6.0</v>
      </c>
    </row>
    <row r="109">
      <c r="A109" s="8">
        <v>30.0</v>
      </c>
      <c r="B109" s="8">
        <v>3.0</v>
      </c>
      <c r="C109" s="8">
        <v>9.0</v>
      </c>
      <c r="D109" s="8">
        <v>8.0</v>
      </c>
      <c r="E109" s="8">
        <v>10.0</v>
      </c>
      <c r="F109" s="8">
        <v>14.0</v>
      </c>
      <c r="G109" s="8">
        <v>12.0</v>
      </c>
      <c r="H109" s="8">
        <v>14.0</v>
      </c>
      <c r="I109" s="8">
        <v>14.0</v>
      </c>
      <c r="J109" s="8"/>
      <c r="K109" s="8"/>
      <c r="L109" s="8">
        <v>12.0</v>
      </c>
      <c r="M109" s="8">
        <v>5.0</v>
      </c>
      <c r="N109" s="8">
        <v>6.0</v>
      </c>
      <c r="O109" s="8">
        <v>3.0</v>
      </c>
      <c r="P109" s="8">
        <v>0.0</v>
      </c>
      <c r="Q109" s="8">
        <v>14.0</v>
      </c>
    </row>
    <row r="110">
      <c r="A110" s="8">
        <v>31.0</v>
      </c>
      <c r="B110" s="8">
        <v>10.0</v>
      </c>
      <c r="C110" s="8">
        <v>15.0</v>
      </c>
      <c r="D110" s="8">
        <v>2.0</v>
      </c>
      <c r="E110" s="8">
        <v>6.0</v>
      </c>
      <c r="F110" s="8">
        <v>5.0</v>
      </c>
      <c r="G110" s="8">
        <v>9.0</v>
      </c>
      <c r="H110" s="8">
        <v>11.0</v>
      </c>
      <c r="I110" s="8">
        <v>3.0</v>
      </c>
      <c r="J110" s="8"/>
      <c r="K110" s="8"/>
      <c r="L110" s="8">
        <v>0.0</v>
      </c>
      <c r="M110" s="8">
        <v>9.0</v>
      </c>
      <c r="N110" s="8">
        <v>10.0</v>
      </c>
      <c r="O110" s="8">
        <v>4.0</v>
      </c>
      <c r="P110" s="8">
        <v>5.0</v>
      </c>
      <c r="Q110" s="8">
        <v>3.0</v>
      </c>
    </row>
    <row r="111">
      <c r="A111" s="8">
        <v>32.0</v>
      </c>
      <c r="B111" s="8">
        <v>15.0</v>
      </c>
      <c r="C111" s="8">
        <v>1.0</v>
      </c>
      <c r="D111" s="8">
        <v>7.0</v>
      </c>
      <c r="E111" s="8">
        <v>13.0</v>
      </c>
      <c r="F111" s="8">
        <v>1.0</v>
      </c>
      <c r="G111" s="8">
        <v>14.0</v>
      </c>
      <c r="H111" s="8">
        <v>4.0</v>
      </c>
      <c r="I111" s="8">
        <v>13.0</v>
      </c>
    </row>
    <row r="112">
      <c r="A112" s="8">
        <v>33.0</v>
      </c>
      <c r="B112" s="8">
        <v>1.0</v>
      </c>
      <c r="C112" s="8">
        <v>14.0</v>
      </c>
      <c r="D112" s="8">
        <v>4.0</v>
      </c>
      <c r="E112" s="8">
        <v>0.0</v>
      </c>
      <c r="F112" s="8">
        <v>8.0</v>
      </c>
      <c r="G112" s="8">
        <v>11.0</v>
      </c>
      <c r="H112" s="8">
        <v>1.0</v>
      </c>
      <c r="I112" s="8">
        <v>0.0</v>
      </c>
    </row>
    <row r="113">
      <c r="A113" s="8">
        <v>34.0</v>
      </c>
      <c r="B113" s="8">
        <v>8.0</v>
      </c>
      <c r="C113" s="8">
        <v>4.0</v>
      </c>
      <c r="D113" s="8">
        <v>15.0</v>
      </c>
      <c r="E113" s="8">
        <v>9.0</v>
      </c>
      <c r="F113" s="8">
        <v>13.0</v>
      </c>
      <c r="G113" s="8">
        <v>3.0</v>
      </c>
      <c r="H113" s="8">
        <v>13.0</v>
      </c>
      <c r="I113" s="8">
        <v>14.0</v>
      </c>
      <c r="J113" s="8"/>
      <c r="K113" s="8"/>
      <c r="L113" s="8">
        <v>10.0</v>
      </c>
      <c r="M113" s="8">
        <v>11.0</v>
      </c>
      <c r="N113" s="8">
        <v>12.0</v>
      </c>
      <c r="O113" s="8">
        <v>13.0</v>
      </c>
      <c r="P113" s="8">
        <v>14.0</v>
      </c>
      <c r="Q113" s="8">
        <v>15.0</v>
      </c>
    </row>
    <row r="114">
      <c r="A114" s="8">
        <v>35.0</v>
      </c>
      <c r="B114" s="8">
        <v>14.0</v>
      </c>
      <c r="C114" s="8">
        <v>10.0</v>
      </c>
      <c r="D114" s="8">
        <v>11.0</v>
      </c>
      <c r="E114" s="8">
        <v>11.0</v>
      </c>
      <c r="F114" s="8">
        <v>3.0</v>
      </c>
      <c r="G114" s="8">
        <v>10.0</v>
      </c>
      <c r="H114" s="8">
        <v>7.0</v>
      </c>
      <c r="I114" s="8">
        <v>8.0</v>
      </c>
      <c r="J114" s="8"/>
      <c r="K114" s="8"/>
      <c r="L114" s="8">
        <v>3.0</v>
      </c>
      <c r="M114" s="8">
        <v>4.0</v>
      </c>
      <c r="N114" s="8">
        <v>14.0</v>
      </c>
      <c r="O114" s="8">
        <v>7.0</v>
      </c>
      <c r="P114" s="8">
        <v>5.0</v>
      </c>
      <c r="Q114" s="8">
        <v>11.0</v>
      </c>
    </row>
    <row r="115">
      <c r="A115" s="8">
        <v>36.0</v>
      </c>
      <c r="B115" s="8">
        <v>6.0</v>
      </c>
      <c r="C115" s="8">
        <v>12.0</v>
      </c>
      <c r="D115" s="8">
        <v>13.0</v>
      </c>
      <c r="E115" s="8">
        <v>4.0</v>
      </c>
      <c r="F115" s="8">
        <v>10.0</v>
      </c>
      <c r="G115" s="8">
        <v>1.0</v>
      </c>
      <c r="H115" s="8">
        <v>10.0</v>
      </c>
      <c r="I115" s="8">
        <v>7.0</v>
      </c>
      <c r="J115" s="8"/>
      <c r="K115" s="8"/>
      <c r="L115" s="8">
        <v>13.0</v>
      </c>
      <c r="M115" s="8">
        <v>14.0</v>
      </c>
      <c r="N115" s="8">
        <v>0.0</v>
      </c>
      <c r="O115" s="8">
        <v>11.0</v>
      </c>
      <c r="P115" s="8">
        <v>3.0</v>
      </c>
      <c r="Q115" s="8">
        <v>8.0</v>
      </c>
    </row>
    <row r="116">
      <c r="A116" s="8">
        <v>37.0</v>
      </c>
      <c r="B116" s="8">
        <v>11.0</v>
      </c>
      <c r="C116" s="8">
        <v>7.0</v>
      </c>
      <c r="D116" s="8">
        <v>1.0</v>
      </c>
      <c r="E116" s="8">
        <v>8.0</v>
      </c>
      <c r="F116" s="8">
        <v>5.0</v>
      </c>
      <c r="G116" s="8">
        <v>7.0</v>
      </c>
      <c r="H116" s="8">
        <v>12.0</v>
      </c>
      <c r="I116" s="8">
        <v>11.0</v>
      </c>
      <c r="J116" s="8"/>
      <c r="K116" s="8"/>
      <c r="L116" s="8">
        <v>4.0</v>
      </c>
      <c r="M116" s="8">
        <v>10.0</v>
      </c>
      <c r="N116" s="8">
        <v>1.0</v>
      </c>
      <c r="O116" s="8">
        <v>13.0</v>
      </c>
      <c r="P116" s="8">
        <v>11.0</v>
      </c>
      <c r="Q116" s="8">
        <v>6.0</v>
      </c>
    </row>
    <row r="117">
      <c r="A117" s="8">
        <v>38.0</v>
      </c>
      <c r="B117" s="8">
        <v>3.0</v>
      </c>
      <c r="C117" s="8">
        <v>13.0</v>
      </c>
      <c r="D117" s="8">
        <v>8.0</v>
      </c>
      <c r="E117" s="8">
        <v>2.0</v>
      </c>
      <c r="F117" s="8">
        <v>0.0</v>
      </c>
      <c r="G117" s="8">
        <v>6.0</v>
      </c>
      <c r="H117" s="8">
        <v>15.0</v>
      </c>
      <c r="I117" s="8">
        <v>4.0</v>
      </c>
      <c r="J117" s="8"/>
      <c r="K117" s="8"/>
      <c r="L117" s="8">
        <v>1.0</v>
      </c>
      <c r="M117" s="8">
        <v>7.0</v>
      </c>
      <c r="N117" s="8">
        <v>6.0</v>
      </c>
      <c r="O117" s="8">
        <v>0.0</v>
      </c>
      <c r="P117" s="8">
        <v>8.0</v>
      </c>
      <c r="Q117" s="8">
        <v>13.0</v>
      </c>
    </row>
    <row r="118">
      <c r="A118" s="8">
        <v>39.0</v>
      </c>
      <c r="B118" s="8">
        <v>4.0</v>
      </c>
      <c r="C118" s="8">
        <v>8.0</v>
      </c>
      <c r="D118" s="8">
        <v>5.0</v>
      </c>
      <c r="E118" s="8">
        <v>15.0</v>
      </c>
      <c r="F118" s="8">
        <v>12.0</v>
      </c>
      <c r="G118" s="8">
        <v>9.0</v>
      </c>
      <c r="H118" s="8">
        <v>3.0</v>
      </c>
      <c r="I118" s="8">
        <v>12.0</v>
      </c>
    </row>
    <row r="119">
      <c r="A119" s="8">
        <v>40.0</v>
      </c>
      <c r="B119" s="8">
        <v>9.0</v>
      </c>
      <c r="C119" s="8">
        <v>15.0</v>
      </c>
      <c r="D119" s="8">
        <v>6.0</v>
      </c>
      <c r="E119" s="8">
        <v>12.0</v>
      </c>
      <c r="F119" s="8">
        <v>2.0</v>
      </c>
      <c r="G119" s="8">
        <v>12.0</v>
      </c>
      <c r="H119" s="8">
        <v>9.0</v>
      </c>
      <c r="I119" s="8">
        <v>10.0</v>
      </c>
    </row>
    <row r="120">
      <c r="A120" s="8">
        <v>41.0</v>
      </c>
      <c r="B120" s="8">
        <v>7.0</v>
      </c>
      <c r="C120" s="8">
        <v>5.0</v>
      </c>
      <c r="D120" s="8">
        <v>10.0</v>
      </c>
      <c r="E120" s="8">
        <v>5.0</v>
      </c>
      <c r="F120" s="8">
        <v>9.0</v>
      </c>
      <c r="G120" s="8">
        <v>5.0</v>
      </c>
      <c r="H120" s="8">
        <v>14.0</v>
      </c>
      <c r="I120" s="8">
        <v>9.0</v>
      </c>
      <c r="J120" s="8"/>
      <c r="K120" s="8"/>
      <c r="L120" s="8">
        <v>10.0</v>
      </c>
      <c r="M120" s="8">
        <v>11.0</v>
      </c>
      <c r="N120" s="8">
        <v>12.0</v>
      </c>
      <c r="O120" s="8">
        <v>13.0</v>
      </c>
      <c r="P120" s="8">
        <v>14.0</v>
      </c>
      <c r="Q120" s="8">
        <v>15.0</v>
      </c>
    </row>
    <row r="121">
      <c r="A121" s="8">
        <v>42.0</v>
      </c>
      <c r="B121" s="8">
        <v>13.0</v>
      </c>
      <c r="C121" s="8">
        <v>9.0</v>
      </c>
      <c r="D121" s="8">
        <v>3.0</v>
      </c>
      <c r="E121" s="8">
        <v>6.0</v>
      </c>
      <c r="F121" s="8">
        <v>14.0</v>
      </c>
      <c r="G121" s="8">
        <v>2.0</v>
      </c>
      <c r="H121" s="8">
        <v>0.0</v>
      </c>
      <c r="I121" s="8">
        <v>3.0</v>
      </c>
      <c r="J121" s="8"/>
      <c r="K121" s="8"/>
      <c r="L121" s="8">
        <v>9.0</v>
      </c>
      <c r="M121" s="8">
        <v>7.0</v>
      </c>
      <c r="N121" s="8">
        <v>5.0</v>
      </c>
      <c r="O121" s="8">
        <v>10.0</v>
      </c>
      <c r="P121" s="8">
        <v>6.0</v>
      </c>
      <c r="Q121" s="8">
        <v>1.0</v>
      </c>
    </row>
    <row r="122">
      <c r="A122" s="8">
        <v>43.0</v>
      </c>
      <c r="B122" s="8">
        <v>12.0</v>
      </c>
      <c r="C122" s="8">
        <v>3.0</v>
      </c>
      <c r="D122" s="8">
        <v>2.0</v>
      </c>
      <c r="E122" s="8">
        <v>1.0</v>
      </c>
      <c r="F122" s="8">
        <v>7.0</v>
      </c>
      <c r="G122" s="8">
        <v>15.0</v>
      </c>
      <c r="H122" s="8">
        <v>6.0</v>
      </c>
      <c r="I122" s="8">
        <v>5.0</v>
      </c>
      <c r="J122" s="8"/>
      <c r="K122" s="8"/>
      <c r="L122" s="8">
        <v>5.0</v>
      </c>
      <c r="M122" s="8">
        <v>12.0</v>
      </c>
      <c r="N122" s="8">
        <v>2.0</v>
      </c>
      <c r="O122" s="8">
        <v>15.0</v>
      </c>
      <c r="P122" s="8">
        <v>8.0</v>
      </c>
      <c r="Q122" s="8">
        <v>6.0</v>
      </c>
    </row>
    <row r="123">
      <c r="A123" s="8">
        <v>44.0</v>
      </c>
      <c r="B123" s="8">
        <v>10.0</v>
      </c>
      <c r="C123" s="8">
        <v>2.0</v>
      </c>
      <c r="D123" s="8">
        <v>0.0</v>
      </c>
      <c r="E123" s="8">
        <v>14.0</v>
      </c>
      <c r="F123" s="8">
        <v>6.0</v>
      </c>
      <c r="G123" s="8">
        <v>8.0</v>
      </c>
      <c r="H123" s="8">
        <v>8.0</v>
      </c>
      <c r="I123" s="8">
        <v>6.0</v>
      </c>
      <c r="J123" s="8"/>
      <c r="K123" s="8"/>
      <c r="L123" s="8">
        <v>6.0</v>
      </c>
      <c r="M123" s="8">
        <v>8.0</v>
      </c>
      <c r="N123" s="8">
        <v>0.0</v>
      </c>
      <c r="O123" s="8">
        <v>5.0</v>
      </c>
      <c r="P123" s="8">
        <v>9.0</v>
      </c>
      <c r="Q123" s="8">
        <v>2.0</v>
      </c>
    </row>
    <row r="124">
      <c r="A124" s="8">
        <v>45.0</v>
      </c>
      <c r="B124" s="8">
        <v>0.0</v>
      </c>
      <c r="C124" s="8">
        <v>0.0</v>
      </c>
      <c r="D124" s="8">
        <v>9.0</v>
      </c>
      <c r="E124" s="8">
        <v>7.0</v>
      </c>
      <c r="F124" s="8">
        <v>4.0</v>
      </c>
      <c r="G124" s="8">
        <v>0.0</v>
      </c>
      <c r="H124" s="8">
        <v>2.0</v>
      </c>
      <c r="I124" s="8">
        <v>1.0</v>
      </c>
      <c r="J124" s="8"/>
      <c r="K124" s="8"/>
      <c r="L124" s="8">
        <v>0.0</v>
      </c>
      <c r="M124" s="8">
        <v>15.0</v>
      </c>
      <c r="N124" s="8">
        <v>14.0</v>
      </c>
      <c r="O124" s="8">
        <v>2.0</v>
      </c>
      <c r="P124" s="8">
        <v>3.0</v>
      </c>
      <c r="Q124" s="8">
        <v>12.0</v>
      </c>
    </row>
    <row r="125">
      <c r="A125" s="8">
        <v>46.0</v>
      </c>
      <c r="B125" s="8">
        <v>5.0</v>
      </c>
      <c r="C125" s="8">
        <v>6.0</v>
      </c>
      <c r="D125" s="8">
        <v>12.0</v>
      </c>
      <c r="E125" s="8">
        <v>3.0</v>
      </c>
      <c r="F125" s="8">
        <v>11.0</v>
      </c>
      <c r="G125" s="8">
        <v>13.0</v>
      </c>
      <c r="H125" s="8">
        <v>5.0</v>
      </c>
      <c r="I125" s="8">
        <v>2.0</v>
      </c>
    </row>
    <row r="126">
      <c r="A126" s="8">
        <v>47.0</v>
      </c>
      <c r="B126" s="8">
        <v>2.0</v>
      </c>
      <c r="C126" s="8">
        <v>11.0</v>
      </c>
      <c r="D126" s="8">
        <v>14.0</v>
      </c>
      <c r="E126" s="8">
        <v>10.0</v>
      </c>
      <c r="F126" s="8">
        <v>15.0</v>
      </c>
      <c r="G126" s="8">
        <v>4.0</v>
      </c>
      <c r="H126" s="8">
        <v>11.0</v>
      </c>
      <c r="I126" s="8">
        <v>15.0</v>
      </c>
    </row>
    <row r="127">
      <c r="A127" s="8">
        <v>48.0</v>
      </c>
      <c r="B127" s="8">
        <v>12.0</v>
      </c>
      <c r="C127" s="8">
        <v>13.0</v>
      </c>
      <c r="D127" s="8">
        <v>7.0</v>
      </c>
      <c r="E127" s="8">
        <v>12.0</v>
      </c>
      <c r="F127" s="8">
        <v>13.0</v>
      </c>
      <c r="G127" s="8">
        <v>10.0</v>
      </c>
      <c r="H127" s="8">
        <v>13.0</v>
      </c>
      <c r="I127" s="8">
        <v>1.0</v>
      </c>
      <c r="J127" s="8"/>
      <c r="K127" s="8"/>
      <c r="L127" s="8">
        <v>10.0</v>
      </c>
      <c r="M127" s="8">
        <v>11.0</v>
      </c>
      <c r="N127" s="8">
        <v>12.0</v>
      </c>
      <c r="O127" s="8">
        <v>13.0</v>
      </c>
      <c r="P127" s="8">
        <v>14.0</v>
      </c>
      <c r="Q127" s="8">
        <v>15.0</v>
      </c>
    </row>
    <row r="128">
      <c r="A128" s="8">
        <v>49.0</v>
      </c>
      <c r="B128" s="8">
        <v>1.0</v>
      </c>
      <c r="C128" s="8">
        <v>0.0</v>
      </c>
      <c r="D128" s="8">
        <v>4.0</v>
      </c>
      <c r="E128" s="8">
        <v>2.0</v>
      </c>
      <c r="F128" s="8">
        <v>8.0</v>
      </c>
      <c r="G128" s="8">
        <v>13.0</v>
      </c>
      <c r="H128" s="8">
        <v>1.0</v>
      </c>
      <c r="I128" s="8">
        <v>4.0</v>
      </c>
      <c r="J128" s="8"/>
      <c r="K128" s="8"/>
      <c r="L128" s="8">
        <v>3.0</v>
      </c>
      <c r="M128" s="8">
        <v>14.0</v>
      </c>
      <c r="N128" s="8">
        <v>5.0</v>
      </c>
      <c r="O128" s="8">
        <v>0.0</v>
      </c>
      <c r="P128" s="8">
        <v>12.0</v>
      </c>
      <c r="Q128" s="8">
        <v>7.0</v>
      </c>
    </row>
    <row r="129">
      <c r="A129" s="8">
        <v>50.0</v>
      </c>
      <c r="B129" s="8">
        <v>10.0</v>
      </c>
      <c r="C129" s="8">
        <v>11.0</v>
      </c>
      <c r="D129" s="8">
        <v>13.0</v>
      </c>
      <c r="E129" s="8">
        <v>11.0</v>
      </c>
      <c r="F129" s="8">
        <v>7.0</v>
      </c>
      <c r="G129" s="8">
        <v>0.0</v>
      </c>
      <c r="H129" s="8">
        <v>8.0</v>
      </c>
      <c r="I129" s="8">
        <v>13.0</v>
      </c>
      <c r="J129" s="8"/>
      <c r="K129" s="8"/>
      <c r="L129" s="8">
        <v>6.0</v>
      </c>
      <c r="M129" s="8">
        <v>11.0</v>
      </c>
      <c r="N129" s="8">
        <v>0.0</v>
      </c>
      <c r="O129" s="8">
        <v>14.0</v>
      </c>
      <c r="P129" s="8">
        <v>9.0</v>
      </c>
      <c r="Q129" s="8">
        <v>2.0</v>
      </c>
    </row>
    <row r="130">
      <c r="A130" s="8">
        <v>51.0</v>
      </c>
      <c r="B130" s="8">
        <v>13.0</v>
      </c>
      <c r="C130" s="8">
        <v>7.0</v>
      </c>
      <c r="D130" s="8">
        <v>1.0</v>
      </c>
      <c r="E130" s="8">
        <v>4.0</v>
      </c>
      <c r="F130" s="8">
        <v>13.0</v>
      </c>
      <c r="G130" s="8">
        <v>14.0</v>
      </c>
      <c r="H130" s="8">
        <v>15.0</v>
      </c>
      <c r="I130" s="8">
        <v>7.0</v>
      </c>
      <c r="J130" s="8"/>
      <c r="K130" s="8"/>
      <c r="L130" s="8">
        <v>10.0</v>
      </c>
      <c r="M130" s="8">
        <v>13.0</v>
      </c>
      <c r="N130" s="8">
        <v>15.0</v>
      </c>
      <c r="O130" s="8">
        <v>3.0</v>
      </c>
      <c r="P130" s="8">
        <v>5.0</v>
      </c>
      <c r="Q130" s="8">
        <v>8.0</v>
      </c>
    </row>
    <row r="131">
      <c r="A131" s="8">
        <v>52.0</v>
      </c>
      <c r="B131" s="8">
        <v>0.0</v>
      </c>
      <c r="C131" s="8">
        <v>2.0</v>
      </c>
      <c r="D131" s="8">
        <v>10.0</v>
      </c>
      <c r="E131" s="8">
        <v>1.0</v>
      </c>
      <c r="F131" s="8">
        <v>6.0</v>
      </c>
      <c r="G131" s="8">
        <v>6.0</v>
      </c>
      <c r="H131" s="8">
        <v>13.0</v>
      </c>
      <c r="I131" s="8">
        <v>10.0</v>
      </c>
      <c r="J131" s="8"/>
      <c r="K131" s="8"/>
      <c r="L131" s="8">
        <v>9.0</v>
      </c>
      <c r="M131" s="8">
        <v>0.0</v>
      </c>
      <c r="N131" s="8">
        <v>3.0</v>
      </c>
      <c r="O131" s="8">
        <v>5.0</v>
      </c>
      <c r="P131" s="8">
        <v>6.0</v>
      </c>
      <c r="Q131" s="8">
        <v>11.0</v>
      </c>
    </row>
    <row r="132">
      <c r="A132" s="8">
        <v>53.0</v>
      </c>
      <c r="B132" s="8">
        <v>15.0</v>
      </c>
      <c r="C132" s="8">
        <v>1.0</v>
      </c>
      <c r="D132" s="8">
        <v>9.0</v>
      </c>
      <c r="E132" s="8">
        <v>5.0</v>
      </c>
      <c r="F132" s="8">
        <v>11.0</v>
      </c>
      <c r="G132" s="8">
        <v>15.0</v>
      </c>
      <c r="H132" s="8">
        <v>6.0</v>
      </c>
      <c r="I132" s="8">
        <v>0.0</v>
      </c>
    </row>
    <row r="133">
      <c r="A133" s="8">
        <v>54.0</v>
      </c>
      <c r="B133" s="8">
        <v>3.0</v>
      </c>
      <c r="C133" s="8">
        <v>12.0</v>
      </c>
      <c r="D133" s="8">
        <v>5.0</v>
      </c>
      <c r="E133" s="8">
        <v>3.0</v>
      </c>
      <c r="F133" s="8">
        <v>10.0</v>
      </c>
      <c r="G133" s="8">
        <v>8.0</v>
      </c>
      <c r="H133" s="8">
        <v>12.0</v>
      </c>
      <c r="I133" s="8">
        <v>15.0</v>
      </c>
    </row>
    <row r="134">
      <c r="A134" s="8">
        <v>55.0</v>
      </c>
      <c r="B134" s="8">
        <v>5.0</v>
      </c>
      <c r="C134" s="8">
        <v>14.0</v>
      </c>
      <c r="D134" s="8">
        <v>3.0</v>
      </c>
      <c r="E134" s="8">
        <v>12.0</v>
      </c>
      <c r="F134" s="8">
        <v>2.0</v>
      </c>
      <c r="G134" s="8">
        <v>3.0</v>
      </c>
      <c r="H134" s="8">
        <v>5.0</v>
      </c>
      <c r="I134" s="8">
        <v>5.0</v>
      </c>
    </row>
    <row r="135">
      <c r="A135" s="8">
        <v>56.0</v>
      </c>
      <c r="B135" s="8">
        <v>6.0</v>
      </c>
      <c r="C135" s="8">
        <v>8.0</v>
      </c>
      <c r="D135" s="8">
        <v>0.0</v>
      </c>
      <c r="E135" s="8">
        <v>7.0</v>
      </c>
      <c r="F135" s="8">
        <v>8.0</v>
      </c>
      <c r="G135" s="8">
        <v>4.0</v>
      </c>
      <c r="H135" s="8">
        <v>3.0</v>
      </c>
      <c r="I135" s="8">
        <v>9.0</v>
      </c>
    </row>
    <row r="136">
      <c r="A136" s="8">
        <v>57.0</v>
      </c>
      <c r="B136" s="8">
        <v>11.0</v>
      </c>
      <c r="C136" s="8">
        <v>6.0</v>
      </c>
      <c r="D136" s="8">
        <v>11.0</v>
      </c>
      <c r="E136" s="8">
        <v>9.0</v>
      </c>
      <c r="F136" s="8">
        <v>15.0</v>
      </c>
      <c r="G136" s="8">
        <v>7.0</v>
      </c>
      <c r="H136" s="8">
        <v>9.0</v>
      </c>
      <c r="I136" s="8">
        <v>2.0</v>
      </c>
    </row>
    <row r="137">
      <c r="A137" s="8">
        <v>58.0</v>
      </c>
      <c r="B137" s="8">
        <v>8.0</v>
      </c>
      <c r="C137" s="8">
        <v>4.0</v>
      </c>
      <c r="D137" s="8">
        <v>15.0</v>
      </c>
      <c r="E137" s="8">
        <v>1.0</v>
      </c>
      <c r="F137" s="8">
        <v>0.0</v>
      </c>
      <c r="G137" s="8">
        <v>5.0</v>
      </c>
      <c r="H137" s="8">
        <v>0.0</v>
      </c>
      <c r="I137" s="8">
        <v>12.0</v>
      </c>
    </row>
    <row r="138">
      <c r="A138" s="8">
        <v>59.0</v>
      </c>
      <c r="B138" s="8">
        <v>2.0</v>
      </c>
      <c r="C138" s="8">
        <v>3.0</v>
      </c>
      <c r="D138" s="8">
        <v>14.0</v>
      </c>
      <c r="E138" s="8">
        <v>15.0</v>
      </c>
      <c r="F138" s="8">
        <v>12.0</v>
      </c>
      <c r="G138" s="8">
        <v>2.0</v>
      </c>
      <c r="H138" s="8">
        <v>7.0</v>
      </c>
      <c r="I138" s="8">
        <v>6.0</v>
      </c>
    </row>
    <row r="139">
      <c r="A139" s="8">
        <v>60.0</v>
      </c>
      <c r="B139" s="8">
        <v>4.0</v>
      </c>
      <c r="C139" s="8">
        <v>5.0</v>
      </c>
      <c r="D139" s="8">
        <v>6.0</v>
      </c>
      <c r="E139" s="8">
        <v>0.0</v>
      </c>
      <c r="F139" s="8">
        <v>9.0</v>
      </c>
      <c r="G139" s="8">
        <v>11.0</v>
      </c>
      <c r="H139" s="8">
        <v>4.0</v>
      </c>
      <c r="I139" s="8">
        <v>8.0</v>
      </c>
    </row>
    <row r="140">
      <c r="A140" s="8">
        <v>61.0</v>
      </c>
      <c r="B140" s="8">
        <v>7.0</v>
      </c>
      <c r="C140" s="8">
        <v>10.0</v>
      </c>
      <c r="D140" s="8">
        <v>12.0</v>
      </c>
      <c r="E140" s="8">
        <v>13.0</v>
      </c>
      <c r="F140" s="8">
        <v>3.0</v>
      </c>
      <c r="G140" s="8">
        <v>1.0</v>
      </c>
      <c r="H140" s="8">
        <v>2.0</v>
      </c>
      <c r="I140" s="8">
        <v>11.0</v>
      </c>
    </row>
    <row r="141">
      <c r="A141" s="8">
        <v>62.0</v>
      </c>
      <c r="B141" s="8">
        <v>9.0</v>
      </c>
      <c r="C141" s="8">
        <v>9.0</v>
      </c>
      <c r="D141" s="8">
        <v>8.0</v>
      </c>
      <c r="E141" s="8">
        <v>10.0</v>
      </c>
      <c r="F141" s="8">
        <v>14.0</v>
      </c>
      <c r="G141" s="8">
        <v>12.0</v>
      </c>
      <c r="H141" s="8">
        <v>14.0</v>
      </c>
      <c r="I141" s="8">
        <v>14.0</v>
      </c>
    </row>
    <row r="142">
      <c r="A142" s="8">
        <v>63.0</v>
      </c>
      <c r="B142" s="8">
        <v>14.0</v>
      </c>
      <c r="C142" s="8">
        <v>15.0</v>
      </c>
      <c r="D142" s="8">
        <v>2.0</v>
      </c>
      <c r="E142" s="8">
        <v>6.0</v>
      </c>
      <c r="F142" s="8">
        <v>5.0</v>
      </c>
      <c r="G142" s="8">
        <v>9.0</v>
      </c>
      <c r="H142" s="8">
        <v>11.0</v>
      </c>
      <c r="I142" s="8">
        <v>3.0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127</v>
      </c>
      <c r="B1" s="7" t="s">
        <v>125</v>
      </c>
      <c r="E1" s="6" t="s">
        <v>128</v>
      </c>
      <c r="F1" s="7" t="str">
        <f>B2&amp;B1</f>
        <v>1011010001101000101010101110110001100010111011011101111000010000</v>
      </c>
    </row>
    <row r="2">
      <c r="A2" s="6" t="s">
        <v>129</v>
      </c>
      <c r="B2" s="7" t="s">
        <v>130</v>
      </c>
    </row>
    <row r="4">
      <c r="A4" s="6" t="s">
        <v>10</v>
      </c>
      <c r="B4" s="6" t="s">
        <v>2</v>
      </c>
      <c r="C4" s="6" t="s">
        <v>21</v>
      </c>
    </row>
    <row r="5">
      <c r="A5" s="8">
        <v>1.0</v>
      </c>
      <c r="B5" s="8">
        <v>40.0</v>
      </c>
      <c r="C5" s="7" t="str">
        <f t="shared" ref="C5:C68" si="1">MID($F$1,B5,1)</f>
        <v>0</v>
      </c>
      <c r="D5" s="7" t="str">
        <f t="shared" ref="D5:D66" si="2">C5&amp;D6</f>
        <v>0010000010000110010000000000111000000010001001100010000000100110</v>
      </c>
      <c r="J5" s="1" t="s">
        <v>8</v>
      </c>
      <c r="K5" s="1" t="s">
        <v>8</v>
      </c>
      <c r="L5" s="1" t="s">
        <v>9</v>
      </c>
    </row>
    <row r="6">
      <c r="A6" s="8">
        <v>2.0</v>
      </c>
      <c r="B6" s="8">
        <v>8.0</v>
      </c>
      <c r="C6" s="7" t="str">
        <f t="shared" si="1"/>
        <v>0</v>
      </c>
      <c r="D6" s="7" t="str">
        <f t="shared" si="2"/>
        <v>010000010000110010000000000111000000010001001100010000000100110</v>
      </c>
      <c r="J6" s="1">
        <v>1.0</v>
      </c>
      <c r="K6" s="3" t="str">
        <f t="shared" ref="K6:K13" si="3">MID($D$5,(J6-1)*8+1,8)</f>
        <v>00100000</v>
      </c>
      <c r="L6" s="3" t="str">
        <f t="shared" ref="L6:L13" si="4">BIN2HEX(K6,2)</f>
        <v>20</v>
      </c>
    </row>
    <row r="7">
      <c r="A7" s="8">
        <v>3.0</v>
      </c>
      <c r="B7" s="8">
        <v>48.0</v>
      </c>
      <c r="C7" s="7" t="str">
        <f t="shared" si="1"/>
        <v>1</v>
      </c>
      <c r="D7" s="7" t="str">
        <f t="shared" si="2"/>
        <v>10000010000110010000000000111000000010001001100010000000100110</v>
      </c>
      <c r="J7" s="1">
        <v>2.0</v>
      </c>
      <c r="K7" s="3" t="str">
        <f t="shared" si="3"/>
        <v>10000110</v>
      </c>
      <c r="L7" s="3" t="str">
        <f t="shared" si="4"/>
        <v>86</v>
      </c>
    </row>
    <row r="8">
      <c r="A8" s="8">
        <v>4.0</v>
      </c>
      <c r="B8" s="8">
        <v>16.0</v>
      </c>
      <c r="C8" s="7" t="str">
        <f t="shared" si="1"/>
        <v>0</v>
      </c>
      <c r="D8" s="7" t="str">
        <f t="shared" si="2"/>
        <v>0000010000110010000000000111000000010001001100010000000100110</v>
      </c>
      <c r="J8" s="1">
        <v>3.0</v>
      </c>
      <c r="K8" s="3" t="str">
        <f t="shared" si="3"/>
        <v>01000000</v>
      </c>
      <c r="L8" s="3" t="str">
        <f t="shared" si="4"/>
        <v>40</v>
      </c>
    </row>
    <row r="9">
      <c r="A9" s="8">
        <v>5.0</v>
      </c>
      <c r="B9" s="8">
        <v>56.0</v>
      </c>
      <c r="C9" s="7" t="str">
        <f t="shared" si="1"/>
        <v>0</v>
      </c>
      <c r="D9" s="7" t="str">
        <f t="shared" si="2"/>
        <v>000010000110010000000000111000000010001001100010000000100110</v>
      </c>
      <c r="J9" s="1">
        <v>4.0</v>
      </c>
      <c r="K9" s="3" t="str">
        <f t="shared" si="3"/>
        <v>00001110</v>
      </c>
      <c r="L9" s="3" t="str">
        <f t="shared" si="4"/>
        <v>0E</v>
      </c>
    </row>
    <row r="10">
      <c r="A10" s="8">
        <v>6.0</v>
      </c>
      <c r="B10" s="8">
        <v>24.0</v>
      </c>
      <c r="C10" s="7" t="str">
        <f t="shared" si="1"/>
        <v>0</v>
      </c>
      <c r="D10" s="7" t="str">
        <f t="shared" si="2"/>
        <v>00010000110010000000000111000000010001001100010000000100110</v>
      </c>
      <c r="J10" s="1">
        <v>5.0</v>
      </c>
      <c r="K10" s="3" t="str">
        <f t="shared" si="3"/>
        <v>00000010</v>
      </c>
      <c r="L10" s="3" t="str">
        <f t="shared" si="4"/>
        <v>02</v>
      </c>
    </row>
    <row r="11">
      <c r="A11" s="8">
        <v>7.0</v>
      </c>
      <c r="B11" s="8">
        <v>64.0</v>
      </c>
      <c r="C11" s="7" t="str">
        <f t="shared" si="1"/>
        <v>0</v>
      </c>
      <c r="D11" s="7" t="str">
        <f t="shared" si="2"/>
        <v>0010000110010000000000111000000010001001100010000000100110</v>
      </c>
      <c r="J11" s="1">
        <v>6.0</v>
      </c>
      <c r="K11" s="3" t="str">
        <f t="shared" si="3"/>
        <v>00100110</v>
      </c>
      <c r="L11" s="3" t="str">
        <f t="shared" si="4"/>
        <v>26</v>
      </c>
    </row>
    <row r="12">
      <c r="A12" s="8">
        <v>8.0</v>
      </c>
      <c r="B12" s="8">
        <v>32.0</v>
      </c>
      <c r="C12" s="7" t="str">
        <f t="shared" si="1"/>
        <v>0</v>
      </c>
      <c r="D12" s="7" t="str">
        <f t="shared" si="2"/>
        <v>010000110010000000000111000000010001001100010000000100110</v>
      </c>
      <c r="J12" s="1">
        <v>7.0</v>
      </c>
      <c r="K12" s="3" t="str">
        <f t="shared" si="3"/>
        <v>00100000</v>
      </c>
      <c r="L12" s="3" t="str">
        <f t="shared" si="4"/>
        <v>20</v>
      </c>
    </row>
    <row r="13">
      <c r="A13" s="8">
        <v>9.0</v>
      </c>
      <c r="B13" s="8">
        <v>55.0</v>
      </c>
      <c r="C13" s="7" t="str">
        <f t="shared" si="1"/>
        <v>1</v>
      </c>
      <c r="D13" s="7" t="str">
        <f t="shared" si="2"/>
        <v>10000110010000000000111000000010001001100010000000100110</v>
      </c>
      <c r="J13" s="1">
        <v>8.0</v>
      </c>
      <c r="K13" s="3" t="str">
        <f t="shared" si="3"/>
        <v>00100110</v>
      </c>
      <c r="L13" s="3" t="str">
        <f t="shared" si="4"/>
        <v>26</v>
      </c>
    </row>
    <row r="14">
      <c r="A14" s="8">
        <v>10.0</v>
      </c>
      <c r="B14" s="8">
        <v>7.0</v>
      </c>
      <c r="C14" s="7" t="str">
        <f t="shared" si="1"/>
        <v>0</v>
      </c>
      <c r="D14" s="7" t="str">
        <f t="shared" si="2"/>
        <v>0000110010000000000111000000010001001100010000000100110</v>
      </c>
    </row>
    <row r="15">
      <c r="A15" s="8">
        <v>11.0</v>
      </c>
      <c r="B15" s="8">
        <v>63.0</v>
      </c>
      <c r="C15" s="7" t="str">
        <f t="shared" si="1"/>
        <v>0</v>
      </c>
      <c r="D15" s="7" t="str">
        <f t="shared" si="2"/>
        <v>000110010000000000111000000010001001100010000000100110</v>
      </c>
    </row>
    <row r="16">
      <c r="A16" s="8">
        <v>12.0</v>
      </c>
      <c r="B16" s="8">
        <v>15.0</v>
      </c>
      <c r="C16" s="7" t="str">
        <f t="shared" si="1"/>
        <v>0</v>
      </c>
      <c r="D16" s="7" t="str">
        <f t="shared" si="2"/>
        <v>00110010000000000111000000010001001100010000000100110</v>
      </c>
    </row>
    <row r="17">
      <c r="A17" s="8">
        <v>13.0</v>
      </c>
      <c r="B17" s="8">
        <v>47.0</v>
      </c>
      <c r="C17" s="7" t="str">
        <f t="shared" si="1"/>
        <v>0</v>
      </c>
      <c r="D17" s="7" t="str">
        <f t="shared" si="2"/>
        <v>0110010000000000111000000010001001100010000000100110</v>
      </c>
    </row>
    <row r="18">
      <c r="A18" s="8">
        <v>14.0</v>
      </c>
      <c r="B18" s="8">
        <v>23.0</v>
      </c>
      <c r="C18" s="7" t="str">
        <f t="shared" si="1"/>
        <v>1</v>
      </c>
      <c r="D18" s="7" t="str">
        <f t="shared" si="2"/>
        <v>110010000000000111000000010001001100010000000100110</v>
      </c>
    </row>
    <row r="19">
      <c r="A19" s="8">
        <v>15.0</v>
      </c>
      <c r="B19" s="8">
        <v>39.0</v>
      </c>
      <c r="C19" s="7" t="str">
        <f t="shared" si="1"/>
        <v>1</v>
      </c>
      <c r="D19" s="7" t="str">
        <f t="shared" si="2"/>
        <v>10010000000000111000000010001001100010000000100110</v>
      </c>
    </row>
    <row r="20">
      <c r="A20" s="8">
        <v>16.0</v>
      </c>
      <c r="B20" s="8">
        <v>31.0</v>
      </c>
      <c r="C20" s="7" t="str">
        <f t="shared" si="1"/>
        <v>0</v>
      </c>
      <c r="D20" s="7" t="str">
        <f t="shared" si="2"/>
        <v>0010000000000111000000010001001100010000000100110</v>
      </c>
    </row>
    <row r="21">
      <c r="A21" s="8">
        <v>17.0</v>
      </c>
      <c r="B21" s="8">
        <v>24.0</v>
      </c>
      <c r="C21" s="7" t="str">
        <f t="shared" si="1"/>
        <v>0</v>
      </c>
      <c r="D21" s="7" t="str">
        <f t="shared" si="2"/>
        <v>010000000000111000000010001001100010000000100110</v>
      </c>
    </row>
    <row r="22">
      <c r="A22" s="8">
        <v>18.0</v>
      </c>
      <c r="B22" s="8">
        <v>48.0</v>
      </c>
      <c r="C22" s="7" t="str">
        <f t="shared" si="1"/>
        <v>1</v>
      </c>
      <c r="D22" s="7" t="str">
        <f t="shared" si="2"/>
        <v>10000000000111000000010001001100010000000100110</v>
      </c>
    </row>
    <row r="23">
      <c r="A23" s="8">
        <v>19.0</v>
      </c>
      <c r="B23" s="8">
        <v>16.0</v>
      </c>
      <c r="C23" s="7" t="str">
        <f t="shared" si="1"/>
        <v>0</v>
      </c>
      <c r="D23" s="7" t="str">
        <f t="shared" si="2"/>
        <v>0000000000111000000010001001100010000000100110</v>
      </c>
    </row>
    <row r="24">
      <c r="A24" s="8">
        <v>20.0</v>
      </c>
      <c r="B24" s="8">
        <v>32.0</v>
      </c>
      <c r="C24" s="7" t="str">
        <f t="shared" si="1"/>
        <v>0</v>
      </c>
      <c r="D24" s="7" t="str">
        <f t="shared" si="2"/>
        <v>000000000111000000010001001100010000000100110</v>
      </c>
    </row>
    <row r="25">
      <c r="A25" s="8">
        <v>21.0</v>
      </c>
      <c r="B25" s="8">
        <v>64.0</v>
      </c>
      <c r="C25" s="7" t="str">
        <f t="shared" si="1"/>
        <v>0</v>
      </c>
      <c r="D25" s="7" t="str">
        <f t="shared" si="2"/>
        <v>00000000111000000010001001100010000000100110</v>
      </c>
    </row>
    <row r="26">
      <c r="A26" s="8">
        <v>22.0</v>
      </c>
      <c r="B26" s="8">
        <v>40.0</v>
      </c>
      <c r="C26" s="7" t="str">
        <f t="shared" si="1"/>
        <v>0</v>
      </c>
      <c r="D26" s="7" t="str">
        <f t="shared" si="2"/>
        <v>0000000111000000010001001100010000000100110</v>
      </c>
    </row>
    <row r="27">
      <c r="A27" s="8">
        <v>23.0</v>
      </c>
      <c r="B27" s="8">
        <v>8.0</v>
      </c>
      <c r="C27" s="7" t="str">
        <f t="shared" si="1"/>
        <v>0</v>
      </c>
      <c r="D27" s="7" t="str">
        <f t="shared" si="2"/>
        <v>000000111000000010001001100010000000100110</v>
      </c>
    </row>
    <row r="28">
      <c r="A28" s="8">
        <v>24.0</v>
      </c>
      <c r="B28" s="8">
        <v>56.0</v>
      </c>
      <c r="C28" s="7" t="str">
        <f t="shared" si="1"/>
        <v>0</v>
      </c>
      <c r="D28" s="7" t="str">
        <f t="shared" si="2"/>
        <v>00000111000000010001001100010000000100110</v>
      </c>
    </row>
    <row r="29">
      <c r="A29" s="8">
        <v>25.0</v>
      </c>
      <c r="B29" s="8">
        <v>47.0</v>
      </c>
      <c r="C29" s="7" t="str">
        <f t="shared" si="1"/>
        <v>0</v>
      </c>
      <c r="D29" s="7" t="str">
        <f t="shared" si="2"/>
        <v>0000111000000010001001100010000000100110</v>
      </c>
    </row>
    <row r="30">
      <c r="A30" s="8">
        <v>26.0</v>
      </c>
      <c r="B30" s="8">
        <v>7.0</v>
      </c>
      <c r="C30" s="7" t="str">
        <f t="shared" si="1"/>
        <v>0</v>
      </c>
      <c r="D30" s="7" t="str">
        <f t="shared" si="2"/>
        <v>000111000000010001001100010000000100110</v>
      </c>
    </row>
    <row r="31">
      <c r="A31" s="8">
        <v>27.0</v>
      </c>
      <c r="B31" s="8">
        <v>63.0</v>
      </c>
      <c r="C31" s="7" t="str">
        <f t="shared" si="1"/>
        <v>0</v>
      </c>
      <c r="D31" s="7" t="str">
        <f t="shared" si="2"/>
        <v>00111000000010001001100010000000100110</v>
      </c>
    </row>
    <row r="32">
      <c r="A32" s="8">
        <v>28.0</v>
      </c>
      <c r="B32" s="8">
        <v>15.0</v>
      </c>
      <c r="C32" s="7" t="str">
        <f t="shared" si="1"/>
        <v>0</v>
      </c>
      <c r="D32" s="7" t="str">
        <f t="shared" si="2"/>
        <v>0111000000010001001100010000000100110</v>
      </c>
    </row>
    <row r="33">
      <c r="A33" s="8">
        <v>29.0</v>
      </c>
      <c r="B33" s="8">
        <v>55.0</v>
      </c>
      <c r="C33" s="7" t="str">
        <f t="shared" si="1"/>
        <v>1</v>
      </c>
      <c r="D33" s="7" t="str">
        <f t="shared" si="2"/>
        <v>111000000010001001100010000000100110</v>
      </c>
    </row>
    <row r="34">
      <c r="A34" s="8">
        <v>30.0</v>
      </c>
      <c r="B34" s="8">
        <v>23.0</v>
      </c>
      <c r="C34" s="7" t="str">
        <f t="shared" si="1"/>
        <v>1</v>
      </c>
      <c r="D34" s="7" t="str">
        <f t="shared" si="2"/>
        <v>11000000010001001100010000000100110</v>
      </c>
    </row>
    <row r="35">
      <c r="A35" s="8">
        <v>31.0</v>
      </c>
      <c r="B35" s="8">
        <v>39.0</v>
      </c>
      <c r="C35" s="7" t="str">
        <f t="shared" si="1"/>
        <v>1</v>
      </c>
      <c r="D35" s="7" t="str">
        <f t="shared" si="2"/>
        <v>1000000010001001100010000000100110</v>
      </c>
    </row>
    <row r="36">
      <c r="A36" s="8">
        <v>32.0</v>
      </c>
      <c r="B36" s="8">
        <v>31.0</v>
      </c>
      <c r="C36" s="7" t="str">
        <f t="shared" si="1"/>
        <v>0</v>
      </c>
      <c r="D36" s="7" t="str">
        <f t="shared" si="2"/>
        <v>000000010001001100010000000100110</v>
      </c>
    </row>
    <row r="37">
      <c r="A37" s="8">
        <v>33.0</v>
      </c>
      <c r="B37" s="8">
        <v>8.0</v>
      </c>
      <c r="C37" s="7" t="str">
        <f t="shared" si="1"/>
        <v>0</v>
      </c>
      <c r="D37" s="7" t="str">
        <f t="shared" si="2"/>
        <v>00000010001001100010000000100110</v>
      </c>
    </row>
    <row r="38">
      <c r="A38" s="8">
        <v>34.0</v>
      </c>
      <c r="B38" s="8">
        <v>40.0</v>
      </c>
      <c r="C38" s="7" t="str">
        <f t="shared" si="1"/>
        <v>0</v>
      </c>
      <c r="D38" s="7" t="str">
        <f t="shared" si="2"/>
        <v>0000010001001100010000000100110</v>
      </c>
    </row>
    <row r="39">
      <c r="A39" s="8">
        <v>35.0</v>
      </c>
      <c r="B39" s="8">
        <v>56.0</v>
      </c>
      <c r="C39" s="7" t="str">
        <f t="shared" si="1"/>
        <v>0</v>
      </c>
      <c r="D39" s="7" t="str">
        <f t="shared" si="2"/>
        <v>000010001001100010000000100110</v>
      </c>
    </row>
    <row r="40">
      <c r="A40" s="8">
        <v>36.0</v>
      </c>
      <c r="B40" s="8">
        <v>16.0</v>
      </c>
      <c r="C40" s="7" t="str">
        <f t="shared" si="1"/>
        <v>0</v>
      </c>
      <c r="D40" s="7" t="str">
        <f t="shared" si="2"/>
        <v>00010001001100010000000100110</v>
      </c>
    </row>
    <row r="41">
      <c r="A41" s="8">
        <v>37.0</v>
      </c>
      <c r="B41" s="8">
        <v>64.0</v>
      </c>
      <c r="C41" s="7" t="str">
        <f t="shared" si="1"/>
        <v>0</v>
      </c>
      <c r="D41" s="7" t="str">
        <f t="shared" si="2"/>
        <v>0010001001100010000000100110</v>
      </c>
    </row>
    <row r="42">
      <c r="A42" s="8">
        <v>38.0</v>
      </c>
      <c r="B42" s="8">
        <v>32.0</v>
      </c>
      <c r="C42" s="7" t="str">
        <f t="shared" si="1"/>
        <v>0</v>
      </c>
      <c r="D42" s="7" t="str">
        <f t="shared" si="2"/>
        <v>010001001100010000000100110</v>
      </c>
    </row>
    <row r="43">
      <c r="A43" s="8">
        <v>39.0</v>
      </c>
      <c r="B43" s="8">
        <v>48.0</v>
      </c>
      <c r="C43" s="7" t="str">
        <f t="shared" si="1"/>
        <v>1</v>
      </c>
      <c r="D43" s="7" t="str">
        <f t="shared" si="2"/>
        <v>10001001100010000000100110</v>
      </c>
    </row>
    <row r="44">
      <c r="A44" s="8">
        <v>40.0</v>
      </c>
      <c r="B44" s="8">
        <v>8.0</v>
      </c>
      <c r="C44" s="7" t="str">
        <f t="shared" si="1"/>
        <v>0</v>
      </c>
      <c r="D44" s="7" t="str">
        <f t="shared" si="2"/>
        <v>0001001100010000000100110</v>
      </c>
    </row>
    <row r="45">
      <c r="A45" s="8">
        <v>41.0</v>
      </c>
      <c r="B45" s="8">
        <v>63.0</v>
      </c>
      <c r="C45" s="7" t="str">
        <f t="shared" si="1"/>
        <v>0</v>
      </c>
      <c r="D45" s="7" t="str">
        <f t="shared" si="2"/>
        <v>001001100010000000100110</v>
      </c>
    </row>
    <row r="46">
      <c r="A46" s="8">
        <v>42.0</v>
      </c>
      <c r="B46" s="8">
        <v>15.0</v>
      </c>
      <c r="C46" s="7" t="str">
        <f t="shared" si="1"/>
        <v>0</v>
      </c>
      <c r="D46" s="7" t="str">
        <f t="shared" si="2"/>
        <v>01001100010000000100110</v>
      </c>
    </row>
    <row r="47">
      <c r="A47" s="8">
        <v>43.0</v>
      </c>
      <c r="B47" s="8">
        <v>55.0</v>
      </c>
      <c r="C47" s="7" t="str">
        <f t="shared" si="1"/>
        <v>1</v>
      </c>
      <c r="D47" s="7" t="str">
        <f t="shared" si="2"/>
        <v>1001100010000000100110</v>
      </c>
    </row>
    <row r="48">
      <c r="A48" s="8">
        <v>44.0</v>
      </c>
      <c r="B48" s="8">
        <v>7.0</v>
      </c>
      <c r="C48" s="7" t="str">
        <f t="shared" si="1"/>
        <v>0</v>
      </c>
      <c r="D48" s="7" t="str">
        <f t="shared" si="2"/>
        <v>001100010000000100110</v>
      </c>
    </row>
    <row r="49">
      <c r="A49" s="8">
        <v>45.0</v>
      </c>
      <c r="B49" s="8">
        <v>47.0</v>
      </c>
      <c r="C49" s="7" t="str">
        <f t="shared" si="1"/>
        <v>0</v>
      </c>
      <c r="D49" s="7" t="str">
        <f t="shared" si="2"/>
        <v>01100010000000100110</v>
      </c>
    </row>
    <row r="50">
      <c r="A50" s="8">
        <v>46.0</v>
      </c>
      <c r="B50" s="8">
        <v>23.0</v>
      </c>
      <c r="C50" s="7" t="str">
        <f t="shared" si="1"/>
        <v>1</v>
      </c>
      <c r="D50" s="7" t="str">
        <f t="shared" si="2"/>
        <v>1100010000000100110</v>
      </c>
    </row>
    <row r="51">
      <c r="A51" s="8">
        <v>47.0</v>
      </c>
      <c r="B51" s="8">
        <v>39.0</v>
      </c>
      <c r="C51" s="7" t="str">
        <f t="shared" si="1"/>
        <v>1</v>
      </c>
      <c r="D51" s="7" t="str">
        <f t="shared" si="2"/>
        <v>100010000000100110</v>
      </c>
    </row>
    <row r="52">
      <c r="A52" s="8">
        <v>48.0</v>
      </c>
      <c r="B52" s="8">
        <v>31.0</v>
      </c>
      <c r="C52" s="7" t="str">
        <f t="shared" si="1"/>
        <v>0</v>
      </c>
      <c r="D52" s="7" t="str">
        <f t="shared" si="2"/>
        <v>00010000000100110</v>
      </c>
    </row>
    <row r="53">
      <c r="A53" s="8">
        <v>49.0</v>
      </c>
      <c r="B53" s="8">
        <v>56.0</v>
      </c>
      <c r="C53" s="7" t="str">
        <f t="shared" si="1"/>
        <v>0</v>
      </c>
      <c r="D53" s="7" t="str">
        <f t="shared" si="2"/>
        <v>0010000000100110</v>
      </c>
    </row>
    <row r="54">
      <c r="A54" s="8">
        <v>50.0</v>
      </c>
      <c r="B54" s="8">
        <v>24.0</v>
      </c>
      <c r="C54" s="7" t="str">
        <f t="shared" si="1"/>
        <v>0</v>
      </c>
      <c r="D54" s="7" t="str">
        <f t="shared" si="2"/>
        <v>010000000100110</v>
      </c>
    </row>
    <row r="55">
      <c r="A55" s="8">
        <v>51.0</v>
      </c>
      <c r="B55" s="8">
        <v>48.0</v>
      </c>
      <c r="C55" s="7" t="str">
        <f t="shared" si="1"/>
        <v>1</v>
      </c>
      <c r="D55" s="7" t="str">
        <f t="shared" si="2"/>
        <v>10000000100110</v>
      </c>
    </row>
    <row r="56">
      <c r="A56" s="8">
        <v>52.0</v>
      </c>
      <c r="B56" s="8">
        <v>16.0</v>
      </c>
      <c r="C56" s="7" t="str">
        <f t="shared" si="1"/>
        <v>0</v>
      </c>
      <c r="D56" s="7" t="str">
        <f t="shared" si="2"/>
        <v>0000000100110</v>
      </c>
    </row>
    <row r="57">
      <c r="A57" s="8">
        <v>53.0</v>
      </c>
      <c r="B57" s="8">
        <v>32.0</v>
      </c>
      <c r="C57" s="7" t="str">
        <f t="shared" si="1"/>
        <v>0</v>
      </c>
      <c r="D57" s="7" t="str">
        <f t="shared" si="2"/>
        <v>000000100110</v>
      </c>
    </row>
    <row r="58">
      <c r="A58" s="8">
        <v>54.0</v>
      </c>
      <c r="B58" s="8">
        <v>64.0</v>
      </c>
      <c r="C58" s="7" t="str">
        <f t="shared" si="1"/>
        <v>0</v>
      </c>
      <c r="D58" s="7" t="str">
        <f t="shared" si="2"/>
        <v>00000100110</v>
      </c>
    </row>
    <row r="59">
      <c r="A59" s="8">
        <v>55.0</v>
      </c>
      <c r="B59" s="8">
        <v>40.0</v>
      </c>
      <c r="C59" s="7" t="str">
        <f t="shared" si="1"/>
        <v>0</v>
      </c>
      <c r="D59" s="7" t="str">
        <f t="shared" si="2"/>
        <v>0000100110</v>
      </c>
    </row>
    <row r="60">
      <c r="A60" s="8">
        <v>56.0</v>
      </c>
      <c r="B60" s="8">
        <v>8.0</v>
      </c>
      <c r="C60" s="7" t="str">
        <f t="shared" si="1"/>
        <v>0</v>
      </c>
      <c r="D60" s="7" t="str">
        <f t="shared" si="2"/>
        <v>000100110</v>
      </c>
    </row>
    <row r="61">
      <c r="A61" s="8">
        <v>57.0</v>
      </c>
      <c r="B61" s="8">
        <v>63.0</v>
      </c>
      <c r="C61" s="7" t="str">
        <f t="shared" si="1"/>
        <v>0</v>
      </c>
      <c r="D61" s="7" t="str">
        <f t="shared" si="2"/>
        <v>00100110</v>
      </c>
    </row>
    <row r="62">
      <c r="A62" s="8">
        <v>58.0</v>
      </c>
      <c r="B62" s="8">
        <v>15.0</v>
      </c>
      <c r="C62" s="7" t="str">
        <f t="shared" si="1"/>
        <v>0</v>
      </c>
      <c r="D62" s="7" t="str">
        <f t="shared" si="2"/>
        <v>0100110</v>
      </c>
    </row>
    <row r="63">
      <c r="A63" s="8">
        <v>59.0</v>
      </c>
      <c r="B63" s="8">
        <v>55.0</v>
      </c>
      <c r="C63" s="7" t="str">
        <f t="shared" si="1"/>
        <v>1</v>
      </c>
      <c r="D63" s="7" t="str">
        <f t="shared" si="2"/>
        <v>100110</v>
      </c>
    </row>
    <row r="64">
      <c r="A64" s="8">
        <v>60.0</v>
      </c>
      <c r="B64" s="8">
        <v>7.0</v>
      </c>
      <c r="C64" s="7" t="str">
        <f t="shared" si="1"/>
        <v>0</v>
      </c>
      <c r="D64" s="7" t="str">
        <f t="shared" si="2"/>
        <v>00110</v>
      </c>
    </row>
    <row r="65">
      <c r="A65" s="8">
        <v>61.0</v>
      </c>
      <c r="B65" s="8">
        <v>47.0</v>
      </c>
      <c r="C65" s="7" t="str">
        <f t="shared" si="1"/>
        <v>0</v>
      </c>
      <c r="D65" s="7" t="str">
        <f t="shared" si="2"/>
        <v>0110</v>
      </c>
    </row>
    <row r="66">
      <c r="A66" s="8">
        <v>62.0</v>
      </c>
      <c r="B66" s="8">
        <v>23.0</v>
      </c>
      <c r="C66" s="7" t="str">
        <f t="shared" si="1"/>
        <v>1</v>
      </c>
      <c r="D66" s="7" t="str">
        <f t="shared" si="2"/>
        <v>110</v>
      </c>
    </row>
    <row r="67">
      <c r="A67" s="8">
        <v>63.0</v>
      </c>
      <c r="B67" s="8">
        <v>39.0</v>
      </c>
      <c r="C67" s="7" t="str">
        <f t="shared" si="1"/>
        <v>1</v>
      </c>
      <c r="D67" s="7" t="str">
        <f>C67&amp;C68</f>
        <v>10</v>
      </c>
    </row>
    <row r="68">
      <c r="A68" s="8">
        <v>64.0</v>
      </c>
      <c r="B68" s="8">
        <v>31.0</v>
      </c>
      <c r="C68" s="7" t="str">
        <f t="shared" si="1"/>
        <v>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7</v>
      </c>
      <c r="B1" s="6" t="s">
        <v>131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1111000011001100101010101011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11110000</v>
      </c>
      <c r="C3" s="3" t="str">
        <f t="shared" ref="C3:C9" si="2">BIN2HEX(B3,2)</f>
        <v>F0</v>
      </c>
      <c r="E3" s="6" t="s">
        <v>135</v>
      </c>
      <c r="F3" s="7" t="str">
        <f>RIGHT($B$1,28)</f>
        <v>1010101011001100111100001010</v>
      </c>
      <c r="I3" s="6">
        <v>2.0</v>
      </c>
      <c r="J3" s="6">
        <v>1.0</v>
      </c>
    </row>
    <row r="4">
      <c r="A4" s="1">
        <v>2.0</v>
      </c>
      <c r="B4" s="3" t="str">
        <f t="shared" si="1"/>
        <v>11001100</v>
      </c>
      <c r="C4" s="3" t="str">
        <f t="shared" si="2"/>
        <v>CC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10101010</v>
      </c>
      <c r="C5" s="3" t="str">
        <f t="shared" si="2"/>
        <v>AA</v>
      </c>
      <c r="E5" s="6" t="s">
        <v>137</v>
      </c>
      <c r="F5" s="6" t="s">
        <v>138</v>
      </c>
      <c r="G5" s="6" t="s">
        <v>139</v>
      </c>
      <c r="H5" s="7" t="s">
        <v>140</v>
      </c>
      <c r="I5" s="6">
        <v>4.0</v>
      </c>
      <c r="J5" s="6">
        <v>2.0</v>
      </c>
    </row>
    <row r="6">
      <c r="A6" s="1">
        <v>4.0</v>
      </c>
      <c r="B6" s="3" t="str">
        <f t="shared" si="1"/>
        <v>10111010</v>
      </c>
      <c r="C6" s="3" t="str">
        <f t="shared" si="2"/>
        <v>BA</v>
      </c>
      <c r="E6" s="6" t="s">
        <v>141</v>
      </c>
      <c r="F6" s="6" t="s">
        <v>142</v>
      </c>
      <c r="G6" s="6" t="s">
        <v>143</v>
      </c>
      <c r="H6" s="6" t="s">
        <v>144</v>
      </c>
      <c r="I6" s="6">
        <v>5.0</v>
      </c>
      <c r="J6" s="6">
        <v>2.0</v>
      </c>
    </row>
    <row r="7">
      <c r="A7" s="1">
        <v>5.0</v>
      </c>
      <c r="B7" s="3" t="str">
        <f t="shared" si="1"/>
        <v>10101100</v>
      </c>
      <c r="C7" s="3" t="str">
        <f t="shared" si="2"/>
        <v>AC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11001111</v>
      </c>
      <c r="C8" s="3" t="str">
        <f t="shared" si="2"/>
        <v>CF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00001010</v>
      </c>
      <c r="C9" s="3" t="str">
        <f t="shared" si="2"/>
        <v>0A</v>
      </c>
      <c r="E9" s="1">
        <v>1.0</v>
      </c>
      <c r="F9" s="3" t="str">
        <f t="shared" ref="F9:F12" si="3">MID($F$6,(E9-1)*8+1,8)</f>
        <v>11100001</v>
      </c>
      <c r="G9" s="3" t="str">
        <f t="shared" ref="G9:G12" si="4">BIN2HEX(F9,2)</f>
        <v>E1</v>
      </c>
      <c r="I9" s="6">
        <v>8.0</v>
      </c>
      <c r="J9" s="6">
        <v>2.0</v>
      </c>
    </row>
    <row r="10">
      <c r="E10" s="1">
        <v>2.0</v>
      </c>
      <c r="F10" s="3" t="str">
        <f t="shared" si="3"/>
        <v>10011001</v>
      </c>
      <c r="G10" s="3" t="str">
        <f t="shared" si="4"/>
        <v>99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01010101</v>
      </c>
      <c r="G11" s="3" t="str">
        <f t="shared" si="4"/>
        <v>55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0111</v>
      </c>
      <c r="G12" s="3" t="str">
        <f t="shared" si="4"/>
        <v>07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01010101</v>
      </c>
      <c r="G15" s="3" t="str">
        <f t="shared" ref="G15:G18" si="6">BIN2HEX(F15,2)</f>
        <v>55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10011001</v>
      </c>
      <c r="G16" s="3" t="str">
        <f t="shared" si="6"/>
        <v>99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11100001</v>
      </c>
      <c r="G17" s="3" t="str">
        <f t="shared" si="6"/>
        <v>E1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0101</v>
      </c>
      <c r="G18" s="3" t="str">
        <f t="shared" si="6"/>
        <v>05</v>
      </c>
    </row>
    <row r="20">
      <c r="A20" s="9" t="s">
        <v>12</v>
      </c>
      <c r="B20" s="10" t="str">
        <f>D24</f>
        <v>000110110000001011101111110110110100100110100101</v>
      </c>
      <c r="C20" s="10"/>
      <c r="D20" s="10"/>
    </row>
    <row r="21">
      <c r="A21" s="6" t="s">
        <v>147</v>
      </c>
      <c r="B21" s="7" t="str">
        <f>F6&amp;H6</f>
        <v>11100001100110010101010101110101010110011001111000010101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000110110000001011101111110110110100100110100101</v>
      </c>
      <c r="E24" s="1">
        <v>1.0</v>
      </c>
      <c r="F24" s="3" t="str">
        <f t="shared" ref="F24:F30" si="9">MID($B$20,(E24-1)*8+1,8)</f>
        <v>00011011</v>
      </c>
      <c r="G24" s="3" t="str">
        <f t="shared" ref="G24:G30" si="10">BIN2HEX(F24,2)</f>
        <v>1B</v>
      </c>
      <c r="H24" s="3"/>
    </row>
    <row r="25">
      <c r="A25" s="8">
        <v>2.0</v>
      </c>
      <c r="B25" s="8">
        <v>17.0</v>
      </c>
      <c r="C25" s="7" t="str">
        <f t="shared" si="7"/>
        <v>0</v>
      </c>
      <c r="D25" s="7" t="str">
        <f t="shared" si="8"/>
        <v>00110110000001011101111110110110100100110100101</v>
      </c>
      <c r="E25" s="1">
        <v>2.0</v>
      </c>
      <c r="F25" s="3" t="str">
        <f t="shared" si="9"/>
        <v>00000010</v>
      </c>
      <c r="G25" s="3" t="str">
        <f t="shared" si="10"/>
        <v>02</v>
      </c>
      <c r="H25" s="3"/>
    </row>
    <row r="26">
      <c r="A26" s="8">
        <v>3.0</v>
      </c>
      <c r="B26" s="8">
        <v>11.0</v>
      </c>
      <c r="C26" s="7" t="str">
        <f t="shared" si="7"/>
        <v>0</v>
      </c>
      <c r="D26" s="7" t="str">
        <f t="shared" si="8"/>
        <v>0110110000001011101111110110110100100110100101</v>
      </c>
      <c r="E26" s="1">
        <v>3.0</v>
      </c>
      <c r="F26" s="3" t="str">
        <f t="shared" si="9"/>
        <v>11101111</v>
      </c>
      <c r="G26" s="3" t="str">
        <f t="shared" si="10"/>
        <v>EF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110110000001011101111110110110100100110100101</v>
      </c>
      <c r="E27" s="1">
        <v>4.0</v>
      </c>
      <c r="F27" s="3" t="str">
        <f t="shared" si="9"/>
        <v>11011011</v>
      </c>
      <c r="G27" s="3" t="str">
        <f t="shared" si="10"/>
        <v>DB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1</v>
      </c>
      <c r="D28" s="7" t="str">
        <f t="shared" si="8"/>
        <v>10110000001011101111110110110100100110100101</v>
      </c>
      <c r="E28" s="1">
        <v>5.0</v>
      </c>
      <c r="F28" s="3" t="str">
        <f t="shared" si="9"/>
        <v>01001001</v>
      </c>
      <c r="G28" s="3" t="str">
        <f t="shared" si="10"/>
        <v>49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0110000001011101111110110110100100110100101</v>
      </c>
      <c r="E29" s="1">
        <v>6.0</v>
      </c>
      <c r="F29" s="3" t="str">
        <f t="shared" si="9"/>
        <v>10100101</v>
      </c>
      <c r="G29" s="3" t="str">
        <f t="shared" si="10"/>
        <v>A5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110000001011101111110110110100100110100101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10000001011101111110110110100100110100101</v>
      </c>
    </row>
    <row r="32">
      <c r="A32" s="8">
        <v>9.0</v>
      </c>
      <c r="B32" s="8">
        <v>15.0</v>
      </c>
      <c r="C32" s="7" t="str">
        <f t="shared" si="7"/>
        <v>0</v>
      </c>
      <c r="D32" s="7" t="str">
        <f t="shared" si="8"/>
        <v>0000001011101111110110110100100110100101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000001011101111110110110100100110100101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00001011101111110110110100100110100101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0001011101111110110110100100110100101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001011101111110110110100100110100101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01011101111110110110100100110100101</v>
      </c>
    </row>
    <row r="38">
      <c r="A38" s="8">
        <v>15.0</v>
      </c>
      <c r="B38" s="8">
        <v>12.0</v>
      </c>
      <c r="C38" s="7" t="str">
        <f t="shared" si="7"/>
        <v>1</v>
      </c>
      <c r="D38" s="7" t="str">
        <f t="shared" si="8"/>
        <v>1011101111110110110100100110100101</v>
      </c>
    </row>
    <row r="39">
      <c r="A39" s="8">
        <v>16.0</v>
      </c>
      <c r="B39" s="8">
        <v>4.0</v>
      </c>
      <c r="C39" s="7" t="str">
        <f t="shared" si="7"/>
        <v>0</v>
      </c>
      <c r="D39" s="7" t="str">
        <f t="shared" si="8"/>
        <v>011101111110110110100100110100101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11101111110110110100100110100101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1101111110110110100100110100101</v>
      </c>
    </row>
    <row r="42">
      <c r="A42" s="8">
        <v>19.0</v>
      </c>
      <c r="B42" s="8">
        <v>16.0</v>
      </c>
      <c r="C42" s="7" t="str">
        <f t="shared" si="7"/>
        <v>1</v>
      </c>
      <c r="D42" s="7" t="str">
        <f t="shared" si="8"/>
        <v>101111110110110100100110100101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01111110110110100100110100101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1111110110110100100110100101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111110110110100100110100101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11110110110100100110100101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1110110110100100110100101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110110110100100110100101</v>
      </c>
    </row>
    <row r="49">
      <c r="A49" s="8">
        <v>26.0</v>
      </c>
      <c r="B49" s="8">
        <v>52.0</v>
      </c>
      <c r="C49" s="7" t="str">
        <f t="shared" si="7"/>
        <v>1</v>
      </c>
      <c r="D49" s="7" t="str">
        <f t="shared" si="8"/>
        <v>10110110100100110100101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0110110100100110100101</v>
      </c>
    </row>
    <row r="51">
      <c r="A51" s="8">
        <v>28.0</v>
      </c>
      <c r="B51" s="8">
        <v>37.0</v>
      </c>
      <c r="C51" s="7" t="str">
        <f t="shared" si="7"/>
        <v>1</v>
      </c>
      <c r="D51" s="7" t="str">
        <f t="shared" si="8"/>
        <v>110110100100110100101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10110100100110100101</v>
      </c>
    </row>
    <row r="53">
      <c r="A53" s="8">
        <v>30.0</v>
      </c>
      <c r="B53" s="8">
        <v>55.0</v>
      </c>
      <c r="C53" s="7" t="str">
        <f t="shared" si="7"/>
        <v>0</v>
      </c>
      <c r="D53" s="7" t="str">
        <f t="shared" si="8"/>
        <v>0110100100110100101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110100100110100101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10100100110100101</v>
      </c>
    </row>
    <row r="56">
      <c r="A56" s="8">
        <v>33.0</v>
      </c>
      <c r="B56" s="8">
        <v>51.0</v>
      </c>
      <c r="C56" s="7" t="str">
        <f t="shared" si="7"/>
        <v>0</v>
      </c>
      <c r="D56" s="7" t="str">
        <f t="shared" si="8"/>
        <v>0100100110100101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100100110100101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00100110100101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0100110100101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100110100101</v>
      </c>
    </row>
    <row r="61">
      <c r="A61" s="8">
        <v>38.0</v>
      </c>
      <c r="B61" s="8">
        <v>49.0</v>
      </c>
      <c r="C61" s="7" t="str">
        <f t="shared" si="7"/>
        <v>0</v>
      </c>
      <c r="D61" s="7" t="str">
        <f t="shared" si="8"/>
        <v>00110100101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0110100101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110100101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10100101</v>
      </c>
    </row>
    <row r="65">
      <c r="A65" s="8">
        <v>42.0</v>
      </c>
      <c r="B65" s="8">
        <v>53.0</v>
      </c>
      <c r="C65" s="7" t="str">
        <f t="shared" si="7"/>
        <v>0</v>
      </c>
      <c r="D65" s="7" t="str">
        <f t="shared" si="8"/>
        <v>0100101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100101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00101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0101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150</v>
      </c>
      <c r="B1" s="6" t="s">
        <v>151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152</v>
      </c>
      <c r="F2" s="7" t="str">
        <f>LEFT($B$1,28)</f>
        <v>1110000110011001010101010111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11100001</v>
      </c>
      <c r="C3" s="3" t="str">
        <f t="shared" ref="C3:C9" si="2">BIN2HEX(B3,2)</f>
        <v>E1</v>
      </c>
      <c r="E3" s="6" t="s">
        <v>143</v>
      </c>
      <c r="F3" s="7" t="str">
        <f>RIGHT($B$1,28)</f>
        <v>0101010110011001111000010101</v>
      </c>
      <c r="I3" s="6">
        <v>2.0</v>
      </c>
      <c r="J3" s="6">
        <v>1.0</v>
      </c>
    </row>
    <row r="4">
      <c r="A4" s="1">
        <v>2.0</v>
      </c>
      <c r="B4" s="3" t="str">
        <f t="shared" si="1"/>
        <v>10011001</v>
      </c>
      <c r="C4" s="3" t="str">
        <f t="shared" si="2"/>
        <v>99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01010101</v>
      </c>
      <c r="C5" s="3" t="str">
        <f t="shared" si="2"/>
        <v>55</v>
      </c>
      <c r="E5" s="6" t="s">
        <v>141</v>
      </c>
      <c r="F5" s="6" t="str">
        <f>F2</f>
        <v>1110000110011001010101010111</v>
      </c>
      <c r="G5" s="6" t="s">
        <v>153</v>
      </c>
      <c r="H5" s="7" t="str">
        <f>F3</f>
        <v>0101010110011001111000010101</v>
      </c>
      <c r="I5" s="6">
        <v>4.0</v>
      </c>
      <c r="J5" s="6">
        <v>2.0</v>
      </c>
    </row>
    <row r="6">
      <c r="A6" s="1">
        <v>4.0</v>
      </c>
      <c r="B6" s="3" t="str">
        <f t="shared" si="1"/>
        <v>01110101</v>
      </c>
      <c r="C6" s="3" t="str">
        <f t="shared" si="2"/>
        <v>75</v>
      </c>
      <c r="E6" s="6" t="s">
        <v>154</v>
      </c>
      <c r="F6" s="6" t="s">
        <v>155</v>
      </c>
      <c r="G6" s="6" t="s">
        <v>156</v>
      </c>
      <c r="H6" s="6" t="s">
        <v>157</v>
      </c>
      <c r="I6" s="6">
        <v>5.0</v>
      </c>
      <c r="J6" s="6">
        <v>2.0</v>
      </c>
    </row>
    <row r="7">
      <c r="A7" s="1">
        <v>5.0</v>
      </c>
      <c r="B7" s="3" t="str">
        <f t="shared" si="1"/>
        <v>01011001</v>
      </c>
      <c r="C7" s="3" t="str">
        <f t="shared" si="2"/>
        <v>59</v>
      </c>
      <c r="F7" s="6" t="s">
        <v>158</v>
      </c>
      <c r="I7" s="6">
        <v>6.0</v>
      </c>
      <c r="J7" s="6">
        <v>2.0</v>
      </c>
    </row>
    <row r="8">
      <c r="A8" s="1">
        <v>6.0</v>
      </c>
      <c r="B8" s="3" t="str">
        <f t="shared" si="1"/>
        <v>10011110</v>
      </c>
      <c r="C8" s="3" t="str">
        <f t="shared" si="2"/>
        <v>9E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00010101</v>
      </c>
      <c r="C9" s="3" t="str">
        <f t="shared" si="2"/>
        <v>15</v>
      </c>
      <c r="E9" s="1">
        <v>1.0</v>
      </c>
      <c r="F9" s="3" t="str">
        <f t="shared" ref="F9:F12" si="3">MID($F$6,(E9-1)*8+1,8)</f>
        <v>11000011</v>
      </c>
      <c r="G9" s="3" t="str">
        <f t="shared" ref="G9:G12" si="4">BIN2HEX(F9,2)</f>
        <v>C3</v>
      </c>
      <c r="I9" s="6">
        <v>8.0</v>
      </c>
      <c r="J9" s="6">
        <v>2.0</v>
      </c>
    </row>
    <row r="10">
      <c r="E10" s="1">
        <v>2.0</v>
      </c>
      <c r="F10" s="3" t="str">
        <f t="shared" si="3"/>
        <v>00110010</v>
      </c>
      <c r="G10" s="3" t="str">
        <f t="shared" si="4"/>
        <v>32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10101010</v>
      </c>
      <c r="G11" s="3" t="str">
        <f t="shared" si="4"/>
        <v>AA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1111</v>
      </c>
      <c r="G12" s="3" t="str">
        <f t="shared" si="4"/>
        <v>0F</v>
      </c>
      <c r="I12" s="6">
        <v>11.0</v>
      </c>
      <c r="J12" s="6">
        <v>2.0</v>
      </c>
    </row>
    <row r="13">
      <c r="E13" s="3"/>
      <c r="F13" s="1" t="s">
        <v>159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10101011</v>
      </c>
      <c r="G15" s="3" t="str">
        <f t="shared" ref="G15:G18" si="6">BIN2HEX(F15,2)</f>
        <v>AB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00110011</v>
      </c>
      <c r="G16" s="3" t="str">
        <f t="shared" si="6"/>
        <v>33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11000010</v>
      </c>
      <c r="G17" s="3" t="str">
        <f t="shared" si="6"/>
        <v>C2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1010</v>
      </c>
      <c r="G18" s="3" t="str">
        <f t="shared" si="6"/>
        <v>0A</v>
      </c>
    </row>
    <row r="20">
      <c r="A20" s="9" t="s">
        <v>160</v>
      </c>
      <c r="B20" s="10" t="str">
        <f>D24</f>
        <v>011010011010111011011001001001011110101001100110</v>
      </c>
      <c r="C20" s="10"/>
      <c r="D20" s="10"/>
    </row>
    <row r="21">
      <c r="A21" s="6" t="s">
        <v>161</v>
      </c>
      <c r="B21" s="7" t="str">
        <f>F6&amp;H6</f>
        <v>11000011001100101010101011111010101100110011110000101010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011010011010111011011001001001011110101001100110</v>
      </c>
      <c r="E24" s="1">
        <v>1.0</v>
      </c>
      <c r="F24" s="3" t="str">
        <f t="shared" ref="F24:F30" si="9">MID($B$20,(E24-1)*8+1,8)</f>
        <v>01101001</v>
      </c>
      <c r="G24" s="3" t="str">
        <f t="shared" ref="G24:G30" si="10">BIN2HEX(F24,2)</f>
        <v>69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11010011010111011011001001001011110101001100110</v>
      </c>
      <c r="E25" s="1">
        <v>2.0</v>
      </c>
      <c r="F25" s="3" t="str">
        <f t="shared" si="9"/>
        <v>10101110</v>
      </c>
      <c r="G25" s="3" t="str">
        <f t="shared" si="10"/>
        <v>AE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1010011010111011011001001001011110101001100110</v>
      </c>
      <c r="E26" s="1">
        <v>3.0</v>
      </c>
      <c r="F26" s="3" t="str">
        <f t="shared" si="9"/>
        <v>11011001</v>
      </c>
      <c r="G26" s="3" t="str">
        <f t="shared" si="10"/>
        <v>D9</v>
      </c>
      <c r="H26" s="3"/>
    </row>
    <row r="27">
      <c r="A27" s="8">
        <v>4.0</v>
      </c>
      <c r="B27" s="8">
        <v>24.0</v>
      </c>
      <c r="C27" s="7" t="str">
        <f t="shared" si="7"/>
        <v>0</v>
      </c>
      <c r="D27" s="7" t="str">
        <f t="shared" si="8"/>
        <v>010011010111011011001001001011110101001100110</v>
      </c>
      <c r="E27" s="1">
        <v>4.0</v>
      </c>
      <c r="F27" s="3" t="str">
        <f t="shared" si="9"/>
        <v>00100101</v>
      </c>
      <c r="G27" s="3" t="str">
        <f t="shared" si="10"/>
        <v>25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1</v>
      </c>
      <c r="D28" s="7" t="str">
        <f t="shared" si="8"/>
        <v>10011010111011011001001001011110101001100110</v>
      </c>
      <c r="E28" s="1">
        <v>5.0</v>
      </c>
      <c r="F28" s="3" t="str">
        <f t="shared" si="9"/>
        <v>11101010</v>
      </c>
      <c r="G28" s="3" t="str">
        <f t="shared" si="10"/>
        <v>EA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0011010111011011001001001011110101001100110</v>
      </c>
      <c r="E29" s="1">
        <v>6.0</v>
      </c>
      <c r="F29" s="3" t="str">
        <f t="shared" si="9"/>
        <v>01100110</v>
      </c>
      <c r="G29" s="3" t="str">
        <f t="shared" si="10"/>
        <v>66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011010111011011001001001011110101001100110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11010111011011001001001011110101001100110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1010111011011001001001011110101001100110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010111011011001001001011110101001100110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10111011011001001001011110101001100110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0111011011001001001011110101001100110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111011011001001001011110101001100110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11011011001001001011110101001100110</v>
      </c>
    </row>
    <row r="38">
      <c r="A38" s="8">
        <v>15.0</v>
      </c>
      <c r="B38" s="8">
        <v>12.0</v>
      </c>
      <c r="C38" s="7" t="str">
        <f t="shared" si="7"/>
        <v>1</v>
      </c>
      <c r="D38" s="7" t="str">
        <f t="shared" si="8"/>
        <v>1011011001001001011110101001100110</v>
      </c>
    </row>
    <row r="39">
      <c r="A39" s="8">
        <v>16.0</v>
      </c>
      <c r="B39" s="8">
        <v>4.0</v>
      </c>
      <c r="C39" s="7" t="str">
        <f t="shared" si="7"/>
        <v>0</v>
      </c>
      <c r="D39" s="7" t="str">
        <f t="shared" si="8"/>
        <v>011011001001001011110101001100110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11011001001001011110101001100110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1011001001001011110101001100110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011001001001011110101001100110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11001001001011110101001100110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1001001001011110101001100110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001001001011110101001100110</v>
      </c>
    </row>
    <row r="46">
      <c r="A46" s="8">
        <v>23.0</v>
      </c>
      <c r="B46" s="8">
        <v>13.0</v>
      </c>
      <c r="C46" s="7" t="str">
        <f t="shared" si="7"/>
        <v>0</v>
      </c>
      <c r="D46" s="7" t="str">
        <f t="shared" si="8"/>
        <v>01001001011110101001100110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1001001011110101001100110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001001011110101001100110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01001011110101001100110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1001011110101001100110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001011110101001100110</v>
      </c>
    </row>
    <row r="52">
      <c r="A52" s="8">
        <v>29.0</v>
      </c>
      <c r="B52" s="8">
        <v>47.0</v>
      </c>
      <c r="C52" s="7" t="str">
        <f t="shared" si="7"/>
        <v>0</v>
      </c>
      <c r="D52" s="7" t="str">
        <f t="shared" si="8"/>
        <v>01011110101001100110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1011110101001100110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011110101001100110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11110101001100110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1110101001100110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110101001100110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10101001100110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0101001100110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101001100110</v>
      </c>
    </row>
    <row r="61">
      <c r="A61" s="8">
        <v>38.0</v>
      </c>
      <c r="B61" s="8">
        <v>49.0</v>
      </c>
      <c r="C61" s="7" t="str">
        <f t="shared" si="7"/>
        <v>0</v>
      </c>
      <c r="D61" s="7" t="str">
        <f t="shared" si="8"/>
        <v>01001100110</v>
      </c>
    </row>
    <row r="62">
      <c r="A62" s="8">
        <v>39.0</v>
      </c>
      <c r="B62" s="8">
        <v>39.0</v>
      </c>
      <c r="C62" s="7" t="str">
        <f t="shared" si="7"/>
        <v>1</v>
      </c>
      <c r="D62" s="7" t="str">
        <f t="shared" si="8"/>
        <v>1001100110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001100110</v>
      </c>
    </row>
    <row r="64">
      <c r="A64" s="8">
        <v>41.0</v>
      </c>
      <c r="B64" s="8">
        <v>34.0</v>
      </c>
      <c r="C64" s="7" t="str">
        <f t="shared" si="7"/>
        <v>0</v>
      </c>
      <c r="D64" s="7" t="str">
        <f t="shared" si="8"/>
        <v>01100110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1100110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100110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00110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0110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163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1100001100110010101010101111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11000011</v>
      </c>
      <c r="C3" s="3" t="str">
        <f t="shared" ref="C3:C9" si="2">BIN2HEX(B3,2)</f>
        <v>C3</v>
      </c>
      <c r="E3" s="6" t="s">
        <v>135</v>
      </c>
      <c r="F3" s="7" t="str">
        <f>RIGHT($B$1,28)</f>
        <v>1010101100110011110000101010</v>
      </c>
      <c r="I3" s="6">
        <v>2.0</v>
      </c>
      <c r="J3" s="6">
        <v>1.0</v>
      </c>
    </row>
    <row r="4">
      <c r="A4" s="1">
        <v>2.0</v>
      </c>
      <c r="B4" s="3" t="str">
        <f t="shared" si="1"/>
        <v>00110010</v>
      </c>
      <c r="C4" s="3" t="str">
        <f t="shared" si="2"/>
        <v>32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10101010</v>
      </c>
      <c r="C5" s="3" t="str">
        <f t="shared" si="2"/>
        <v>AA</v>
      </c>
      <c r="E5" s="6" t="s">
        <v>137</v>
      </c>
      <c r="F5" s="6" t="str">
        <f>F2</f>
        <v>1100001100110010101010101111</v>
      </c>
      <c r="G5" s="6" t="s">
        <v>139</v>
      </c>
      <c r="H5" s="7" t="str">
        <f>F3</f>
        <v>1010101100110011110000101010</v>
      </c>
      <c r="I5" s="6">
        <v>4.0</v>
      </c>
      <c r="J5" s="6">
        <v>2.0</v>
      </c>
    </row>
    <row r="6">
      <c r="A6" s="1">
        <v>4.0</v>
      </c>
      <c r="B6" s="3" t="str">
        <f t="shared" si="1"/>
        <v>11111010</v>
      </c>
      <c r="C6" s="3" t="str">
        <f t="shared" si="2"/>
        <v>FA</v>
      </c>
      <c r="E6" s="6" t="s">
        <v>141</v>
      </c>
      <c r="F6" s="6" t="s">
        <v>164</v>
      </c>
      <c r="G6" s="6" t="s">
        <v>143</v>
      </c>
      <c r="H6" s="6" t="s">
        <v>165</v>
      </c>
      <c r="I6" s="6">
        <v>5.0</v>
      </c>
      <c r="J6" s="6">
        <v>2.0</v>
      </c>
    </row>
    <row r="7">
      <c r="A7" s="1">
        <v>5.0</v>
      </c>
      <c r="B7" s="3" t="str">
        <f t="shared" si="1"/>
        <v>10110011</v>
      </c>
      <c r="C7" s="3" t="str">
        <f t="shared" si="2"/>
        <v>B3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00111100</v>
      </c>
      <c r="C8" s="3" t="str">
        <f t="shared" si="2"/>
        <v>3C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00101010</v>
      </c>
      <c r="C9" s="3" t="str">
        <f t="shared" si="2"/>
        <v>2A</v>
      </c>
      <c r="E9" s="1">
        <v>1.0</v>
      </c>
      <c r="F9" s="3" t="str">
        <f t="shared" ref="F9:F12" si="3">MID($F$6,(E9-1)*8+1,8)</f>
        <v>00001100</v>
      </c>
      <c r="G9" s="3" t="str">
        <f t="shared" ref="G9:G12" si="4">BIN2HEX(F9,2)</f>
        <v>0C</v>
      </c>
      <c r="I9" s="6">
        <v>8.0</v>
      </c>
      <c r="J9" s="6">
        <v>2.0</v>
      </c>
    </row>
    <row r="10">
      <c r="E10" s="1">
        <v>2.0</v>
      </c>
      <c r="F10" s="3" t="str">
        <f t="shared" si="3"/>
        <v>11001010</v>
      </c>
      <c r="G10" s="3" t="str">
        <f t="shared" si="4"/>
        <v>CA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10101011</v>
      </c>
      <c r="G11" s="3" t="str">
        <f t="shared" si="4"/>
        <v>AB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1111</v>
      </c>
      <c r="G12" s="3" t="str">
        <f t="shared" si="4"/>
        <v>0F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10101100</v>
      </c>
      <c r="G15" s="3" t="str">
        <f t="shared" ref="G15:G18" si="6">BIN2HEX(F15,2)</f>
        <v>AC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11001111</v>
      </c>
      <c r="G16" s="3" t="str">
        <f t="shared" si="6"/>
        <v>CF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00001010</v>
      </c>
      <c r="G17" s="3" t="str">
        <f t="shared" si="6"/>
        <v>0A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1010</v>
      </c>
      <c r="G18" s="3" t="str">
        <f t="shared" si="6"/>
        <v>0A</v>
      </c>
    </row>
    <row r="20">
      <c r="A20" s="9" t="s">
        <v>12</v>
      </c>
      <c r="B20" s="10" t="str">
        <f>D24</f>
        <v>010101011111110010001010101101001010110011010010</v>
      </c>
      <c r="C20" s="10"/>
      <c r="D20" s="10"/>
    </row>
    <row r="21">
      <c r="A21" s="6" t="s">
        <v>147</v>
      </c>
      <c r="B21" s="7" t="str">
        <f>F6&amp;H6</f>
        <v>00001100110010101010101111111010110011001111000010101010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010101011111110010001010101101001010110011010010</v>
      </c>
      <c r="E24" s="1">
        <v>1.0</v>
      </c>
      <c r="F24" s="3" t="str">
        <f t="shared" ref="F24:F30" si="9">MID($B$20,(E24-1)*8+1,8)</f>
        <v>01010101</v>
      </c>
      <c r="G24" s="3" t="str">
        <f t="shared" ref="G24:G30" si="10">BIN2HEX(F24,2)</f>
        <v>55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10101011111110010001010101101001010110011010010</v>
      </c>
      <c r="E25" s="1">
        <v>2.0</v>
      </c>
      <c r="F25" s="3" t="str">
        <f t="shared" si="9"/>
        <v>11111100</v>
      </c>
      <c r="G25" s="3" t="str">
        <f t="shared" si="10"/>
        <v>FC</v>
      </c>
      <c r="H25" s="3"/>
    </row>
    <row r="26">
      <c r="A26" s="8">
        <v>3.0</v>
      </c>
      <c r="B26" s="8">
        <v>11.0</v>
      </c>
      <c r="C26" s="7" t="str">
        <f t="shared" si="7"/>
        <v>0</v>
      </c>
      <c r="D26" s="7" t="str">
        <f t="shared" si="8"/>
        <v>0101011111110010001010101101001010110011010010</v>
      </c>
      <c r="E26" s="1">
        <v>3.0</v>
      </c>
      <c r="F26" s="3" t="str">
        <f t="shared" si="9"/>
        <v>10001010</v>
      </c>
      <c r="G26" s="3" t="str">
        <f t="shared" si="10"/>
        <v>8A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101011111110010001010101101001010110011010010</v>
      </c>
      <c r="E27" s="1">
        <v>4.0</v>
      </c>
      <c r="F27" s="3" t="str">
        <f t="shared" si="9"/>
        <v>10110100</v>
      </c>
      <c r="G27" s="3" t="str">
        <f t="shared" si="10"/>
        <v>B4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01011111110010001010101101001010110011010010</v>
      </c>
      <c r="E28" s="1">
        <v>5.0</v>
      </c>
      <c r="F28" s="3" t="str">
        <f t="shared" si="9"/>
        <v>10101100</v>
      </c>
      <c r="G28" s="3" t="str">
        <f t="shared" si="10"/>
        <v>AC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1011111110010001010101101001010110011010010</v>
      </c>
      <c r="E29" s="1">
        <v>6.0</v>
      </c>
      <c r="F29" s="3" t="str">
        <f t="shared" si="9"/>
        <v>11010010</v>
      </c>
      <c r="G29" s="3" t="str">
        <f t="shared" si="10"/>
        <v>D2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011111110010001010101101001010110011010010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11111110010001010101101001010110011010010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1111110010001010101101001010110011010010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111110010001010101101001010110011010010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11110010001010101101001010110011010010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1110010001010101101001010110011010010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110010001010101101001010110011010010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10010001010101101001010110011010010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0010001010101101001010110011010010</v>
      </c>
    </row>
    <row r="39">
      <c r="A39" s="8">
        <v>16.0</v>
      </c>
      <c r="B39" s="8">
        <v>4.0</v>
      </c>
      <c r="C39" s="7" t="str">
        <f t="shared" si="7"/>
        <v>0</v>
      </c>
      <c r="D39" s="7" t="str">
        <f t="shared" si="8"/>
        <v>010001010101101001010110011010010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10001010101101001010110011010010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0001010101101001010110011010010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001010101101001010110011010010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01010101101001010110011010010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1010101101001010110011010010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010101101001010110011010010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10101101001010110011010010</v>
      </c>
    </row>
    <row r="47">
      <c r="A47" s="8">
        <v>24.0</v>
      </c>
      <c r="B47" s="8">
        <v>2.0</v>
      </c>
      <c r="C47" s="7" t="str">
        <f t="shared" si="7"/>
        <v>0</v>
      </c>
      <c r="D47" s="7" t="str">
        <f t="shared" si="8"/>
        <v>0101101001010110011010010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101101001010110011010010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01101001010110011010010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1101001010110011010010</v>
      </c>
    </row>
    <row r="51">
      <c r="A51" s="8">
        <v>28.0</v>
      </c>
      <c r="B51" s="8">
        <v>37.0</v>
      </c>
      <c r="C51" s="7" t="str">
        <f t="shared" si="7"/>
        <v>1</v>
      </c>
      <c r="D51" s="7" t="str">
        <f t="shared" si="8"/>
        <v>101001010110011010010</v>
      </c>
    </row>
    <row r="52">
      <c r="A52" s="8">
        <v>29.0</v>
      </c>
      <c r="B52" s="8">
        <v>47.0</v>
      </c>
      <c r="C52" s="7" t="str">
        <f t="shared" si="7"/>
        <v>0</v>
      </c>
      <c r="D52" s="7" t="str">
        <f t="shared" si="8"/>
        <v>01001010110011010010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1001010110011010010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001010110011010010</v>
      </c>
    </row>
    <row r="55">
      <c r="A55" s="8">
        <v>32.0</v>
      </c>
      <c r="B55" s="8">
        <v>40.0</v>
      </c>
      <c r="C55" s="7" t="str">
        <f t="shared" si="7"/>
        <v>0</v>
      </c>
      <c r="D55" s="7" t="str">
        <f t="shared" si="8"/>
        <v>01010110011010010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1010110011010010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010110011010010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10110011010010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0110011010010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110011010010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10011010010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0011010010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011010010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11010010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1010010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010010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10010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0010</v>
      </c>
    </row>
    <row r="69">
      <c r="A69" s="8">
        <v>46.0</v>
      </c>
      <c r="B69" s="8">
        <v>36.0</v>
      </c>
      <c r="C69" s="7" t="str">
        <f t="shared" si="7"/>
        <v>0</v>
      </c>
      <c r="D69" s="7" t="str">
        <f t="shared" si="8"/>
        <v>010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166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0000110011001010101010111111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00001100</v>
      </c>
      <c r="C3" s="3" t="str">
        <f t="shared" ref="C3:C9" si="2">BIN2HEX(B3,2)</f>
        <v>0C</v>
      </c>
      <c r="E3" s="6" t="s">
        <v>135</v>
      </c>
      <c r="F3" s="7" t="str">
        <f>RIGHT($B$1,28)</f>
        <v>1010110011001111000010101010</v>
      </c>
      <c r="I3" s="6">
        <v>2.0</v>
      </c>
      <c r="J3" s="6">
        <v>1.0</v>
      </c>
    </row>
    <row r="4">
      <c r="A4" s="1">
        <v>2.0</v>
      </c>
      <c r="B4" s="3" t="str">
        <f t="shared" si="1"/>
        <v>11001010</v>
      </c>
      <c r="C4" s="3" t="str">
        <f t="shared" si="2"/>
        <v>CA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10101011</v>
      </c>
      <c r="C5" s="3" t="str">
        <f t="shared" si="2"/>
        <v>AB</v>
      </c>
      <c r="E5" s="6" t="s">
        <v>137</v>
      </c>
      <c r="F5" s="6" t="str">
        <f>F2</f>
        <v>0000110011001010101010111111</v>
      </c>
      <c r="G5" s="6" t="s">
        <v>139</v>
      </c>
      <c r="H5" s="7" t="str">
        <f>F3</f>
        <v>1010110011001111000010101010</v>
      </c>
      <c r="I5" s="6">
        <v>4.0</v>
      </c>
      <c r="J5" s="6">
        <v>2.0</v>
      </c>
    </row>
    <row r="6">
      <c r="A6" s="1">
        <v>4.0</v>
      </c>
      <c r="B6" s="3" t="str">
        <f t="shared" si="1"/>
        <v>11111010</v>
      </c>
      <c r="C6" s="3" t="str">
        <f t="shared" si="2"/>
        <v>FA</v>
      </c>
      <c r="E6" s="6" t="s">
        <v>141</v>
      </c>
      <c r="F6" s="6" t="s">
        <v>167</v>
      </c>
      <c r="G6" s="6" t="s">
        <v>143</v>
      </c>
      <c r="H6" s="6" t="s">
        <v>168</v>
      </c>
      <c r="I6" s="6">
        <v>5.0</v>
      </c>
      <c r="J6" s="6">
        <v>2.0</v>
      </c>
    </row>
    <row r="7">
      <c r="A7" s="1">
        <v>5.0</v>
      </c>
      <c r="B7" s="3" t="str">
        <f t="shared" si="1"/>
        <v>11001100</v>
      </c>
      <c r="C7" s="3" t="str">
        <f t="shared" si="2"/>
        <v>CC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11110000</v>
      </c>
      <c r="C8" s="3" t="str">
        <f t="shared" si="2"/>
        <v>F0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10101010</v>
      </c>
      <c r="C9" s="3" t="str">
        <f t="shared" si="2"/>
        <v>AA</v>
      </c>
      <c r="E9" s="1">
        <v>1.0</v>
      </c>
      <c r="F9" s="3" t="str">
        <f t="shared" ref="F9:F12" si="3">MID($F$6,(E9-1)*8+1,8)</f>
        <v>00110011</v>
      </c>
      <c r="G9" s="3" t="str">
        <f t="shared" ref="G9:G12" si="4">BIN2HEX(F9,2)</f>
        <v>33</v>
      </c>
      <c r="I9" s="6">
        <v>8.0</v>
      </c>
      <c r="J9" s="6">
        <v>2.0</v>
      </c>
    </row>
    <row r="10">
      <c r="E10" s="1">
        <v>2.0</v>
      </c>
      <c r="F10" s="3" t="str">
        <f t="shared" si="3"/>
        <v>00101010</v>
      </c>
      <c r="G10" s="3" t="str">
        <f t="shared" si="4"/>
        <v>2A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10101111</v>
      </c>
      <c r="G11" s="3" t="str">
        <f t="shared" si="4"/>
        <v>AF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1100</v>
      </c>
      <c r="G12" s="3" t="str">
        <f t="shared" si="4"/>
        <v>0C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10110011</v>
      </c>
      <c r="G15" s="3" t="str">
        <f t="shared" ref="G15:G18" si="6">BIN2HEX(F15,2)</f>
        <v>B3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00111100</v>
      </c>
      <c r="G16" s="3" t="str">
        <f t="shared" si="6"/>
        <v>3C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00101010</v>
      </c>
      <c r="G17" s="3" t="str">
        <f t="shared" si="6"/>
        <v>2A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1010</v>
      </c>
      <c r="G18" s="3" t="str">
        <f t="shared" si="6"/>
        <v>0A</v>
      </c>
    </row>
    <row r="20">
      <c r="A20" s="9" t="s">
        <v>12</v>
      </c>
      <c r="B20" s="10" t="str">
        <f>D24</f>
        <v>011100101010110111010010101011011000011001010111</v>
      </c>
      <c r="C20" s="10"/>
      <c r="D20" s="10"/>
    </row>
    <row r="21">
      <c r="A21" s="6" t="s">
        <v>147</v>
      </c>
      <c r="B21" s="7" t="str">
        <f>F6&amp;H6</f>
        <v>00110011001010101010111111001011001100111100001010101010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011100101010110111010010101011011000011001010111</v>
      </c>
      <c r="E24" s="1">
        <v>1.0</v>
      </c>
      <c r="F24" s="3" t="str">
        <f t="shared" ref="F24:F30" si="9">MID($B$20,(E24-1)*8+1,8)</f>
        <v>01110010</v>
      </c>
      <c r="G24" s="3" t="str">
        <f t="shared" ref="G24:G30" si="10">BIN2HEX(F24,2)</f>
        <v>72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11100101010110111010010101011011000011001010111</v>
      </c>
      <c r="E25" s="1">
        <v>2.0</v>
      </c>
      <c r="F25" s="3" t="str">
        <f t="shared" si="9"/>
        <v>10101101</v>
      </c>
      <c r="G25" s="3" t="str">
        <f t="shared" si="10"/>
        <v>AD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1100101010110111010010101011011000011001010111</v>
      </c>
      <c r="E26" s="1">
        <v>3.0</v>
      </c>
      <c r="F26" s="3" t="str">
        <f t="shared" si="9"/>
        <v>11010010</v>
      </c>
      <c r="G26" s="3" t="str">
        <f t="shared" si="10"/>
        <v>D2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100101010110111010010101011011000011001010111</v>
      </c>
      <c r="E27" s="1">
        <v>4.0</v>
      </c>
      <c r="F27" s="3" t="str">
        <f t="shared" si="9"/>
        <v>10101101</v>
      </c>
      <c r="G27" s="3" t="str">
        <f t="shared" si="10"/>
        <v>AD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00101010110111010010101011011000011001010111</v>
      </c>
      <c r="E28" s="1">
        <v>5.0</v>
      </c>
      <c r="F28" s="3" t="str">
        <f t="shared" si="9"/>
        <v>10000110</v>
      </c>
      <c r="G28" s="3" t="str">
        <f t="shared" si="10"/>
        <v>86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0101010110111010010101011011000011001010111</v>
      </c>
      <c r="E29" s="1">
        <v>6.0</v>
      </c>
      <c r="F29" s="3" t="str">
        <f t="shared" si="9"/>
        <v>01010111</v>
      </c>
      <c r="G29" s="3" t="str">
        <f t="shared" si="10"/>
        <v>57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101010110111010010101011011000011001010111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0</v>
      </c>
      <c r="D31" s="7" t="str">
        <f t="shared" si="8"/>
        <v>01010110111010010101011011000011001010111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1010110111010010101011011000011001010111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010110111010010101011011000011001010111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10110111010010101011011000011001010111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0110111010010101011011000011001010111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110111010010101011011000011001010111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10111010010101011011000011001010111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0111010010101011011000011001010111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111010010101011011000011001010111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11010010101011011000011001010111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1010010101011011000011001010111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010010101011011000011001010111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10010101011011000011001010111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0010101011011000011001010111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010101011011000011001010111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10101011011000011001010111</v>
      </c>
    </row>
    <row r="47">
      <c r="A47" s="8">
        <v>24.0</v>
      </c>
      <c r="B47" s="8">
        <v>2.0</v>
      </c>
      <c r="C47" s="7" t="str">
        <f t="shared" si="7"/>
        <v>0</v>
      </c>
      <c r="D47" s="7" t="str">
        <f t="shared" si="8"/>
        <v>0101011011000011001010111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101011011000011001010111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01011011000011001010111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1011011000011001010111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011011000011001010111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11011000011001010111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1011000011001010111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011000011001010111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11000011001010111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1000011001010111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000011001010111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00011001010111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0011001010111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011001010111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11001010111</v>
      </c>
    </row>
    <row r="62">
      <c r="A62" s="8">
        <v>39.0</v>
      </c>
      <c r="B62" s="8">
        <v>39.0</v>
      </c>
      <c r="C62" s="7" t="str">
        <f t="shared" si="7"/>
        <v>1</v>
      </c>
      <c r="D62" s="7" t="str">
        <f t="shared" si="8"/>
        <v>1001010111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001010111</v>
      </c>
    </row>
    <row r="64">
      <c r="A64" s="8">
        <v>41.0</v>
      </c>
      <c r="B64" s="8">
        <v>34.0</v>
      </c>
      <c r="C64" s="7" t="str">
        <f t="shared" si="7"/>
        <v>0</v>
      </c>
      <c r="D64" s="7" t="str">
        <f t="shared" si="8"/>
        <v>01010111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1010111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010111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10111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0111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111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169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0011001100101010101011111100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00110011</v>
      </c>
      <c r="C3" s="3" t="str">
        <f t="shared" ref="C3:C9" si="2">BIN2HEX(B3,2)</f>
        <v>33</v>
      </c>
      <c r="E3" s="6" t="s">
        <v>135</v>
      </c>
      <c r="F3" s="7" t="str">
        <f>RIGHT($B$1,28)</f>
        <v>1011001100111100001010101010</v>
      </c>
      <c r="I3" s="6">
        <v>2.0</v>
      </c>
      <c r="J3" s="6">
        <v>1.0</v>
      </c>
    </row>
    <row r="4">
      <c r="A4" s="1">
        <v>2.0</v>
      </c>
      <c r="B4" s="3" t="str">
        <f t="shared" si="1"/>
        <v>00101010</v>
      </c>
      <c r="C4" s="3" t="str">
        <f t="shared" si="2"/>
        <v>2A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10101111</v>
      </c>
      <c r="C5" s="3" t="str">
        <f t="shared" si="2"/>
        <v>AF</v>
      </c>
      <c r="E5" s="6" t="s">
        <v>137</v>
      </c>
      <c r="F5" s="6" t="str">
        <f>F2</f>
        <v>0011001100101010101011111100</v>
      </c>
      <c r="G5" s="6" t="s">
        <v>139</v>
      </c>
      <c r="H5" s="7" t="str">
        <f>F3</f>
        <v>1011001100111100001010101010</v>
      </c>
      <c r="I5" s="6">
        <v>4.0</v>
      </c>
      <c r="J5" s="6">
        <v>2.0</v>
      </c>
    </row>
    <row r="6">
      <c r="A6" s="1">
        <v>4.0</v>
      </c>
      <c r="B6" s="3" t="str">
        <f t="shared" si="1"/>
        <v>11001011</v>
      </c>
      <c r="C6" s="3" t="str">
        <f t="shared" si="2"/>
        <v>CB</v>
      </c>
      <c r="E6" s="6" t="s">
        <v>141</v>
      </c>
      <c r="F6" s="6" t="s">
        <v>170</v>
      </c>
      <c r="G6" s="6" t="s">
        <v>143</v>
      </c>
      <c r="H6" s="6" t="s">
        <v>171</v>
      </c>
      <c r="I6" s="6">
        <v>5.0</v>
      </c>
      <c r="J6" s="6">
        <v>2.0</v>
      </c>
    </row>
    <row r="7">
      <c r="A7" s="1">
        <v>5.0</v>
      </c>
      <c r="B7" s="3" t="str">
        <f t="shared" si="1"/>
        <v>00110011</v>
      </c>
      <c r="C7" s="3" t="str">
        <f t="shared" si="2"/>
        <v>33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11000010</v>
      </c>
      <c r="C8" s="3" t="str">
        <f t="shared" si="2"/>
        <v>C2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10101010</v>
      </c>
      <c r="C9" s="3" t="str">
        <f t="shared" si="2"/>
        <v>AA</v>
      </c>
      <c r="E9" s="1">
        <v>1.0</v>
      </c>
      <c r="F9" s="3" t="str">
        <f t="shared" ref="F9:F12" si="3">MID($F$6,(E9-1)*8+1,8)</f>
        <v>11001100</v>
      </c>
      <c r="G9" s="3" t="str">
        <f t="shared" ref="G9:G12" si="4">BIN2HEX(F9,2)</f>
        <v>CC</v>
      </c>
      <c r="I9" s="6">
        <v>8.0</v>
      </c>
      <c r="J9" s="6">
        <v>2.0</v>
      </c>
    </row>
    <row r="10">
      <c r="E10" s="1">
        <v>2.0</v>
      </c>
      <c r="F10" s="3" t="str">
        <f t="shared" si="3"/>
        <v>10101010</v>
      </c>
      <c r="G10" s="3" t="str">
        <f t="shared" si="4"/>
        <v>AA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10111111</v>
      </c>
      <c r="G11" s="3" t="str">
        <f t="shared" si="4"/>
        <v>BF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0000</v>
      </c>
      <c r="G12" s="3" t="str">
        <f t="shared" si="4"/>
        <v>00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11001100</v>
      </c>
      <c r="G15" s="3" t="str">
        <f t="shared" ref="G15:G18" si="6">BIN2HEX(F15,2)</f>
        <v>CC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11110000</v>
      </c>
      <c r="G16" s="3" t="str">
        <f t="shared" si="6"/>
        <v>F0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10101010</v>
      </c>
      <c r="G17" s="3" t="str">
        <f t="shared" si="6"/>
        <v>AA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1010</v>
      </c>
      <c r="G18" s="3" t="str">
        <f t="shared" si="6"/>
        <v>0A</v>
      </c>
    </row>
    <row r="20">
      <c r="A20" s="9" t="s">
        <v>12</v>
      </c>
      <c r="B20" s="10" t="str">
        <f>D24</f>
        <v>011111001110110000000111000111111110011011000010</v>
      </c>
      <c r="C20" s="10"/>
      <c r="D20" s="10"/>
    </row>
    <row r="21">
      <c r="A21" s="6" t="s">
        <v>147</v>
      </c>
      <c r="B21" s="7" t="str">
        <f>F6&amp;H6</f>
        <v>11001100101010101011111100001100110011110000101010101010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011111001110110000000111000111111110011011000010</v>
      </c>
      <c r="E24" s="1">
        <v>1.0</v>
      </c>
      <c r="F24" s="3" t="str">
        <f t="shared" ref="F24:F30" si="9">MID($B$20,(E24-1)*8+1,8)</f>
        <v>01111100</v>
      </c>
      <c r="G24" s="3" t="str">
        <f t="shared" ref="G24:G30" si="10">BIN2HEX(F24,2)</f>
        <v>7C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11111001110110000000111000111111110011011000010</v>
      </c>
      <c r="E25" s="1">
        <v>2.0</v>
      </c>
      <c r="F25" s="3" t="str">
        <f t="shared" si="9"/>
        <v>11101100</v>
      </c>
      <c r="G25" s="3" t="str">
        <f t="shared" si="10"/>
        <v>EC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1111001110110000000111000111111110011011000010</v>
      </c>
      <c r="E26" s="1">
        <v>3.0</v>
      </c>
      <c r="F26" s="3" t="str">
        <f t="shared" si="9"/>
        <v>00000111</v>
      </c>
      <c r="G26" s="3" t="str">
        <f t="shared" si="10"/>
        <v>07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111001110110000000111000111111110011011000010</v>
      </c>
      <c r="E27" s="1">
        <v>4.0</v>
      </c>
      <c r="F27" s="3" t="str">
        <f t="shared" si="9"/>
        <v>00011111</v>
      </c>
      <c r="G27" s="3" t="str">
        <f t="shared" si="10"/>
        <v>1F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1</v>
      </c>
      <c r="D28" s="7" t="str">
        <f t="shared" si="8"/>
        <v>11001110110000000111000111111110011011000010</v>
      </c>
      <c r="E28" s="1">
        <v>5.0</v>
      </c>
      <c r="F28" s="3" t="str">
        <f t="shared" si="9"/>
        <v>11100110</v>
      </c>
      <c r="G28" s="3" t="str">
        <f t="shared" si="10"/>
        <v>E6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1001110110000000111000111111110011011000010</v>
      </c>
      <c r="E29" s="1">
        <v>6.0</v>
      </c>
      <c r="F29" s="3" t="str">
        <f t="shared" si="9"/>
        <v>11000010</v>
      </c>
      <c r="G29" s="3" t="str">
        <f t="shared" si="10"/>
        <v>C2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001110110000000111000111111110011011000010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0</v>
      </c>
      <c r="D31" s="7" t="str">
        <f t="shared" si="8"/>
        <v>01110110000000111000111111110011011000010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1110110000000111000111111110011011000010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110110000000111000111111110011011000010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10110000000111000111111110011011000010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0110000000111000111111110011011000010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110000000111000111111110011011000010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10000000111000111111110011011000010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0000000111000111111110011011000010</v>
      </c>
    </row>
    <row r="39">
      <c r="A39" s="8">
        <v>16.0</v>
      </c>
      <c r="B39" s="8">
        <v>4.0</v>
      </c>
      <c r="C39" s="7" t="str">
        <f t="shared" si="7"/>
        <v>0</v>
      </c>
      <c r="D39" s="7" t="str">
        <f t="shared" si="8"/>
        <v>000000111000111111110011011000010</v>
      </c>
    </row>
    <row r="40">
      <c r="A40" s="8">
        <v>17.0</v>
      </c>
      <c r="B40" s="8">
        <v>26.0</v>
      </c>
      <c r="C40" s="7" t="str">
        <f t="shared" si="7"/>
        <v>0</v>
      </c>
      <c r="D40" s="7" t="str">
        <f t="shared" si="8"/>
        <v>00000111000111111110011011000010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0000111000111111110011011000010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000111000111111110011011000010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00111000111111110011011000010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0111000111111110011011000010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111000111111110011011000010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11000111111110011011000010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1000111111110011011000010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000111111110011011000010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00111111110011011000010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0111111110011011000010</v>
      </c>
    </row>
    <row r="51">
      <c r="A51" s="8">
        <v>28.0</v>
      </c>
      <c r="B51" s="8">
        <v>37.0</v>
      </c>
      <c r="C51" s="7" t="str">
        <f t="shared" si="7"/>
        <v>1</v>
      </c>
      <c r="D51" s="7" t="str">
        <f t="shared" si="8"/>
        <v>111111110011011000010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11111110011011000010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1111110011011000010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111110011011000010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11110011011000010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1110011011000010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110011011000010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10011011000010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0011011000010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011011000010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11011000010</v>
      </c>
    </row>
    <row r="62">
      <c r="A62" s="8">
        <v>39.0</v>
      </c>
      <c r="B62" s="8">
        <v>39.0</v>
      </c>
      <c r="C62" s="7" t="str">
        <f t="shared" si="7"/>
        <v>1</v>
      </c>
      <c r="D62" s="7" t="str">
        <f t="shared" si="8"/>
        <v>1011000010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011000010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11000010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1000010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000010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00010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0010</v>
      </c>
    </row>
    <row r="69">
      <c r="A69" s="8">
        <v>46.0</v>
      </c>
      <c r="B69" s="8">
        <v>36.0</v>
      </c>
      <c r="C69" s="7" t="str">
        <f t="shared" si="7"/>
        <v>0</v>
      </c>
      <c r="D69" s="7" t="str">
        <f t="shared" si="8"/>
        <v>010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172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1100110010101010101111110000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11001100</v>
      </c>
      <c r="C3" s="3" t="str">
        <f t="shared" ref="C3:C9" si="2">BIN2HEX(B3,2)</f>
        <v>CC</v>
      </c>
      <c r="E3" s="6" t="s">
        <v>135</v>
      </c>
      <c r="F3" s="7" t="str">
        <f>RIGHT($B$1,28)</f>
        <v>1100110011110000101010101010</v>
      </c>
      <c r="I3" s="6">
        <v>2.0</v>
      </c>
      <c r="J3" s="6">
        <v>1.0</v>
      </c>
    </row>
    <row r="4">
      <c r="A4" s="1">
        <v>2.0</v>
      </c>
      <c r="B4" s="3" t="str">
        <f t="shared" si="1"/>
        <v>10101010</v>
      </c>
      <c r="C4" s="3" t="str">
        <f t="shared" si="2"/>
        <v>AA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10111111</v>
      </c>
      <c r="C5" s="3" t="str">
        <f t="shared" si="2"/>
        <v>BF</v>
      </c>
      <c r="E5" s="6" t="s">
        <v>137</v>
      </c>
      <c r="F5" s="6" t="str">
        <f>F2</f>
        <v>1100110010101010101111110000</v>
      </c>
      <c r="G5" s="6" t="s">
        <v>139</v>
      </c>
      <c r="H5" s="7" t="s">
        <v>171</v>
      </c>
      <c r="I5" s="6">
        <v>4.0</v>
      </c>
      <c r="J5" s="6">
        <v>2.0</v>
      </c>
    </row>
    <row r="6">
      <c r="A6" s="1">
        <v>4.0</v>
      </c>
      <c r="B6" s="3" t="str">
        <f t="shared" si="1"/>
        <v>00001100</v>
      </c>
      <c r="C6" s="3" t="str">
        <f t="shared" si="2"/>
        <v>0C</v>
      </c>
      <c r="E6" s="6" t="s">
        <v>141</v>
      </c>
      <c r="F6" s="6" t="s">
        <v>173</v>
      </c>
      <c r="G6" s="6" t="s">
        <v>143</v>
      </c>
      <c r="H6" s="6" t="s">
        <v>174</v>
      </c>
      <c r="I6" s="6">
        <v>5.0</v>
      </c>
      <c r="J6" s="6">
        <v>2.0</v>
      </c>
    </row>
    <row r="7">
      <c r="A7" s="1">
        <v>5.0</v>
      </c>
      <c r="B7" s="3" t="str">
        <f t="shared" si="1"/>
        <v>11001111</v>
      </c>
      <c r="C7" s="3" t="str">
        <f t="shared" si="2"/>
        <v>CF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00001010</v>
      </c>
      <c r="C8" s="3" t="str">
        <f t="shared" si="2"/>
        <v>0A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10101010</v>
      </c>
      <c r="C9" s="3" t="str">
        <f t="shared" si="2"/>
        <v>AA</v>
      </c>
      <c r="E9" s="1">
        <v>1.0</v>
      </c>
      <c r="F9" s="3" t="str">
        <f t="shared" ref="F9:F12" si="3">MID($F$6,(E9-1)*8+1,8)</f>
        <v>00110010</v>
      </c>
      <c r="G9" s="3" t="str">
        <f t="shared" ref="G9:G12" si="4">BIN2HEX(F9,2)</f>
        <v>32</v>
      </c>
      <c r="I9" s="6">
        <v>8.0</v>
      </c>
      <c r="J9" s="6">
        <v>2.0</v>
      </c>
    </row>
    <row r="10">
      <c r="E10" s="1">
        <v>2.0</v>
      </c>
      <c r="F10" s="3" t="str">
        <f t="shared" si="3"/>
        <v>10101010</v>
      </c>
      <c r="G10" s="3" t="str">
        <f t="shared" si="4"/>
        <v>AA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11111100</v>
      </c>
      <c r="G11" s="3" t="str">
        <f t="shared" si="4"/>
        <v>FC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0011</v>
      </c>
      <c r="G12" s="3" t="str">
        <f t="shared" si="4"/>
        <v>03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00110011</v>
      </c>
      <c r="G15" s="3" t="str">
        <f t="shared" ref="G15:G18" si="6">BIN2HEX(F15,2)</f>
        <v>33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11000010</v>
      </c>
      <c r="G16" s="3" t="str">
        <f t="shared" si="6"/>
        <v>C2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10101010</v>
      </c>
      <c r="G17" s="3" t="str">
        <f t="shared" si="6"/>
        <v>AA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1011</v>
      </c>
      <c r="G18" s="3" t="str">
        <f t="shared" si="6"/>
        <v>0B</v>
      </c>
    </row>
    <row r="20">
      <c r="A20" s="9" t="s">
        <v>12</v>
      </c>
      <c r="B20" s="10" t="str">
        <f>D24</f>
        <v>011000111010010100011110001111001100010101000101</v>
      </c>
      <c r="C20" s="10"/>
      <c r="D20" s="10"/>
    </row>
    <row r="21">
      <c r="A21" s="6" t="s">
        <v>147</v>
      </c>
      <c r="B21" s="7" t="str">
        <f>F6&amp;H6</f>
        <v>00110010101010101111110000110011001111000010101010101011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011000111010010100011110001111001100010101000101</v>
      </c>
      <c r="E24" s="1">
        <v>1.0</v>
      </c>
      <c r="F24" s="3" t="str">
        <f t="shared" ref="F24:F30" si="9">MID($B$20,(E24-1)*8+1,8)</f>
        <v>01100011</v>
      </c>
      <c r="G24" s="3" t="str">
        <f t="shared" ref="G24:G30" si="10">BIN2HEX(F24,2)</f>
        <v>63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11000111010010100011110001111001100010101000101</v>
      </c>
      <c r="E25" s="1">
        <v>2.0</v>
      </c>
      <c r="F25" s="3" t="str">
        <f t="shared" si="9"/>
        <v>10100101</v>
      </c>
      <c r="G25" s="3" t="str">
        <f t="shared" si="10"/>
        <v>A5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1000111010010100011110001111001100010101000101</v>
      </c>
      <c r="E26" s="1">
        <v>3.0</v>
      </c>
      <c r="F26" s="3" t="str">
        <f t="shared" si="9"/>
        <v>00011110</v>
      </c>
      <c r="G26" s="3" t="str">
        <f t="shared" si="10"/>
        <v>1E</v>
      </c>
      <c r="H26" s="3"/>
    </row>
    <row r="27">
      <c r="A27" s="8">
        <v>4.0</v>
      </c>
      <c r="B27" s="8">
        <v>24.0</v>
      </c>
      <c r="C27" s="7" t="str">
        <f t="shared" si="7"/>
        <v>0</v>
      </c>
      <c r="D27" s="7" t="str">
        <f t="shared" si="8"/>
        <v>000111010010100011110001111001100010101000101</v>
      </c>
      <c r="E27" s="1">
        <v>4.0</v>
      </c>
      <c r="F27" s="3" t="str">
        <f t="shared" si="9"/>
        <v>00111100</v>
      </c>
      <c r="G27" s="3" t="str">
        <f t="shared" si="10"/>
        <v>3C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00111010010100011110001111001100010101000101</v>
      </c>
      <c r="E28" s="1">
        <v>5.0</v>
      </c>
      <c r="F28" s="3" t="str">
        <f t="shared" si="9"/>
        <v>11000101</v>
      </c>
      <c r="G28" s="3" t="str">
        <f t="shared" si="10"/>
        <v>C5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0111010010100011110001111001100010101000101</v>
      </c>
      <c r="E29" s="1">
        <v>6.0</v>
      </c>
      <c r="F29" s="3" t="str">
        <f t="shared" si="9"/>
        <v>01000101</v>
      </c>
      <c r="G29" s="3" t="str">
        <f t="shared" si="10"/>
        <v>45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111010010100011110001111001100010101000101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11010010100011110001111001100010101000101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1010010100011110001111001100010101000101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010010100011110001111001100010101000101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10010100011110001111001100010101000101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0010100011110001111001100010101000101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010100011110001111001100010101000101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10100011110001111001100010101000101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0100011110001111001100010101000101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100011110001111001100010101000101</v>
      </c>
    </row>
    <row r="40">
      <c r="A40" s="8">
        <v>17.0</v>
      </c>
      <c r="B40" s="8">
        <v>26.0</v>
      </c>
      <c r="C40" s="7" t="str">
        <f t="shared" si="7"/>
        <v>0</v>
      </c>
      <c r="D40" s="7" t="str">
        <f t="shared" si="8"/>
        <v>00011110001111001100010101000101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0011110001111001100010101000101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011110001111001100010101000101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11110001111001100010101000101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1110001111001100010101000101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110001111001100010101000101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10001111001100010101000101</v>
      </c>
    </row>
    <row r="47">
      <c r="A47" s="8">
        <v>24.0</v>
      </c>
      <c r="B47" s="8">
        <v>2.0</v>
      </c>
      <c r="C47" s="7" t="str">
        <f t="shared" si="7"/>
        <v>0</v>
      </c>
      <c r="D47" s="7" t="str">
        <f t="shared" si="8"/>
        <v>0001111001100010101000101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001111001100010101000101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01111001100010101000101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1111001100010101000101</v>
      </c>
    </row>
    <row r="51">
      <c r="A51" s="8">
        <v>28.0</v>
      </c>
      <c r="B51" s="8">
        <v>37.0</v>
      </c>
      <c r="C51" s="7" t="str">
        <f t="shared" si="7"/>
        <v>1</v>
      </c>
      <c r="D51" s="7" t="str">
        <f t="shared" si="8"/>
        <v>111001100010101000101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11001100010101000101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1001100010101000101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001100010101000101</v>
      </c>
    </row>
    <row r="55">
      <c r="A55" s="8">
        <v>32.0</v>
      </c>
      <c r="B55" s="8">
        <v>40.0</v>
      </c>
      <c r="C55" s="7" t="str">
        <f t="shared" si="7"/>
        <v>0</v>
      </c>
      <c r="D55" s="7" t="str">
        <f t="shared" si="8"/>
        <v>01100010101000101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1100010101000101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100010101000101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00010101000101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0010101000101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010101000101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10101000101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0101000101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101000101</v>
      </c>
    </row>
    <row r="64">
      <c r="A64" s="8">
        <v>41.0</v>
      </c>
      <c r="B64" s="8">
        <v>34.0</v>
      </c>
      <c r="C64" s="7" t="str">
        <f t="shared" si="7"/>
        <v>0</v>
      </c>
      <c r="D64" s="7" t="str">
        <f t="shared" si="8"/>
        <v>01000101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1000101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000101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00101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0101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175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0011001010101010111111000011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00110010</v>
      </c>
      <c r="C3" s="3" t="str">
        <f t="shared" ref="C3:C9" si="2">BIN2HEX(B3,2)</f>
        <v>32</v>
      </c>
      <c r="E3" s="6" t="s">
        <v>135</v>
      </c>
      <c r="F3" s="7" t="str">
        <f>RIGHT($B$1,28)</f>
        <v>0011001111000010101010101011</v>
      </c>
      <c r="I3" s="6">
        <v>2.0</v>
      </c>
      <c r="J3" s="6">
        <v>1.0</v>
      </c>
    </row>
    <row r="4">
      <c r="A4" s="1">
        <v>2.0</v>
      </c>
      <c r="B4" s="3" t="str">
        <f t="shared" si="1"/>
        <v>10101010</v>
      </c>
      <c r="C4" s="3" t="str">
        <f t="shared" si="2"/>
        <v>AA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11111100</v>
      </c>
      <c r="C5" s="3" t="str">
        <f t="shared" si="2"/>
        <v>FC</v>
      </c>
      <c r="E5" s="6" t="s">
        <v>137</v>
      </c>
      <c r="F5" s="6" t="str">
        <f>F2</f>
        <v>0011001010101010111111000011</v>
      </c>
      <c r="G5" s="6" t="s">
        <v>139</v>
      </c>
      <c r="H5" s="7" t="str">
        <f>F3</f>
        <v>0011001111000010101010101011</v>
      </c>
      <c r="I5" s="6">
        <v>4.0</v>
      </c>
      <c r="J5" s="6">
        <v>2.0</v>
      </c>
    </row>
    <row r="6">
      <c r="A6" s="1">
        <v>4.0</v>
      </c>
      <c r="B6" s="3" t="str">
        <f t="shared" si="1"/>
        <v>00110011</v>
      </c>
      <c r="C6" s="3" t="str">
        <f t="shared" si="2"/>
        <v>33</v>
      </c>
      <c r="E6" s="6" t="s">
        <v>141</v>
      </c>
      <c r="F6" s="6" t="s">
        <v>176</v>
      </c>
      <c r="G6" s="6" t="s">
        <v>143</v>
      </c>
      <c r="H6" s="6" t="s">
        <v>177</v>
      </c>
      <c r="I6" s="6">
        <v>5.0</v>
      </c>
      <c r="J6" s="6">
        <v>2.0</v>
      </c>
    </row>
    <row r="7">
      <c r="A7" s="1">
        <v>5.0</v>
      </c>
      <c r="B7" s="3" t="str">
        <f t="shared" si="1"/>
        <v>00111100</v>
      </c>
      <c r="C7" s="3" t="str">
        <f t="shared" si="2"/>
        <v>3C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00101010</v>
      </c>
      <c r="C8" s="3" t="str">
        <f t="shared" si="2"/>
        <v>2A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10101011</v>
      </c>
      <c r="C9" s="3" t="str">
        <f t="shared" si="2"/>
        <v>AB</v>
      </c>
      <c r="E9" s="1">
        <v>1.0</v>
      </c>
      <c r="F9" s="3" t="str">
        <f t="shared" ref="F9:F12" si="3">MID($F$6,(E9-1)*8+1,8)</f>
        <v>11001010</v>
      </c>
      <c r="G9" s="3" t="str">
        <f t="shared" ref="G9:G12" si="4">BIN2HEX(F9,2)</f>
        <v>CA</v>
      </c>
      <c r="I9" s="6">
        <v>8.0</v>
      </c>
      <c r="J9" s="6">
        <v>2.0</v>
      </c>
    </row>
    <row r="10">
      <c r="E10" s="1">
        <v>2.0</v>
      </c>
      <c r="F10" s="3" t="str">
        <f t="shared" si="3"/>
        <v>10101011</v>
      </c>
      <c r="G10" s="3" t="str">
        <f t="shared" si="4"/>
        <v>AB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11110000</v>
      </c>
      <c r="G11" s="3" t="str">
        <f t="shared" si="4"/>
        <v>F0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1100</v>
      </c>
      <c r="G12" s="3" t="str">
        <f t="shared" si="4"/>
        <v>0C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11001111</v>
      </c>
      <c r="G15" s="3" t="str">
        <f t="shared" ref="G15:G18" si="6">BIN2HEX(F15,2)</f>
        <v>CF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00001010</v>
      </c>
      <c r="G16" s="3" t="str">
        <f t="shared" si="6"/>
        <v>0A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10101010</v>
      </c>
      <c r="G17" s="3" t="str">
        <f t="shared" si="6"/>
        <v>AA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1100</v>
      </c>
      <c r="G18" s="3" t="str">
        <f t="shared" si="6"/>
        <v>0C</v>
      </c>
    </row>
    <row r="20">
      <c r="A20" s="9" t="s">
        <v>12</v>
      </c>
      <c r="B20" s="10" t="str">
        <f>D24</f>
        <v>011011001000010010110111100010101110010011000110</v>
      </c>
      <c r="C20" s="10"/>
      <c r="D20" s="10"/>
    </row>
    <row r="21">
      <c r="A21" s="6" t="s">
        <v>147</v>
      </c>
      <c r="B21" s="7" t="str">
        <f>F6&amp;H6</f>
        <v>11001010101010111111000011001100111100001010101010101100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011011001000010010110111100010101110010011000110</v>
      </c>
      <c r="E24" s="1">
        <v>1.0</v>
      </c>
      <c r="F24" s="3" t="str">
        <f t="shared" ref="F24:F30" si="9">MID($B$20,(E24-1)*8+1,8)</f>
        <v>01101100</v>
      </c>
      <c r="G24" s="3" t="str">
        <f t="shared" ref="G24:G30" si="10">BIN2HEX(F24,2)</f>
        <v>6C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11011001000010010110111100010101110010011000110</v>
      </c>
      <c r="E25" s="1">
        <v>2.0</v>
      </c>
      <c r="F25" s="3" t="str">
        <f t="shared" si="9"/>
        <v>10000100</v>
      </c>
      <c r="G25" s="3" t="str">
        <f t="shared" si="10"/>
        <v>84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1011001000010010110111100010101110010011000110</v>
      </c>
      <c r="E26" s="1">
        <v>3.0</v>
      </c>
      <c r="F26" s="3" t="str">
        <f t="shared" si="9"/>
        <v>10110111</v>
      </c>
      <c r="G26" s="3" t="str">
        <f t="shared" si="10"/>
        <v>B7</v>
      </c>
      <c r="H26" s="3"/>
    </row>
    <row r="27">
      <c r="A27" s="8">
        <v>4.0</v>
      </c>
      <c r="B27" s="8">
        <v>24.0</v>
      </c>
      <c r="C27" s="7" t="str">
        <f t="shared" si="7"/>
        <v>0</v>
      </c>
      <c r="D27" s="7" t="str">
        <f t="shared" si="8"/>
        <v>011001000010010110111100010101110010011000110</v>
      </c>
      <c r="E27" s="1">
        <v>4.0</v>
      </c>
      <c r="F27" s="3" t="str">
        <f t="shared" si="9"/>
        <v>10001010</v>
      </c>
      <c r="G27" s="3" t="str">
        <f t="shared" si="10"/>
        <v>8A</v>
      </c>
      <c r="H27" s="1"/>
    </row>
    <row r="28">
      <c r="A28" s="8">
        <v>5.0</v>
      </c>
      <c r="B28" s="8">
        <v>1.0</v>
      </c>
      <c r="C28" s="7" t="str">
        <f t="shared" si="7"/>
        <v>1</v>
      </c>
      <c r="D28" s="7" t="str">
        <f t="shared" si="8"/>
        <v>11001000010010110111100010101110010011000110</v>
      </c>
      <c r="E28" s="1">
        <v>5.0</v>
      </c>
      <c r="F28" s="3" t="str">
        <f t="shared" si="9"/>
        <v>11100100</v>
      </c>
      <c r="G28" s="3" t="str">
        <f t="shared" si="10"/>
        <v>E4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1001000010010110111100010101110010011000110</v>
      </c>
      <c r="E29" s="1">
        <v>6.0</v>
      </c>
      <c r="F29" s="3" t="str">
        <f t="shared" si="9"/>
        <v>11000110</v>
      </c>
      <c r="G29" s="3" t="str">
        <f t="shared" si="10"/>
        <v>C6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001000010010110111100010101110010011000110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0</v>
      </c>
      <c r="D31" s="7" t="str">
        <f t="shared" si="8"/>
        <v>01000010010110111100010101110010011000110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1000010010110111100010101110010011000110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000010010110111100010101110010011000110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00010010110111100010101110010011000110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0010010110111100010101110010011000110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010010110111100010101110010011000110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10010110111100010101110010011000110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0010110111100010101110010011000110</v>
      </c>
    </row>
    <row r="39">
      <c r="A39" s="8">
        <v>16.0</v>
      </c>
      <c r="B39" s="8">
        <v>4.0</v>
      </c>
      <c r="C39" s="7" t="str">
        <f t="shared" si="7"/>
        <v>0</v>
      </c>
      <c r="D39" s="7" t="str">
        <f t="shared" si="8"/>
        <v>010110111100010101110010011000110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10110111100010101110010011000110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0110111100010101110010011000110</v>
      </c>
    </row>
    <row r="42">
      <c r="A42" s="8">
        <v>19.0</v>
      </c>
      <c r="B42" s="8">
        <v>16.0</v>
      </c>
      <c r="C42" s="7" t="str">
        <f t="shared" si="7"/>
        <v>1</v>
      </c>
      <c r="D42" s="7" t="str">
        <f t="shared" si="8"/>
        <v>110111100010101110010011000110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10111100010101110010011000110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0111100010101110010011000110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111100010101110010011000110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11100010101110010011000110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1100010101110010011000110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100010101110010011000110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00010101110010011000110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0010101110010011000110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010101110010011000110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10101110010011000110</v>
      </c>
    </row>
    <row r="53">
      <c r="A53" s="8">
        <v>30.0</v>
      </c>
      <c r="B53" s="8">
        <v>55.0</v>
      </c>
      <c r="C53" s="7" t="str">
        <f t="shared" si="7"/>
        <v>0</v>
      </c>
      <c r="D53" s="7" t="str">
        <f t="shared" si="8"/>
        <v>0101110010011000110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101110010011000110</v>
      </c>
    </row>
    <row r="55">
      <c r="A55" s="8">
        <v>32.0</v>
      </c>
      <c r="B55" s="8">
        <v>40.0</v>
      </c>
      <c r="C55" s="7" t="str">
        <f t="shared" si="7"/>
        <v>0</v>
      </c>
      <c r="D55" s="7" t="str">
        <f t="shared" si="8"/>
        <v>01110010011000110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1110010011000110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110010011000110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10010011000110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0010011000110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010011000110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10011000110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0011000110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011000110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11000110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1000110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000110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00110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0110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178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1100101010101011111100001100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11001010</v>
      </c>
      <c r="C3" s="3" t="str">
        <f t="shared" ref="C3:C9" si="2">BIN2HEX(B3,2)</f>
        <v>CA</v>
      </c>
      <c r="E3" s="6" t="s">
        <v>135</v>
      </c>
      <c r="F3" s="7" t="str">
        <f>RIGHT($B$1,28)</f>
        <v>1100111100001010101010101100</v>
      </c>
      <c r="I3" s="6">
        <v>2.0</v>
      </c>
      <c r="J3" s="6">
        <v>1.0</v>
      </c>
    </row>
    <row r="4">
      <c r="A4" s="1">
        <v>2.0</v>
      </c>
      <c r="B4" s="3" t="str">
        <f t="shared" si="1"/>
        <v>10101011</v>
      </c>
      <c r="C4" s="3" t="str">
        <f t="shared" si="2"/>
        <v>AB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11110000</v>
      </c>
      <c r="C5" s="3" t="str">
        <f t="shared" si="2"/>
        <v>F0</v>
      </c>
      <c r="E5" s="6" t="s">
        <v>137</v>
      </c>
      <c r="F5" s="6" t="str">
        <f>F2</f>
        <v>1100101010101011111100001100</v>
      </c>
      <c r="G5" s="6" t="s">
        <v>139</v>
      </c>
      <c r="H5" s="7" t="str">
        <f>F3</f>
        <v>1100111100001010101010101100</v>
      </c>
      <c r="I5" s="6">
        <v>4.0</v>
      </c>
      <c r="J5" s="6">
        <v>2.0</v>
      </c>
    </row>
    <row r="6">
      <c r="A6" s="1">
        <v>4.0</v>
      </c>
      <c r="B6" s="3" t="str">
        <f t="shared" si="1"/>
        <v>11001100</v>
      </c>
      <c r="C6" s="3" t="str">
        <f t="shared" si="2"/>
        <v>CC</v>
      </c>
      <c r="E6" s="6" t="s">
        <v>141</v>
      </c>
      <c r="F6" s="6" t="s">
        <v>179</v>
      </c>
      <c r="G6" s="6" t="s">
        <v>143</v>
      </c>
      <c r="H6" s="6" t="s">
        <v>180</v>
      </c>
      <c r="I6" s="6">
        <v>5.0</v>
      </c>
      <c r="J6" s="6">
        <v>2.0</v>
      </c>
    </row>
    <row r="7">
      <c r="A7" s="1">
        <v>5.0</v>
      </c>
      <c r="B7" s="3" t="str">
        <f t="shared" si="1"/>
        <v>11110000</v>
      </c>
      <c r="C7" s="3" t="str">
        <f t="shared" si="2"/>
        <v>F0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10101010</v>
      </c>
      <c r="C8" s="3" t="str">
        <f t="shared" si="2"/>
        <v>AA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10101100</v>
      </c>
      <c r="C9" s="3" t="str">
        <f t="shared" si="2"/>
        <v>AC</v>
      </c>
      <c r="E9" s="1">
        <v>1.0</v>
      </c>
      <c r="F9" s="3" t="str">
        <f t="shared" ref="F9:F12" si="3">MID($F$6,(E9-1)*8+1,8)</f>
        <v>00101010</v>
      </c>
      <c r="G9" s="3" t="str">
        <f t="shared" ref="G9:G12" si="4">BIN2HEX(F9,2)</f>
        <v>2A</v>
      </c>
      <c r="I9" s="6">
        <v>8.0</v>
      </c>
      <c r="J9" s="6">
        <v>2.0</v>
      </c>
    </row>
    <row r="10">
      <c r="E10" s="1">
        <v>2.0</v>
      </c>
      <c r="F10" s="3" t="str">
        <f t="shared" si="3"/>
        <v>10101111</v>
      </c>
      <c r="G10" s="3" t="str">
        <f t="shared" si="4"/>
        <v>AF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11000011</v>
      </c>
      <c r="G11" s="3" t="str">
        <f t="shared" si="4"/>
        <v>C3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0011</v>
      </c>
      <c r="G12" s="3" t="str">
        <f t="shared" si="4"/>
        <v>03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00111100</v>
      </c>
      <c r="G15" s="3" t="str">
        <f t="shared" ref="G15:G18" si="6">BIN2HEX(F15,2)</f>
        <v>3C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00101010</v>
      </c>
      <c r="G16" s="3" t="str">
        <f t="shared" si="6"/>
        <v>2A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10101011</v>
      </c>
      <c r="G17" s="3" t="str">
        <f t="shared" si="6"/>
        <v>AB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0011</v>
      </c>
      <c r="G18" s="3" t="str">
        <f t="shared" si="6"/>
        <v>03</v>
      </c>
    </row>
    <row r="20">
      <c r="A20" s="9" t="s">
        <v>12</v>
      </c>
      <c r="B20" s="10" t="str">
        <f>D24</f>
        <v>111101111000100000111010111011001110011110000001</v>
      </c>
      <c r="C20" s="10"/>
      <c r="D20" s="10"/>
    </row>
    <row r="21">
      <c r="A21" s="6" t="s">
        <v>147</v>
      </c>
      <c r="B21" s="7" t="str">
        <f>F6&amp;H6</f>
        <v>00101010101011111100001100110011110000101010101010110011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1</v>
      </c>
      <c r="D24" s="7" t="str">
        <f t="shared" ref="D24:D69" si="8">C24&amp;D25</f>
        <v>111101111000100000111010111011001110011110000001</v>
      </c>
      <c r="E24" s="1">
        <v>1.0</v>
      </c>
      <c r="F24" s="3" t="str">
        <f t="shared" ref="F24:F30" si="9">MID($B$20,(E24-1)*8+1,8)</f>
        <v>11110111</v>
      </c>
      <c r="G24" s="3" t="str">
        <f t="shared" ref="G24:G30" si="10">BIN2HEX(F24,2)</f>
        <v>F7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11101111000100000111010111011001110011110000001</v>
      </c>
      <c r="E25" s="1">
        <v>2.0</v>
      </c>
      <c r="F25" s="3" t="str">
        <f t="shared" si="9"/>
        <v>10001000</v>
      </c>
      <c r="G25" s="3" t="str">
        <f t="shared" si="10"/>
        <v>88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1101111000100000111010111011001110011110000001</v>
      </c>
      <c r="E26" s="1">
        <v>3.0</v>
      </c>
      <c r="F26" s="3" t="str">
        <f t="shared" si="9"/>
        <v>00111010</v>
      </c>
      <c r="G26" s="3" t="str">
        <f t="shared" si="10"/>
        <v>3A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101111000100000111010111011001110011110000001</v>
      </c>
      <c r="E27" s="1">
        <v>4.0</v>
      </c>
      <c r="F27" s="3" t="str">
        <f t="shared" si="9"/>
        <v>11101100</v>
      </c>
      <c r="G27" s="3" t="str">
        <f t="shared" si="10"/>
        <v>EC</v>
      </c>
      <c r="H27" s="1"/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01111000100000111010111011001110011110000001</v>
      </c>
      <c r="E28" s="1">
        <v>5.0</v>
      </c>
      <c r="F28" s="3" t="str">
        <f t="shared" si="9"/>
        <v>11100111</v>
      </c>
      <c r="G28" s="3" t="str">
        <f t="shared" si="10"/>
        <v>E7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1111000100000111010111011001110011110000001</v>
      </c>
      <c r="E29" s="1">
        <v>6.0</v>
      </c>
      <c r="F29" s="3" t="str">
        <f t="shared" si="9"/>
        <v>10000001</v>
      </c>
      <c r="G29" s="3" t="str">
        <f t="shared" si="10"/>
        <v>81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111000100000111010111011001110011110000001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11000100000111010111011001110011110000001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1000100000111010111011001110011110000001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000100000111010111011001110011110000001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00100000111010111011001110011110000001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0100000111010111011001110011110000001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100000111010111011001110011110000001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00000111010111011001110011110000001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0000111010111011001110011110000001</v>
      </c>
    </row>
    <row r="39">
      <c r="A39" s="8">
        <v>16.0</v>
      </c>
      <c r="B39" s="8">
        <v>4.0</v>
      </c>
      <c r="C39" s="7" t="str">
        <f t="shared" si="7"/>
        <v>0</v>
      </c>
      <c r="D39" s="7" t="str">
        <f t="shared" si="8"/>
        <v>000111010111011001110011110000001</v>
      </c>
    </row>
    <row r="40">
      <c r="A40" s="8">
        <v>17.0</v>
      </c>
      <c r="B40" s="8">
        <v>26.0</v>
      </c>
      <c r="C40" s="7" t="str">
        <f t="shared" si="7"/>
        <v>0</v>
      </c>
      <c r="D40" s="7" t="str">
        <f t="shared" si="8"/>
        <v>00111010111011001110011110000001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0111010111011001110011110000001</v>
      </c>
    </row>
    <row r="42">
      <c r="A42" s="8">
        <v>19.0</v>
      </c>
      <c r="B42" s="8">
        <v>16.0</v>
      </c>
      <c r="C42" s="7" t="str">
        <f t="shared" si="7"/>
        <v>1</v>
      </c>
      <c r="D42" s="7" t="str">
        <f t="shared" si="8"/>
        <v>111010111011001110011110000001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11010111011001110011110000001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1010111011001110011110000001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010111011001110011110000001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10111011001110011110000001</v>
      </c>
    </row>
    <row r="47">
      <c r="A47" s="8">
        <v>24.0</v>
      </c>
      <c r="B47" s="8">
        <v>2.0</v>
      </c>
      <c r="C47" s="7" t="str">
        <f t="shared" si="7"/>
        <v>0</v>
      </c>
      <c r="D47" s="7" t="str">
        <f t="shared" si="8"/>
        <v>0111011001110011110000001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111011001110011110000001</v>
      </c>
    </row>
    <row r="49">
      <c r="A49" s="8">
        <v>26.0</v>
      </c>
      <c r="B49" s="8">
        <v>52.0</v>
      </c>
      <c r="C49" s="7" t="str">
        <f t="shared" si="7"/>
        <v>1</v>
      </c>
      <c r="D49" s="7" t="str">
        <f t="shared" si="8"/>
        <v>11011001110011110000001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1011001110011110000001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011001110011110000001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11001110011110000001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1001110011110000001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001110011110000001</v>
      </c>
    </row>
    <row r="55">
      <c r="A55" s="8">
        <v>32.0</v>
      </c>
      <c r="B55" s="8">
        <v>40.0</v>
      </c>
      <c r="C55" s="7" t="str">
        <f t="shared" si="7"/>
        <v>0</v>
      </c>
      <c r="D55" s="7" t="str">
        <f t="shared" si="8"/>
        <v>01110011110000001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1110011110000001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110011110000001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10011110000001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0011110000001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011110000001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11110000001</v>
      </c>
    </row>
    <row r="62">
      <c r="A62" s="8">
        <v>39.0</v>
      </c>
      <c r="B62" s="8">
        <v>39.0</v>
      </c>
      <c r="C62" s="7" t="str">
        <f t="shared" si="7"/>
        <v>1</v>
      </c>
      <c r="D62" s="7" t="str">
        <f t="shared" si="8"/>
        <v>1110000001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110000001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10000001</v>
      </c>
    </row>
    <row r="65">
      <c r="A65" s="8">
        <v>42.0</v>
      </c>
      <c r="B65" s="8">
        <v>53.0</v>
      </c>
      <c r="C65" s="7" t="str">
        <f t="shared" si="7"/>
        <v>0</v>
      </c>
      <c r="D65" s="7" t="str">
        <f t="shared" si="8"/>
        <v>0000001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000001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00001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0001</v>
      </c>
    </row>
    <row r="69">
      <c r="A69" s="8">
        <v>46.0</v>
      </c>
      <c r="B69" s="8">
        <v>36.0</v>
      </c>
      <c r="C69" s="7" t="str">
        <f t="shared" si="7"/>
        <v>0</v>
      </c>
      <c r="D69" s="7" t="str">
        <f t="shared" si="8"/>
        <v>001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181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0010101010101111110000110011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00101010</v>
      </c>
      <c r="C3" s="3" t="str">
        <f t="shared" ref="C3:C9" si="2">BIN2HEX(B3,2)</f>
        <v>2A</v>
      </c>
      <c r="E3" s="6" t="s">
        <v>135</v>
      </c>
      <c r="F3" s="7" t="str">
        <f>RIGHT($B$1,28)</f>
        <v>0011110000101010101010110011</v>
      </c>
      <c r="I3" s="6">
        <v>2.0</v>
      </c>
      <c r="J3" s="6">
        <v>1.0</v>
      </c>
    </row>
    <row r="4">
      <c r="A4" s="1">
        <v>2.0</v>
      </c>
      <c r="B4" s="3" t="str">
        <f t="shared" si="1"/>
        <v>10101111</v>
      </c>
      <c r="C4" s="3" t="str">
        <f t="shared" si="2"/>
        <v>AF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11000011</v>
      </c>
      <c r="C5" s="3" t="str">
        <f t="shared" si="2"/>
        <v>C3</v>
      </c>
      <c r="E5" s="6" t="s">
        <v>137</v>
      </c>
      <c r="F5" s="6" t="str">
        <f>F2</f>
        <v>0010101010101111110000110011</v>
      </c>
      <c r="G5" s="6" t="s">
        <v>139</v>
      </c>
      <c r="H5" s="7" t="str">
        <f>F3</f>
        <v>0011110000101010101010110011</v>
      </c>
      <c r="I5" s="6">
        <v>4.0</v>
      </c>
      <c r="J5" s="6">
        <v>2.0</v>
      </c>
    </row>
    <row r="6">
      <c r="A6" s="1">
        <v>4.0</v>
      </c>
      <c r="B6" s="3" t="str">
        <f t="shared" si="1"/>
        <v>00110011</v>
      </c>
      <c r="C6" s="3" t="str">
        <f t="shared" si="2"/>
        <v>33</v>
      </c>
      <c r="E6" s="6" t="s">
        <v>141</v>
      </c>
      <c r="F6" s="6" t="s">
        <v>182</v>
      </c>
      <c r="G6" s="6" t="s">
        <v>143</v>
      </c>
      <c r="H6" s="6" t="s">
        <v>183</v>
      </c>
      <c r="I6" s="6">
        <v>5.0</v>
      </c>
      <c r="J6" s="6">
        <v>2.0</v>
      </c>
    </row>
    <row r="7">
      <c r="A7" s="1">
        <v>5.0</v>
      </c>
      <c r="B7" s="3" t="str">
        <f t="shared" si="1"/>
        <v>11000010</v>
      </c>
      <c r="C7" s="3" t="str">
        <f t="shared" si="2"/>
        <v>C2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10101010</v>
      </c>
      <c r="C8" s="3" t="str">
        <f t="shared" si="2"/>
        <v>AA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10110011</v>
      </c>
      <c r="C9" s="3" t="str">
        <f t="shared" si="2"/>
        <v>B3</v>
      </c>
      <c r="E9" s="1">
        <v>1.0</v>
      </c>
      <c r="F9" s="3" t="str">
        <f t="shared" ref="F9:F12" si="3">MID($F$6,(E9-1)*8+1,8)</f>
        <v>01010101</v>
      </c>
      <c r="G9" s="3" t="str">
        <f t="shared" ref="G9:G12" si="4">BIN2HEX(F9,2)</f>
        <v>55</v>
      </c>
      <c r="I9" s="6">
        <v>8.0</v>
      </c>
      <c r="J9" s="6">
        <v>2.0</v>
      </c>
    </row>
    <row r="10">
      <c r="E10" s="1">
        <v>2.0</v>
      </c>
      <c r="F10" s="3" t="str">
        <f t="shared" si="3"/>
        <v>01011111</v>
      </c>
      <c r="G10" s="3" t="str">
        <f t="shared" si="4"/>
        <v>5F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10000110</v>
      </c>
      <c r="G11" s="3" t="str">
        <f t="shared" si="4"/>
        <v>86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0110</v>
      </c>
      <c r="G12" s="3" t="str">
        <f t="shared" si="4"/>
        <v>06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01111000</v>
      </c>
      <c r="G15" s="3" t="str">
        <f t="shared" ref="G15:G18" si="6">BIN2HEX(F15,2)</f>
        <v>78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01010101</v>
      </c>
      <c r="G16" s="3" t="str">
        <f t="shared" si="6"/>
        <v>55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01010110</v>
      </c>
      <c r="G17" s="3" t="str">
        <f t="shared" si="6"/>
        <v>56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0110</v>
      </c>
      <c r="G18" s="3" t="str">
        <f t="shared" si="6"/>
        <v>06</v>
      </c>
    </row>
    <row r="20">
      <c r="A20" s="9" t="s">
        <v>12</v>
      </c>
      <c r="B20" s="10" t="str">
        <f>D24</f>
        <v>110000001101101111101011001001111011100000111001</v>
      </c>
      <c r="C20" s="10"/>
      <c r="D20" s="10"/>
    </row>
    <row r="21">
      <c r="A21" s="6" t="s">
        <v>147</v>
      </c>
      <c r="B21" s="7" t="str">
        <f>F6&amp;H6</f>
        <v>01010101010111111000011001100111100001010101010101100110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1</v>
      </c>
      <c r="D24" s="7" t="str">
        <f t="shared" ref="D24:D69" si="8">C24&amp;D25</f>
        <v>110000001101101111101011001001111011100000111001</v>
      </c>
      <c r="E24" s="1">
        <v>1.0</v>
      </c>
      <c r="F24" s="3" t="str">
        <f t="shared" ref="F24:F30" si="9">MID($B$20,(E24-1)*8+1,8)</f>
        <v>11000000</v>
      </c>
      <c r="G24" s="3" t="str">
        <f t="shared" ref="G24:G30" si="10">BIN2HEX(F24,2)</f>
        <v>C0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10000001101101111101011001001111011100000111001</v>
      </c>
      <c r="E25" s="1">
        <v>2.0</v>
      </c>
      <c r="F25" s="3" t="str">
        <f t="shared" si="9"/>
        <v>11011011</v>
      </c>
      <c r="G25" s="3" t="str">
        <f t="shared" si="10"/>
        <v>DB</v>
      </c>
      <c r="H25" s="3"/>
    </row>
    <row r="26">
      <c r="A26" s="8">
        <v>3.0</v>
      </c>
      <c r="B26" s="8">
        <v>11.0</v>
      </c>
      <c r="C26" s="7" t="str">
        <f t="shared" si="7"/>
        <v>0</v>
      </c>
      <c r="D26" s="7" t="str">
        <f t="shared" si="8"/>
        <v>0000001101101111101011001001111011100000111001</v>
      </c>
      <c r="E26" s="1">
        <v>3.0</v>
      </c>
      <c r="F26" s="3" t="str">
        <f t="shared" si="9"/>
        <v>11101011</v>
      </c>
      <c r="G26" s="3" t="str">
        <f t="shared" si="10"/>
        <v>EB</v>
      </c>
      <c r="H26" s="3"/>
    </row>
    <row r="27">
      <c r="A27" s="8">
        <v>4.0</v>
      </c>
      <c r="B27" s="8">
        <v>24.0</v>
      </c>
      <c r="C27" s="7" t="str">
        <f t="shared" si="7"/>
        <v>0</v>
      </c>
      <c r="D27" s="7" t="str">
        <f t="shared" si="8"/>
        <v>000001101101111101011001001111011100000111001</v>
      </c>
      <c r="E27" s="1">
        <v>4.0</v>
      </c>
      <c r="F27" s="3" t="str">
        <f t="shared" si="9"/>
        <v>00100111</v>
      </c>
      <c r="G27" s="3" t="str">
        <f t="shared" si="10"/>
        <v>27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00001101101111101011001001111011100000111001</v>
      </c>
      <c r="E28" s="1">
        <v>5.0</v>
      </c>
      <c r="F28" s="3" t="str">
        <f t="shared" si="9"/>
        <v>10111000</v>
      </c>
      <c r="G28" s="3" t="str">
        <f t="shared" si="10"/>
        <v>B8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0001101101111101011001001111011100000111001</v>
      </c>
      <c r="E29" s="1">
        <v>6.0</v>
      </c>
      <c r="F29" s="3" t="str">
        <f t="shared" si="9"/>
        <v>00111001</v>
      </c>
      <c r="G29" s="3" t="str">
        <f t="shared" si="10"/>
        <v>39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001101101111101011001001111011100000111001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0</v>
      </c>
      <c r="D31" s="7" t="str">
        <f t="shared" si="8"/>
        <v>01101101111101011001001111011100000111001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1101101111101011001001111011100000111001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101101111101011001001111011100000111001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01101111101011001001111011100000111001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1101111101011001001111011100000111001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101111101011001001111011100000111001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01111101011001001111011100000111001</v>
      </c>
    </row>
    <row r="38">
      <c r="A38" s="8">
        <v>15.0</v>
      </c>
      <c r="B38" s="8">
        <v>12.0</v>
      </c>
      <c r="C38" s="7" t="str">
        <f t="shared" si="7"/>
        <v>1</v>
      </c>
      <c r="D38" s="7" t="str">
        <f t="shared" si="8"/>
        <v>1111101011001001111011100000111001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111101011001001111011100000111001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11101011001001111011100000111001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1101011001001111011100000111001</v>
      </c>
    </row>
    <row r="42">
      <c r="A42" s="8">
        <v>19.0</v>
      </c>
      <c r="B42" s="8">
        <v>16.0</v>
      </c>
      <c r="C42" s="7" t="str">
        <f t="shared" si="7"/>
        <v>1</v>
      </c>
      <c r="D42" s="7" t="str">
        <f t="shared" si="8"/>
        <v>101011001001111011100000111001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01011001001111011100000111001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1011001001111011100000111001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011001001111011100000111001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11001001111011100000111001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1001001111011100000111001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001001111011100000111001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01001111011100000111001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1001111011100000111001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001111011100000111001</v>
      </c>
    </row>
    <row r="52">
      <c r="A52" s="8">
        <v>29.0</v>
      </c>
      <c r="B52" s="8">
        <v>47.0</v>
      </c>
      <c r="C52" s="7" t="str">
        <f t="shared" si="7"/>
        <v>0</v>
      </c>
      <c r="D52" s="7" t="str">
        <f t="shared" si="8"/>
        <v>01111011100000111001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1111011100000111001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111011100000111001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11011100000111001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1011100000111001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011100000111001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11100000111001</v>
      </c>
    </row>
    <row r="59">
      <c r="A59" s="8">
        <v>36.0</v>
      </c>
      <c r="B59" s="8">
        <v>48.0</v>
      </c>
      <c r="C59" s="7" t="str">
        <f t="shared" si="7"/>
        <v>1</v>
      </c>
      <c r="D59" s="7" t="str">
        <f t="shared" si="8"/>
        <v>1100000111001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100000111001</v>
      </c>
    </row>
    <row r="61">
      <c r="A61" s="8">
        <v>38.0</v>
      </c>
      <c r="B61" s="8">
        <v>49.0</v>
      </c>
      <c r="C61" s="7" t="str">
        <f t="shared" si="7"/>
        <v>0</v>
      </c>
      <c r="D61" s="7" t="str">
        <f t="shared" si="8"/>
        <v>00000111001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0000111001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000111001</v>
      </c>
    </row>
    <row r="64">
      <c r="A64" s="8">
        <v>41.0</v>
      </c>
      <c r="B64" s="8">
        <v>34.0</v>
      </c>
      <c r="C64" s="7" t="str">
        <f t="shared" si="7"/>
        <v>0</v>
      </c>
      <c r="D64" s="7" t="str">
        <f t="shared" si="8"/>
        <v>00111001</v>
      </c>
    </row>
    <row r="65">
      <c r="A65" s="8">
        <v>42.0</v>
      </c>
      <c r="B65" s="8">
        <v>53.0</v>
      </c>
      <c r="C65" s="7" t="str">
        <f t="shared" si="7"/>
        <v>0</v>
      </c>
      <c r="D65" s="7" t="str">
        <f t="shared" si="8"/>
        <v>0111001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111001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11001</v>
      </c>
    </row>
    <row r="68">
      <c r="A68" s="8">
        <v>45.0</v>
      </c>
      <c r="B68" s="8">
        <v>50.0</v>
      </c>
      <c r="C68" s="7" t="str">
        <f t="shared" si="7"/>
        <v>1</v>
      </c>
      <c r="D68" s="7" t="str">
        <f t="shared" si="8"/>
        <v>1001</v>
      </c>
    </row>
    <row r="69">
      <c r="A69" s="8">
        <v>46.0</v>
      </c>
      <c r="B69" s="8">
        <v>36.0</v>
      </c>
      <c r="C69" s="7" t="str">
        <f t="shared" si="7"/>
        <v>0</v>
      </c>
      <c r="D69" s="7" t="str">
        <f t="shared" si="8"/>
        <v>001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184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0101010101011111100001100110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01010101</v>
      </c>
      <c r="C3" s="3" t="str">
        <f t="shared" ref="C3:C9" si="2">BIN2HEX(B3,2)</f>
        <v>55</v>
      </c>
      <c r="E3" s="6" t="s">
        <v>135</v>
      </c>
      <c r="F3" s="7" t="str">
        <f>RIGHT($B$1,28)</f>
        <v>0111100001010101010101100110</v>
      </c>
      <c r="I3" s="6">
        <v>2.0</v>
      </c>
      <c r="J3" s="6">
        <v>1.0</v>
      </c>
    </row>
    <row r="4">
      <c r="A4" s="1">
        <v>2.0</v>
      </c>
      <c r="B4" s="3" t="str">
        <f t="shared" si="1"/>
        <v>01011111</v>
      </c>
      <c r="C4" s="3" t="str">
        <f t="shared" si="2"/>
        <v>5F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10000110</v>
      </c>
      <c r="C5" s="3" t="str">
        <f t="shared" si="2"/>
        <v>86</v>
      </c>
      <c r="E5" s="6" t="s">
        <v>137</v>
      </c>
      <c r="F5" s="6" t="str">
        <f>F2</f>
        <v>0101010101011111100001100110</v>
      </c>
      <c r="G5" s="6" t="s">
        <v>139</v>
      </c>
      <c r="H5" s="7" t="str">
        <f>F3</f>
        <v>0111100001010101010101100110</v>
      </c>
      <c r="I5" s="6">
        <v>4.0</v>
      </c>
      <c r="J5" s="6">
        <v>2.0</v>
      </c>
    </row>
    <row r="6">
      <c r="A6" s="1">
        <v>4.0</v>
      </c>
      <c r="B6" s="3" t="str">
        <f t="shared" si="1"/>
        <v>01100111</v>
      </c>
      <c r="C6" s="3" t="str">
        <f t="shared" si="2"/>
        <v>67</v>
      </c>
      <c r="E6" s="6" t="s">
        <v>141</v>
      </c>
      <c r="F6" s="6" t="s">
        <v>185</v>
      </c>
      <c r="G6" s="6" t="s">
        <v>143</v>
      </c>
      <c r="H6" s="6" t="s">
        <v>186</v>
      </c>
      <c r="I6" s="6">
        <v>5.0</v>
      </c>
      <c r="J6" s="6">
        <v>2.0</v>
      </c>
    </row>
    <row r="7">
      <c r="A7" s="1">
        <v>5.0</v>
      </c>
      <c r="B7" s="3" t="str">
        <f t="shared" si="1"/>
        <v>10000101</v>
      </c>
      <c r="C7" s="3" t="str">
        <f t="shared" si="2"/>
        <v>85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01010101</v>
      </c>
      <c r="C8" s="3" t="str">
        <f t="shared" si="2"/>
        <v>55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01100110</v>
      </c>
      <c r="C9" s="3" t="str">
        <f t="shared" si="2"/>
        <v>66</v>
      </c>
      <c r="E9" s="1">
        <v>1.0</v>
      </c>
      <c r="F9" s="3" t="str">
        <f t="shared" ref="F9:F12" si="3">MID($F$6,(E9-1)*8+1,8)</f>
        <v>01010101</v>
      </c>
      <c r="G9" s="3" t="str">
        <f t="shared" ref="G9:G12" si="4">BIN2HEX(F9,2)</f>
        <v>55</v>
      </c>
      <c r="I9" s="6">
        <v>8.0</v>
      </c>
      <c r="J9" s="6">
        <v>2.0</v>
      </c>
    </row>
    <row r="10">
      <c r="E10" s="1">
        <v>2.0</v>
      </c>
      <c r="F10" s="3" t="str">
        <f t="shared" si="3"/>
        <v>01111110</v>
      </c>
      <c r="G10" s="3" t="str">
        <f t="shared" si="4"/>
        <v>7E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00011001</v>
      </c>
      <c r="G11" s="3" t="str">
        <f t="shared" si="4"/>
        <v>19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1001</v>
      </c>
      <c r="G12" s="3" t="str">
        <f t="shared" si="4"/>
        <v>09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11100001</v>
      </c>
      <c r="G15" s="3" t="str">
        <f t="shared" ref="G15:G18" si="6">BIN2HEX(F15,2)</f>
        <v>E1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01010101</v>
      </c>
      <c r="G16" s="3" t="str">
        <f t="shared" si="6"/>
        <v>55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01011001</v>
      </c>
      <c r="G17" s="3" t="str">
        <f t="shared" si="6"/>
        <v>59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1001</v>
      </c>
      <c r="G18" s="3" t="str">
        <f t="shared" si="6"/>
        <v>09</v>
      </c>
    </row>
    <row r="20">
      <c r="A20" s="9" t="s">
        <v>12</v>
      </c>
      <c r="B20" s="10" t="str">
        <f>D24</f>
        <v>101100011111001101000111011000110001110101110110</v>
      </c>
      <c r="C20" s="10"/>
      <c r="D20" s="10"/>
    </row>
    <row r="21">
      <c r="A21" s="6" t="s">
        <v>147</v>
      </c>
      <c r="B21" s="7" t="str">
        <f>F6&amp;H6</f>
        <v>01010101011111100001100110011110000101010101010110011001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1</v>
      </c>
      <c r="D24" s="7" t="str">
        <f t="shared" ref="D24:D69" si="8">C24&amp;D25</f>
        <v>101100011111001101000111011000110001110101110110</v>
      </c>
      <c r="E24" s="1">
        <v>1.0</v>
      </c>
      <c r="F24" s="3" t="str">
        <f t="shared" ref="F24:F30" si="9">MID($B$20,(E24-1)*8+1,8)</f>
        <v>10110001</v>
      </c>
      <c r="G24" s="3" t="str">
        <f t="shared" ref="G24:G30" si="10">BIN2HEX(F24,2)</f>
        <v>B1</v>
      </c>
      <c r="H24" s="3"/>
    </row>
    <row r="25">
      <c r="A25" s="8">
        <v>2.0</v>
      </c>
      <c r="B25" s="8">
        <v>17.0</v>
      </c>
      <c r="C25" s="7" t="str">
        <f t="shared" si="7"/>
        <v>0</v>
      </c>
      <c r="D25" s="7" t="str">
        <f t="shared" si="8"/>
        <v>01100011111001101000111011000110001110101110110</v>
      </c>
      <c r="E25" s="1">
        <v>2.0</v>
      </c>
      <c r="F25" s="3" t="str">
        <f t="shared" si="9"/>
        <v>11110011</v>
      </c>
      <c r="G25" s="3" t="str">
        <f t="shared" si="10"/>
        <v>F3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1100011111001101000111011000110001110101110110</v>
      </c>
      <c r="E26" s="1">
        <v>3.0</v>
      </c>
      <c r="F26" s="3" t="str">
        <f t="shared" si="9"/>
        <v>01000111</v>
      </c>
      <c r="G26" s="3" t="str">
        <f t="shared" si="10"/>
        <v>47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100011111001101000111011000110001110101110110</v>
      </c>
      <c r="E27" s="1">
        <v>4.0</v>
      </c>
      <c r="F27" s="3" t="str">
        <f t="shared" si="9"/>
        <v>01100011</v>
      </c>
      <c r="G27" s="3" t="str">
        <f t="shared" si="10"/>
        <v>63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00011111001101000111011000110001110101110110</v>
      </c>
      <c r="E28" s="1">
        <v>5.0</v>
      </c>
      <c r="F28" s="3" t="str">
        <f t="shared" si="9"/>
        <v>00011101</v>
      </c>
      <c r="G28" s="3" t="str">
        <f t="shared" si="10"/>
        <v>1D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0011111001101000111011000110001110101110110</v>
      </c>
      <c r="E29" s="1">
        <v>6.0</v>
      </c>
      <c r="F29" s="3" t="str">
        <f t="shared" si="9"/>
        <v>01110110</v>
      </c>
      <c r="G29" s="3" t="str">
        <f t="shared" si="10"/>
        <v>76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011111001101000111011000110001110101110110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11111001101000111011000110001110101110110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1111001101000111011000110001110101110110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111001101000111011000110001110101110110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11001101000111011000110001110101110110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1001101000111011000110001110101110110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001101000111011000110001110101110110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01101000111011000110001110101110110</v>
      </c>
    </row>
    <row r="38">
      <c r="A38" s="8">
        <v>15.0</v>
      </c>
      <c r="B38" s="8">
        <v>12.0</v>
      </c>
      <c r="C38" s="7" t="str">
        <f t="shared" si="7"/>
        <v>1</v>
      </c>
      <c r="D38" s="7" t="str">
        <f t="shared" si="8"/>
        <v>1101000111011000110001110101110110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101000111011000110001110101110110</v>
      </c>
    </row>
    <row r="40">
      <c r="A40" s="8">
        <v>17.0</v>
      </c>
      <c r="B40" s="8">
        <v>26.0</v>
      </c>
      <c r="C40" s="7" t="str">
        <f t="shared" si="7"/>
        <v>0</v>
      </c>
      <c r="D40" s="7" t="str">
        <f t="shared" si="8"/>
        <v>01000111011000110001110101110110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1000111011000110001110101110110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000111011000110001110101110110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00111011000110001110101110110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0111011000110001110101110110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111011000110001110101110110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11011000110001110101110110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1011000110001110101110110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011000110001110101110110</v>
      </c>
    </row>
    <row r="49">
      <c r="A49" s="8">
        <v>26.0</v>
      </c>
      <c r="B49" s="8">
        <v>52.0</v>
      </c>
      <c r="C49" s="7" t="str">
        <f t="shared" si="7"/>
        <v>1</v>
      </c>
      <c r="D49" s="7" t="str">
        <f t="shared" si="8"/>
        <v>11000110001110101110110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1000110001110101110110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000110001110101110110</v>
      </c>
    </row>
    <row r="52">
      <c r="A52" s="8">
        <v>29.0</v>
      </c>
      <c r="B52" s="8">
        <v>47.0</v>
      </c>
      <c r="C52" s="7" t="str">
        <f t="shared" si="7"/>
        <v>0</v>
      </c>
      <c r="D52" s="7" t="str">
        <f t="shared" si="8"/>
        <v>00110001110101110110</v>
      </c>
    </row>
    <row r="53">
      <c r="A53" s="8">
        <v>30.0</v>
      </c>
      <c r="B53" s="8">
        <v>55.0</v>
      </c>
      <c r="C53" s="7" t="str">
        <f t="shared" si="7"/>
        <v>0</v>
      </c>
      <c r="D53" s="7" t="str">
        <f t="shared" si="8"/>
        <v>0110001110101110110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110001110101110110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10001110101110110</v>
      </c>
    </row>
    <row r="56">
      <c r="A56" s="8">
        <v>33.0</v>
      </c>
      <c r="B56" s="8">
        <v>51.0</v>
      </c>
      <c r="C56" s="7" t="str">
        <f t="shared" si="7"/>
        <v>0</v>
      </c>
      <c r="D56" s="7" t="str">
        <f t="shared" si="8"/>
        <v>0001110101110110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001110101110110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01110101110110</v>
      </c>
    </row>
    <row r="59">
      <c r="A59" s="8">
        <v>36.0</v>
      </c>
      <c r="B59" s="8">
        <v>48.0</v>
      </c>
      <c r="C59" s="7" t="str">
        <f t="shared" si="7"/>
        <v>1</v>
      </c>
      <c r="D59" s="7" t="str">
        <f t="shared" si="8"/>
        <v>1110101110110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110101110110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10101110110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0101110110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101110110</v>
      </c>
    </row>
    <row r="64">
      <c r="A64" s="8">
        <v>41.0</v>
      </c>
      <c r="B64" s="8">
        <v>34.0</v>
      </c>
      <c r="C64" s="7" t="str">
        <f t="shared" si="7"/>
        <v>0</v>
      </c>
      <c r="D64" s="7" t="str">
        <f t="shared" si="8"/>
        <v>01110110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1110110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110110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10110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0110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187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0101010101111110000110011001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01010101</v>
      </c>
      <c r="C3" s="3" t="str">
        <f t="shared" ref="C3:C9" si="2">BIN2HEX(B3,2)</f>
        <v>55</v>
      </c>
      <c r="E3" s="6" t="s">
        <v>135</v>
      </c>
      <c r="F3" s="7" t="str">
        <f>RIGHT($B$1,28)</f>
        <v>1110000101010101010110011001</v>
      </c>
      <c r="I3" s="6">
        <v>2.0</v>
      </c>
      <c r="J3" s="6">
        <v>1.0</v>
      </c>
    </row>
    <row r="4">
      <c r="A4" s="1">
        <v>2.0</v>
      </c>
      <c r="B4" s="3" t="str">
        <f t="shared" si="1"/>
        <v>01111110</v>
      </c>
      <c r="C4" s="3" t="str">
        <f t="shared" si="2"/>
        <v>7E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00011001</v>
      </c>
      <c r="C5" s="3" t="str">
        <f t="shared" si="2"/>
        <v>19</v>
      </c>
      <c r="E5" s="6" t="s">
        <v>137</v>
      </c>
      <c r="F5" s="6" t="str">
        <f>F2</f>
        <v>0101010101111110000110011001</v>
      </c>
      <c r="G5" s="6" t="s">
        <v>139</v>
      </c>
      <c r="H5" s="7" t="str">
        <f>F3</f>
        <v>1110000101010101010110011001</v>
      </c>
      <c r="I5" s="6">
        <v>4.0</v>
      </c>
      <c r="J5" s="6">
        <v>2.0</v>
      </c>
    </row>
    <row r="6">
      <c r="A6" s="1">
        <v>4.0</v>
      </c>
      <c r="B6" s="3" t="str">
        <f t="shared" si="1"/>
        <v>10011110</v>
      </c>
      <c r="C6" s="3" t="str">
        <f t="shared" si="2"/>
        <v>9E</v>
      </c>
      <c r="E6" s="6" t="s">
        <v>141</v>
      </c>
      <c r="F6" s="6" t="s">
        <v>188</v>
      </c>
      <c r="G6" s="6" t="s">
        <v>143</v>
      </c>
      <c r="H6" s="6" t="s">
        <v>189</v>
      </c>
      <c r="I6" s="6">
        <v>5.0</v>
      </c>
      <c r="J6" s="6">
        <v>2.0</v>
      </c>
    </row>
    <row r="7">
      <c r="A7" s="1">
        <v>5.0</v>
      </c>
      <c r="B7" s="3" t="str">
        <f t="shared" si="1"/>
        <v>00010101</v>
      </c>
      <c r="C7" s="3" t="str">
        <f t="shared" si="2"/>
        <v>15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01010101</v>
      </c>
      <c r="C8" s="3" t="str">
        <f t="shared" si="2"/>
        <v>55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10011001</v>
      </c>
      <c r="C9" s="3" t="str">
        <f t="shared" si="2"/>
        <v>99</v>
      </c>
      <c r="E9" s="1">
        <v>1.0</v>
      </c>
      <c r="F9" s="3" t="str">
        <f t="shared" ref="F9:F12" si="3">MID($F$6,(E9-1)*8+1,8)</f>
        <v>01010101</v>
      </c>
      <c r="G9" s="3" t="str">
        <f t="shared" ref="G9:G12" si="4">BIN2HEX(F9,2)</f>
        <v>55</v>
      </c>
      <c r="I9" s="6">
        <v>8.0</v>
      </c>
      <c r="J9" s="6">
        <v>2.0</v>
      </c>
    </row>
    <row r="10">
      <c r="E10" s="1">
        <v>2.0</v>
      </c>
      <c r="F10" s="3" t="str">
        <f t="shared" si="3"/>
        <v>11111000</v>
      </c>
      <c r="G10" s="3" t="str">
        <f t="shared" si="4"/>
        <v>F8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01100110</v>
      </c>
      <c r="G11" s="3" t="str">
        <f t="shared" si="4"/>
        <v>66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0101</v>
      </c>
      <c r="G12" s="3" t="str">
        <f t="shared" si="4"/>
        <v>05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10000101</v>
      </c>
      <c r="G15" s="3" t="str">
        <f t="shared" ref="G15:G18" si="6">BIN2HEX(F15,2)</f>
        <v>85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01010101</v>
      </c>
      <c r="G16" s="3" t="str">
        <f t="shared" si="6"/>
        <v>55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01100110</v>
      </c>
      <c r="G17" s="3" t="str">
        <f t="shared" si="6"/>
        <v>66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0111</v>
      </c>
      <c r="G18" s="3" t="str">
        <f t="shared" si="6"/>
        <v>07</v>
      </c>
    </row>
    <row r="20">
      <c r="A20" s="9" t="s">
        <v>12</v>
      </c>
      <c r="B20" s="10" t="str">
        <f>D24</f>
        <v>001000010101111111000011000011011000100110111110</v>
      </c>
      <c r="C20" s="10"/>
      <c r="D20" s="10"/>
    </row>
    <row r="21">
      <c r="A21" s="6" t="s">
        <v>147</v>
      </c>
      <c r="B21" s="7" t="str">
        <f>F6&amp;H6</f>
        <v>01010101111110000110011001011000010101010101011001100111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001000010101111111000011000011011000100110111110</v>
      </c>
      <c r="E24" s="1">
        <v>1.0</v>
      </c>
      <c r="F24" s="3" t="str">
        <f t="shared" ref="F24:F30" si="9">MID($B$20,(E24-1)*8+1,8)</f>
        <v>00100001</v>
      </c>
      <c r="G24" s="3" t="str">
        <f t="shared" ref="G24:G30" si="10">BIN2HEX(F24,2)</f>
        <v>21</v>
      </c>
      <c r="H24" s="3"/>
    </row>
    <row r="25">
      <c r="A25" s="8">
        <v>2.0</v>
      </c>
      <c r="B25" s="8">
        <v>17.0</v>
      </c>
      <c r="C25" s="7" t="str">
        <f t="shared" si="7"/>
        <v>0</v>
      </c>
      <c r="D25" s="7" t="str">
        <f t="shared" si="8"/>
        <v>01000010101111111000011000011011000100110111110</v>
      </c>
      <c r="E25" s="1">
        <v>2.0</v>
      </c>
      <c r="F25" s="3" t="str">
        <f t="shared" si="9"/>
        <v>01011111</v>
      </c>
      <c r="G25" s="3" t="str">
        <f t="shared" si="10"/>
        <v>5F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1000010101111111000011000011011000100110111110</v>
      </c>
      <c r="E26" s="1">
        <v>3.0</v>
      </c>
      <c r="F26" s="3" t="str">
        <f t="shared" si="9"/>
        <v>11000011</v>
      </c>
      <c r="G26" s="3" t="str">
        <f t="shared" si="10"/>
        <v>C3</v>
      </c>
      <c r="H26" s="3"/>
    </row>
    <row r="27">
      <c r="A27" s="8">
        <v>4.0</v>
      </c>
      <c r="B27" s="8">
        <v>24.0</v>
      </c>
      <c r="C27" s="7" t="str">
        <f t="shared" si="7"/>
        <v>0</v>
      </c>
      <c r="D27" s="7" t="str">
        <f t="shared" si="8"/>
        <v>000010101111111000011000011011000100110111110</v>
      </c>
      <c r="E27" s="1">
        <v>4.0</v>
      </c>
      <c r="F27" s="3" t="str">
        <f t="shared" si="9"/>
        <v>00001101</v>
      </c>
      <c r="G27" s="3" t="str">
        <f t="shared" si="10"/>
        <v>0D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00010101111111000011000011011000100110111110</v>
      </c>
      <c r="E28" s="1">
        <v>5.0</v>
      </c>
      <c r="F28" s="3" t="str">
        <f t="shared" si="9"/>
        <v>10001001</v>
      </c>
      <c r="G28" s="3" t="str">
        <f t="shared" si="10"/>
        <v>89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0010101111111000011000011011000100110111110</v>
      </c>
      <c r="E29" s="1">
        <v>6.0</v>
      </c>
      <c r="F29" s="3" t="str">
        <f t="shared" si="9"/>
        <v>10111110</v>
      </c>
      <c r="G29" s="3" t="str">
        <f t="shared" si="10"/>
        <v>BE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010101111111000011000011011000100110111110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10101111111000011000011011000100110111110</v>
      </c>
    </row>
    <row r="32">
      <c r="A32" s="8">
        <v>9.0</v>
      </c>
      <c r="B32" s="8">
        <v>15.0</v>
      </c>
      <c r="C32" s="7" t="str">
        <f t="shared" si="7"/>
        <v>0</v>
      </c>
      <c r="D32" s="7" t="str">
        <f t="shared" si="8"/>
        <v>0101111111000011000011011000100110111110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101111111000011000011011000100110111110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01111111000011000011011000100110111110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1111111000011000011011000100110111110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111111000011000011011000100110111110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11111000011000011011000100110111110</v>
      </c>
    </row>
    <row r="38">
      <c r="A38" s="8">
        <v>15.0</v>
      </c>
      <c r="B38" s="8">
        <v>12.0</v>
      </c>
      <c r="C38" s="7" t="str">
        <f t="shared" si="7"/>
        <v>1</v>
      </c>
      <c r="D38" s="7" t="str">
        <f t="shared" si="8"/>
        <v>1111000011000011011000100110111110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111000011000011011000100110111110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11000011000011011000100110111110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1000011000011011000100110111110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000011000011011000100110111110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00011000011011000100110111110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0011000011011000100110111110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011000011011000100110111110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11000011011000100110111110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1000011011000100110111110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000011011000100110111110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00011011000100110111110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0011011000100110111110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011011000100110111110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11011000100110111110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1011000100110111110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011000100110111110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11000100110111110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1000100110111110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000100110111110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00100110111110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0100110111110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100110111110</v>
      </c>
    </row>
    <row r="61">
      <c r="A61" s="8">
        <v>38.0</v>
      </c>
      <c r="B61" s="8">
        <v>49.0</v>
      </c>
      <c r="C61" s="7" t="str">
        <f t="shared" si="7"/>
        <v>0</v>
      </c>
      <c r="D61" s="7" t="str">
        <f t="shared" si="8"/>
        <v>00110111110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0110111110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110111110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10111110</v>
      </c>
    </row>
    <row r="65">
      <c r="A65" s="8">
        <v>42.0</v>
      </c>
      <c r="B65" s="8">
        <v>53.0</v>
      </c>
      <c r="C65" s="7" t="str">
        <f t="shared" si="7"/>
        <v>0</v>
      </c>
      <c r="D65" s="7" t="str">
        <f t="shared" si="8"/>
        <v>0111110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111110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11110</v>
      </c>
    </row>
    <row r="68">
      <c r="A68" s="8">
        <v>45.0</v>
      </c>
      <c r="B68" s="8">
        <v>50.0</v>
      </c>
      <c r="C68" s="7" t="str">
        <f t="shared" si="7"/>
        <v>1</v>
      </c>
      <c r="D68" s="7" t="str">
        <f t="shared" si="8"/>
        <v>1110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190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0101010111111000011001100101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01010101</v>
      </c>
      <c r="C3" s="3" t="str">
        <f t="shared" ref="C3:C9" si="2">BIN2HEX(B3,2)</f>
        <v>55</v>
      </c>
      <c r="E3" s="6" t="s">
        <v>135</v>
      </c>
      <c r="F3" s="7" t="str">
        <f>RIGHT($B$1,28)</f>
        <v>1000010101010101011001100111</v>
      </c>
      <c r="I3" s="6">
        <v>2.0</v>
      </c>
      <c r="J3" s="6">
        <v>1.0</v>
      </c>
    </row>
    <row r="4">
      <c r="A4" s="1">
        <v>2.0</v>
      </c>
      <c r="B4" s="3" t="str">
        <f t="shared" si="1"/>
        <v>11111000</v>
      </c>
      <c r="C4" s="3" t="str">
        <f t="shared" si="2"/>
        <v>F8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01100110</v>
      </c>
      <c r="C5" s="3" t="str">
        <f t="shared" si="2"/>
        <v>66</v>
      </c>
      <c r="E5" s="6" t="s">
        <v>137</v>
      </c>
      <c r="F5" s="6" t="str">
        <f>F2</f>
        <v>0101010111111000011001100101</v>
      </c>
      <c r="G5" s="6" t="s">
        <v>139</v>
      </c>
      <c r="H5" s="7" t="str">
        <f>F3</f>
        <v>1000010101010101011001100111</v>
      </c>
      <c r="I5" s="6">
        <v>4.0</v>
      </c>
      <c r="J5" s="6">
        <v>2.0</v>
      </c>
    </row>
    <row r="6">
      <c r="A6" s="1">
        <v>4.0</v>
      </c>
      <c r="B6" s="3" t="str">
        <f t="shared" si="1"/>
        <v>01011000</v>
      </c>
      <c r="C6" s="3" t="str">
        <f t="shared" si="2"/>
        <v>58</v>
      </c>
      <c r="E6" s="6" t="s">
        <v>141</v>
      </c>
      <c r="F6" s="6" t="s">
        <v>191</v>
      </c>
      <c r="G6" s="6" t="s">
        <v>143</v>
      </c>
      <c r="H6" s="6" t="s">
        <v>192</v>
      </c>
      <c r="I6" s="6">
        <v>5.0</v>
      </c>
      <c r="J6" s="6">
        <v>2.0</v>
      </c>
    </row>
    <row r="7">
      <c r="A7" s="1">
        <v>5.0</v>
      </c>
      <c r="B7" s="3" t="str">
        <f t="shared" si="1"/>
        <v>01010101</v>
      </c>
      <c r="C7" s="3" t="str">
        <f t="shared" si="2"/>
        <v>55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01010110</v>
      </c>
      <c r="C8" s="3" t="str">
        <f t="shared" si="2"/>
        <v>56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01100111</v>
      </c>
      <c r="C9" s="3" t="str">
        <f t="shared" si="2"/>
        <v>67</v>
      </c>
      <c r="E9" s="1">
        <v>1.0</v>
      </c>
      <c r="F9" s="3" t="str">
        <f t="shared" ref="F9:F12" si="3">MID($F$6,(E9-1)*8+1,8)</f>
        <v>01010111</v>
      </c>
      <c r="G9" s="3" t="str">
        <f t="shared" ref="G9:G12" si="4">BIN2HEX(F9,2)</f>
        <v>57</v>
      </c>
      <c r="I9" s="6">
        <v>8.0</v>
      </c>
      <c r="J9" s="6">
        <v>2.0</v>
      </c>
    </row>
    <row r="10">
      <c r="E10" s="1">
        <v>2.0</v>
      </c>
      <c r="F10" s="3" t="str">
        <f t="shared" si="3"/>
        <v>11100001</v>
      </c>
      <c r="G10" s="3" t="str">
        <f t="shared" si="4"/>
        <v>E1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10011001</v>
      </c>
      <c r="G11" s="3" t="str">
        <f t="shared" si="4"/>
        <v>99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0101</v>
      </c>
      <c r="G12" s="3" t="str">
        <f t="shared" si="4"/>
        <v>05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00010101</v>
      </c>
      <c r="G15" s="3" t="str">
        <f t="shared" ref="G15:G18" si="6">BIN2HEX(F15,2)</f>
        <v>15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01010101</v>
      </c>
      <c r="G16" s="3" t="str">
        <f t="shared" si="6"/>
        <v>55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10011001</v>
      </c>
      <c r="G17" s="3" t="str">
        <f t="shared" si="6"/>
        <v>99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1110</v>
      </c>
      <c r="G18" s="3" t="str">
        <f t="shared" si="6"/>
        <v>0E</v>
      </c>
    </row>
    <row r="20">
      <c r="A20" s="9" t="s">
        <v>12</v>
      </c>
      <c r="B20" s="10" t="str">
        <f>D24</f>
        <v>011100010111000111110101010001010101110011010101</v>
      </c>
      <c r="C20" s="10"/>
      <c r="D20" s="10"/>
    </row>
    <row r="21">
      <c r="A21" s="6" t="s">
        <v>147</v>
      </c>
      <c r="B21" s="7" t="str">
        <f>F6&amp;H6</f>
        <v>01010111111000011001100101010001010101010101100110011110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011100010111000111110101010001010101110011010101</v>
      </c>
      <c r="E24" s="1">
        <v>1.0</v>
      </c>
      <c r="F24" s="3" t="str">
        <f t="shared" ref="F24:F30" si="9">MID($B$20,(E24-1)*8+1,8)</f>
        <v>01110001</v>
      </c>
      <c r="G24" s="3" t="str">
        <f t="shared" ref="G24:G30" si="10">BIN2HEX(F24,2)</f>
        <v>71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11100010111000111110101010001010101110011010101</v>
      </c>
      <c r="E25" s="1">
        <v>2.0</v>
      </c>
      <c r="F25" s="3" t="str">
        <f t="shared" si="9"/>
        <v>01110001</v>
      </c>
      <c r="G25" s="3" t="str">
        <f t="shared" si="10"/>
        <v>71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1100010111000111110101010001010101110011010101</v>
      </c>
      <c r="E26" s="1">
        <v>3.0</v>
      </c>
      <c r="F26" s="3" t="str">
        <f t="shared" si="9"/>
        <v>11110101</v>
      </c>
      <c r="G26" s="3" t="str">
        <f t="shared" si="10"/>
        <v>F5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100010111000111110101010001010101110011010101</v>
      </c>
      <c r="E27" s="1">
        <v>4.0</v>
      </c>
      <c r="F27" s="3" t="str">
        <f t="shared" si="9"/>
        <v>01000101</v>
      </c>
      <c r="G27" s="3" t="str">
        <f t="shared" si="10"/>
        <v>45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00010111000111110101010001010101110011010101</v>
      </c>
      <c r="E28" s="1">
        <v>5.0</v>
      </c>
      <c r="F28" s="3" t="str">
        <f t="shared" si="9"/>
        <v>01011100</v>
      </c>
      <c r="G28" s="3" t="str">
        <f t="shared" si="10"/>
        <v>5C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0010111000111110101010001010101110011010101</v>
      </c>
      <c r="E29" s="1">
        <v>6.0</v>
      </c>
      <c r="F29" s="3" t="str">
        <f t="shared" si="9"/>
        <v>11010101</v>
      </c>
      <c r="G29" s="3" t="str">
        <f t="shared" si="10"/>
        <v>D5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010111000111110101010001010101110011010101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10111000111110101010001010101110011010101</v>
      </c>
    </row>
    <row r="32">
      <c r="A32" s="8">
        <v>9.0</v>
      </c>
      <c r="B32" s="8">
        <v>15.0</v>
      </c>
      <c r="C32" s="7" t="str">
        <f t="shared" si="7"/>
        <v>0</v>
      </c>
      <c r="D32" s="7" t="str">
        <f t="shared" si="8"/>
        <v>0111000111110101010001010101110011010101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111000111110101010001010101110011010101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11000111110101010001010101110011010101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1000111110101010001010101110011010101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000111110101010001010101110011010101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00111110101010001010101110011010101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0111110101010001010101110011010101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111110101010001010101110011010101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11110101010001010101110011010101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1110101010001010101110011010101</v>
      </c>
    </row>
    <row r="42">
      <c r="A42" s="8">
        <v>19.0</v>
      </c>
      <c r="B42" s="8">
        <v>16.0</v>
      </c>
      <c r="C42" s="7" t="str">
        <f t="shared" si="7"/>
        <v>1</v>
      </c>
      <c r="D42" s="7" t="str">
        <f t="shared" si="8"/>
        <v>110101010001010101110011010101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10101010001010101110011010101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0101010001010101110011010101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101010001010101110011010101</v>
      </c>
    </row>
    <row r="46">
      <c r="A46" s="8">
        <v>23.0</v>
      </c>
      <c r="B46" s="8">
        <v>13.0</v>
      </c>
      <c r="C46" s="7" t="str">
        <f t="shared" si="7"/>
        <v>0</v>
      </c>
      <c r="D46" s="7" t="str">
        <f t="shared" si="8"/>
        <v>01010001010101110011010101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1010001010101110011010101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010001010101110011010101</v>
      </c>
    </row>
    <row r="49">
      <c r="A49" s="8">
        <v>26.0</v>
      </c>
      <c r="B49" s="8">
        <v>52.0</v>
      </c>
      <c r="C49" s="7" t="str">
        <f t="shared" si="7"/>
        <v>1</v>
      </c>
      <c r="D49" s="7" t="str">
        <f t="shared" si="8"/>
        <v>10001010101110011010101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0001010101110011010101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001010101110011010101</v>
      </c>
    </row>
    <row r="52">
      <c r="A52" s="8">
        <v>29.0</v>
      </c>
      <c r="B52" s="8">
        <v>47.0</v>
      </c>
      <c r="C52" s="7" t="str">
        <f t="shared" si="7"/>
        <v>0</v>
      </c>
      <c r="D52" s="7" t="str">
        <f t="shared" si="8"/>
        <v>01010101110011010101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1010101110011010101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010101110011010101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10101110011010101</v>
      </c>
    </row>
    <row r="56">
      <c r="A56" s="8">
        <v>33.0</v>
      </c>
      <c r="B56" s="8">
        <v>51.0</v>
      </c>
      <c r="C56" s="7" t="str">
        <f t="shared" si="7"/>
        <v>0</v>
      </c>
      <c r="D56" s="7" t="str">
        <f t="shared" si="8"/>
        <v>0101110011010101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101110011010101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01110011010101</v>
      </c>
    </row>
    <row r="59">
      <c r="A59" s="8">
        <v>36.0</v>
      </c>
      <c r="B59" s="8">
        <v>48.0</v>
      </c>
      <c r="C59" s="7" t="str">
        <f t="shared" si="7"/>
        <v>1</v>
      </c>
      <c r="D59" s="7" t="str">
        <f t="shared" si="8"/>
        <v>1110011010101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110011010101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10011010101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0011010101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011010101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11010101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1010101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010101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10101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0101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193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0101011111100001100110010101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01010111</v>
      </c>
      <c r="C3" s="3" t="str">
        <f t="shared" ref="C3:C9" si="2">BIN2HEX(B3,2)</f>
        <v>57</v>
      </c>
      <c r="E3" s="6" t="s">
        <v>135</v>
      </c>
      <c r="F3" s="7" t="str">
        <f>RIGHT($B$1,28)</f>
        <v>0001010101010101100110011110</v>
      </c>
      <c r="I3" s="6">
        <v>2.0</v>
      </c>
      <c r="J3" s="6">
        <v>1.0</v>
      </c>
    </row>
    <row r="4">
      <c r="A4" s="1">
        <v>2.0</v>
      </c>
      <c r="B4" s="3" t="str">
        <f t="shared" si="1"/>
        <v>11100001</v>
      </c>
      <c r="C4" s="3" t="str">
        <f t="shared" si="2"/>
        <v>E1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10011001</v>
      </c>
      <c r="C5" s="3" t="str">
        <f t="shared" si="2"/>
        <v>99</v>
      </c>
      <c r="E5" s="6" t="s">
        <v>137</v>
      </c>
      <c r="F5" s="6" t="str">
        <f>F2</f>
        <v>0101011111100001100110010101</v>
      </c>
      <c r="G5" s="6" t="s">
        <v>139</v>
      </c>
      <c r="H5" s="7" t="str">
        <f>F3</f>
        <v>0001010101010101100110011110</v>
      </c>
      <c r="I5" s="6">
        <v>4.0</v>
      </c>
      <c r="J5" s="6">
        <v>2.0</v>
      </c>
    </row>
    <row r="6">
      <c r="A6" s="1">
        <v>4.0</v>
      </c>
      <c r="B6" s="3" t="str">
        <f t="shared" si="1"/>
        <v>01010001</v>
      </c>
      <c r="C6" s="3" t="str">
        <f t="shared" si="2"/>
        <v>51</v>
      </c>
      <c r="E6" s="6" t="s">
        <v>141</v>
      </c>
      <c r="F6" s="6" t="s">
        <v>194</v>
      </c>
      <c r="G6" s="6" t="s">
        <v>143</v>
      </c>
      <c r="H6" s="6" t="s">
        <v>195</v>
      </c>
      <c r="I6" s="6">
        <v>5.0</v>
      </c>
      <c r="J6" s="6">
        <v>2.0</v>
      </c>
    </row>
    <row r="7">
      <c r="A7" s="1">
        <v>5.0</v>
      </c>
      <c r="B7" s="3" t="str">
        <f t="shared" si="1"/>
        <v>01010101</v>
      </c>
      <c r="C7" s="3" t="str">
        <f t="shared" si="2"/>
        <v>55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01011001</v>
      </c>
      <c r="C8" s="3" t="str">
        <f t="shared" si="2"/>
        <v>59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10011110</v>
      </c>
      <c r="C9" s="3" t="str">
        <f t="shared" si="2"/>
        <v>9E</v>
      </c>
      <c r="E9" s="1">
        <v>1.0</v>
      </c>
      <c r="F9" s="3" t="str">
        <f t="shared" ref="F9:F12" si="3">MID($F$6,(E9-1)*8+1,8)</f>
        <v>01011111</v>
      </c>
      <c r="G9" s="3" t="str">
        <f t="shared" ref="G9:G12" si="4">BIN2HEX(F9,2)</f>
        <v>5F</v>
      </c>
      <c r="I9" s="6">
        <v>8.0</v>
      </c>
      <c r="J9" s="6">
        <v>2.0</v>
      </c>
    </row>
    <row r="10">
      <c r="E10" s="1">
        <v>2.0</v>
      </c>
      <c r="F10" s="3" t="str">
        <f t="shared" si="3"/>
        <v>10000110</v>
      </c>
      <c r="G10" s="3" t="str">
        <f t="shared" si="4"/>
        <v>86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01100101</v>
      </c>
      <c r="G11" s="3" t="str">
        <f t="shared" si="4"/>
        <v>65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0101</v>
      </c>
      <c r="G12" s="3" t="str">
        <f t="shared" si="4"/>
        <v>05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01010101</v>
      </c>
      <c r="G15" s="3" t="str">
        <f t="shared" ref="G15:G18" si="6">BIN2HEX(F15,2)</f>
        <v>55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01010110</v>
      </c>
      <c r="G16" s="3" t="str">
        <f t="shared" si="6"/>
        <v>56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01100111</v>
      </c>
      <c r="G17" s="3" t="str">
        <f t="shared" si="6"/>
        <v>67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1000</v>
      </c>
      <c r="G18" s="3" t="str">
        <f t="shared" si="6"/>
        <v>08</v>
      </c>
    </row>
    <row r="20">
      <c r="A20" s="9" t="s">
        <v>12</v>
      </c>
      <c r="B20" s="10" t="str">
        <f>D24</f>
        <v>100101011100010111010001010010111000000011111101</v>
      </c>
      <c r="C20" s="10"/>
      <c r="D20" s="10"/>
    </row>
    <row r="21">
      <c r="A21" s="6" t="s">
        <v>147</v>
      </c>
      <c r="B21" s="7" t="str">
        <f>F6&amp;H6</f>
        <v>01011111100001100110010101010101010101010110011001111000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1</v>
      </c>
      <c r="D24" s="7" t="str">
        <f t="shared" ref="D24:D69" si="8">C24&amp;D25</f>
        <v>100101011100010111010001010010111000000011111101</v>
      </c>
      <c r="E24" s="1">
        <v>1.0</v>
      </c>
      <c r="F24" s="3" t="str">
        <f t="shared" ref="F24:F30" si="9">MID($B$20,(E24-1)*8+1,8)</f>
        <v>10010101</v>
      </c>
      <c r="G24" s="3" t="str">
        <f t="shared" ref="G24:G30" si="10">BIN2HEX(F24,2)</f>
        <v>95</v>
      </c>
      <c r="H24" s="3"/>
    </row>
    <row r="25">
      <c r="A25" s="8">
        <v>2.0</v>
      </c>
      <c r="B25" s="8">
        <v>17.0</v>
      </c>
      <c r="C25" s="7" t="str">
        <f t="shared" si="7"/>
        <v>0</v>
      </c>
      <c r="D25" s="7" t="str">
        <f t="shared" si="8"/>
        <v>00101011100010111010001010010111000000011111101</v>
      </c>
      <c r="E25" s="1">
        <v>2.0</v>
      </c>
      <c r="F25" s="3" t="str">
        <f t="shared" si="9"/>
        <v>11000101</v>
      </c>
      <c r="G25" s="3" t="str">
        <f t="shared" si="10"/>
        <v>C5</v>
      </c>
      <c r="H25" s="3"/>
    </row>
    <row r="26">
      <c r="A26" s="8">
        <v>3.0</v>
      </c>
      <c r="B26" s="8">
        <v>11.0</v>
      </c>
      <c r="C26" s="7" t="str">
        <f t="shared" si="7"/>
        <v>0</v>
      </c>
      <c r="D26" s="7" t="str">
        <f t="shared" si="8"/>
        <v>0101011100010111010001010010111000000011111101</v>
      </c>
      <c r="E26" s="1">
        <v>3.0</v>
      </c>
      <c r="F26" s="3" t="str">
        <f t="shared" si="9"/>
        <v>11010001</v>
      </c>
      <c r="G26" s="3" t="str">
        <f t="shared" si="10"/>
        <v>D1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101011100010111010001010010111000000011111101</v>
      </c>
      <c r="E27" s="1">
        <v>4.0</v>
      </c>
      <c r="F27" s="3" t="str">
        <f t="shared" si="9"/>
        <v>01001011</v>
      </c>
      <c r="G27" s="3" t="str">
        <f t="shared" si="10"/>
        <v>4B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01011100010111010001010010111000000011111101</v>
      </c>
      <c r="E28" s="1">
        <v>5.0</v>
      </c>
      <c r="F28" s="3" t="str">
        <f t="shared" si="9"/>
        <v>10000000</v>
      </c>
      <c r="G28" s="3" t="str">
        <f t="shared" si="10"/>
        <v>80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1011100010111010001010010111000000011111101</v>
      </c>
      <c r="E29" s="1">
        <v>6.0</v>
      </c>
      <c r="F29" s="3" t="str">
        <f t="shared" si="9"/>
        <v>11111101</v>
      </c>
      <c r="G29" s="3" t="str">
        <f t="shared" si="10"/>
        <v>FD</v>
      </c>
      <c r="H29" s="3"/>
    </row>
    <row r="30">
      <c r="A30" s="8">
        <v>7.0</v>
      </c>
      <c r="B30" s="8">
        <v>3.0</v>
      </c>
      <c r="C30" s="7" t="str">
        <f t="shared" si="7"/>
        <v>0</v>
      </c>
      <c r="D30" s="7" t="str">
        <f t="shared" si="8"/>
        <v>011100010111010001010010111000000011111101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11100010111010001010010111000000011111101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1100010111010001010010111000000011111101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100010111010001010010111000000011111101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00010111010001010010111000000011111101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0010111010001010010111000000011111101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010111010001010010111000000011111101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10111010001010010111000000011111101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0111010001010010111000000011111101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111010001010010111000000011111101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11010001010010111000000011111101</v>
      </c>
    </row>
    <row r="41">
      <c r="A41" s="8">
        <v>18.0</v>
      </c>
      <c r="B41" s="8">
        <v>8.0</v>
      </c>
      <c r="C41" s="7" t="str">
        <f t="shared" si="7"/>
        <v>1</v>
      </c>
      <c r="D41" s="7" t="str">
        <f t="shared" si="8"/>
        <v>1010001010010111000000011111101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010001010010111000000011111101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10001010010111000000011111101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0001010010111000000011111101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001010010111000000011111101</v>
      </c>
    </row>
    <row r="46">
      <c r="A46" s="8">
        <v>23.0</v>
      </c>
      <c r="B46" s="8">
        <v>13.0</v>
      </c>
      <c r="C46" s="7" t="str">
        <f t="shared" si="7"/>
        <v>0</v>
      </c>
      <c r="D46" s="7" t="str">
        <f t="shared" si="8"/>
        <v>01010010111000000011111101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1010010111000000011111101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010010111000000011111101</v>
      </c>
    </row>
    <row r="49">
      <c r="A49" s="8">
        <v>26.0</v>
      </c>
      <c r="B49" s="8">
        <v>52.0</v>
      </c>
      <c r="C49" s="7" t="str">
        <f t="shared" si="7"/>
        <v>1</v>
      </c>
      <c r="D49" s="7" t="str">
        <f t="shared" si="8"/>
        <v>10010111000000011111101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0010111000000011111101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010111000000011111101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10111000000011111101</v>
      </c>
    </row>
    <row r="53">
      <c r="A53" s="8">
        <v>30.0</v>
      </c>
      <c r="B53" s="8">
        <v>55.0</v>
      </c>
      <c r="C53" s="7" t="str">
        <f t="shared" si="7"/>
        <v>0</v>
      </c>
      <c r="D53" s="7" t="str">
        <f t="shared" si="8"/>
        <v>0111000000011111101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111000000011111101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11000000011111101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1000000011111101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000000011111101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00000011111101</v>
      </c>
    </row>
    <row r="59">
      <c r="A59" s="8">
        <v>36.0</v>
      </c>
      <c r="B59" s="8">
        <v>48.0</v>
      </c>
      <c r="C59" s="7" t="str">
        <f t="shared" si="7"/>
        <v>0</v>
      </c>
      <c r="D59" s="7" t="str">
        <f t="shared" si="8"/>
        <v>0000011111101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000011111101</v>
      </c>
    </row>
    <row r="61">
      <c r="A61" s="8">
        <v>38.0</v>
      </c>
      <c r="B61" s="8">
        <v>49.0</v>
      </c>
      <c r="C61" s="7" t="str">
        <f t="shared" si="7"/>
        <v>0</v>
      </c>
      <c r="D61" s="7" t="str">
        <f t="shared" si="8"/>
        <v>00011111101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0011111101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011111101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11111101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1111101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111101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11101</v>
      </c>
    </row>
    <row r="68">
      <c r="A68" s="8">
        <v>45.0</v>
      </c>
      <c r="B68" s="8">
        <v>50.0</v>
      </c>
      <c r="C68" s="7" t="str">
        <f t="shared" si="7"/>
        <v>1</v>
      </c>
      <c r="D68" s="7" t="str">
        <f t="shared" si="8"/>
        <v>1101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196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0101111110000110011001010101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01011111</v>
      </c>
      <c r="C3" s="3" t="str">
        <f t="shared" ref="C3:C9" si="2">BIN2HEX(B3,2)</f>
        <v>5F</v>
      </c>
      <c r="E3" s="6" t="s">
        <v>135</v>
      </c>
      <c r="F3" s="7" t="str">
        <f>RIGHT($B$1,28)</f>
        <v>0101010101010110011001111000</v>
      </c>
      <c r="I3" s="6">
        <v>2.0</v>
      </c>
      <c r="J3" s="6">
        <v>1.0</v>
      </c>
    </row>
    <row r="4">
      <c r="A4" s="1">
        <v>2.0</v>
      </c>
      <c r="B4" s="3" t="str">
        <f t="shared" si="1"/>
        <v>10000110</v>
      </c>
      <c r="C4" s="3" t="str">
        <f t="shared" si="2"/>
        <v>86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01100101</v>
      </c>
      <c r="C5" s="3" t="str">
        <f t="shared" si="2"/>
        <v>65</v>
      </c>
      <c r="E5" s="6" t="s">
        <v>137</v>
      </c>
      <c r="F5" s="6" t="str">
        <f>F2</f>
        <v>0101111110000110011001010101</v>
      </c>
      <c r="G5" s="6" t="s">
        <v>139</v>
      </c>
      <c r="H5" s="7" t="str">
        <f>F3</f>
        <v>0101010101010110011001111000</v>
      </c>
      <c r="I5" s="6">
        <v>4.0</v>
      </c>
      <c r="J5" s="6">
        <v>2.0</v>
      </c>
    </row>
    <row r="6">
      <c r="A6" s="1">
        <v>4.0</v>
      </c>
      <c r="B6" s="3" t="str">
        <f t="shared" si="1"/>
        <v>01010101</v>
      </c>
      <c r="C6" s="3" t="str">
        <f t="shared" si="2"/>
        <v>55</v>
      </c>
      <c r="E6" s="6" t="s">
        <v>141</v>
      </c>
      <c r="F6" s="6" t="s">
        <v>197</v>
      </c>
      <c r="G6" s="6" t="s">
        <v>143</v>
      </c>
      <c r="H6" s="6" t="s">
        <v>198</v>
      </c>
      <c r="I6" s="6">
        <v>5.0</v>
      </c>
      <c r="J6" s="6">
        <v>2.0</v>
      </c>
    </row>
    <row r="7">
      <c r="A7" s="1">
        <v>5.0</v>
      </c>
      <c r="B7" s="3" t="str">
        <f t="shared" si="1"/>
        <v>01010101</v>
      </c>
      <c r="C7" s="3" t="str">
        <f t="shared" si="2"/>
        <v>55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01100110</v>
      </c>
      <c r="C8" s="3" t="str">
        <f t="shared" si="2"/>
        <v>66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01111000</v>
      </c>
      <c r="C9" s="3" t="str">
        <f t="shared" si="2"/>
        <v>78</v>
      </c>
      <c r="E9" s="1">
        <v>1.0</v>
      </c>
      <c r="F9" s="3" t="str">
        <f t="shared" ref="F9:F12" si="3">MID($F$6,(E9-1)*8+1,8)</f>
        <v>01111110</v>
      </c>
      <c r="G9" s="3" t="str">
        <f t="shared" ref="G9:G12" si="4">BIN2HEX(F9,2)</f>
        <v>7E</v>
      </c>
      <c r="I9" s="6">
        <v>8.0</v>
      </c>
      <c r="J9" s="6">
        <v>2.0</v>
      </c>
    </row>
    <row r="10">
      <c r="E10" s="1">
        <v>2.0</v>
      </c>
      <c r="F10" s="3" t="str">
        <f t="shared" si="3"/>
        <v>00011001</v>
      </c>
      <c r="G10" s="3" t="str">
        <f t="shared" si="4"/>
        <v>19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10010101</v>
      </c>
      <c r="G11" s="3" t="str">
        <f t="shared" si="4"/>
        <v>95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0101</v>
      </c>
      <c r="G12" s="3" t="str">
        <f t="shared" si="4"/>
        <v>05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01010101</v>
      </c>
      <c r="G15" s="3" t="str">
        <f t="shared" ref="G15:G18" si="6">BIN2HEX(F15,2)</f>
        <v>55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01011001</v>
      </c>
      <c r="G16" s="3" t="str">
        <f t="shared" si="6"/>
        <v>59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10011110</v>
      </c>
      <c r="G17" s="3" t="str">
        <f t="shared" si="6"/>
        <v>9E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0001</v>
      </c>
      <c r="G18" s="3" t="str">
        <f t="shared" si="6"/>
        <v>01</v>
      </c>
    </row>
    <row r="20">
      <c r="A20" s="9" t="s">
        <v>12</v>
      </c>
      <c r="B20" s="10" t="str">
        <f>D24</f>
        <v>010101110100001110110111100000111101110110001101</v>
      </c>
      <c r="C20" s="10"/>
      <c r="D20" s="10"/>
    </row>
    <row r="21">
      <c r="A21" s="6" t="s">
        <v>147</v>
      </c>
      <c r="B21" s="7" t="str">
        <f>F6&amp;H6</f>
        <v>01111110000110011001010101010101010101011001100111100001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0</v>
      </c>
      <c r="D24" s="7" t="str">
        <f t="shared" ref="D24:D69" si="8">C24&amp;D25</f>
        <v>010101110100001110110111100000111101110110001101</v>
      </c>
      <c r="E24" s="1">
        <v>1.0</v>
      </c>
      <c r="F24" s="3" t="str">
        <f t="shared" ref="F24:F30" si="9">MID($B$20,(E24-1)*8+1,8)</f>
        <v>01010111</v>
      </c>
      <c r="G24" s="3" t="str">
        <f t="shared" ref="G24:G30" si="10">BIN2HEX(F24,2)</f>
        <v>57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10101110100001110110111100000111101110110001101</v>
      </c>
      <c r="E25" s="1">
        <v>2.0</v>
      </c>
      <c r="F25" s="3" t="str">
        <f t="shared" si="9"/>
        <v>01000011</v>
      </c>
      <c r="G25" s="3" t="str">
        <f t="shared" si="10"/>
        <v>43</v>
      </c>
      <c r="H25" s="3"/>
    </row>
    <row r="26">
      <c r="A26" s="8">
        <v>3.0</v>
      </c>
      <c r="B26" s="8">
        <v>11.0</v>
      </c>
      <c r="C26" s="7" t="str">
        <f t="shared" si="7"/>
        <v>0</v>
      </c>
      <c r="D26" s="7" t="str">
        <f t="shared" si="8"/>
        <v>0101110100001110110111100000111101110110001101</v>
      </c>
      <c r="E26" s="1">
        <v>3.0</v>
      </c>
      <c r="F26" s="3" t="str">
        <f t="shared" si="9"/>
        <v>10110111</v>
      </c>
      <c r="G26" s="3" t="str">
        <f t="shared" si="10"/>
        <v>B7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101110100001110110111100000111101110110001101</v>
      </c>
      <c r="E27" s="1">
        <v>4.0</v>
      </c>
      <c r="F27" s="3" t="str">
        <f t="shared" si="9"/>
        <v>10000011</v>
      </c>
      <c r="G27" s="3" t="str">
        <f t="shared" si="10"/>
        <v>83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0</v>
      </c>
      <c r="D28" s="7" t="str">
        <f t="shared" si="8"/>
        <v>01110100001110110111100000111101110110001101</v>
      </c>
      <c r="E28" s="1">
        <v>5.0</v>
      </c>
      <c r="F28" s="3" t="str">
        <f t="shared" si="9"/>
        <v>11011101</v>
      </c>
      <c r="G28" s="3" t="str">
        <f t="shared" si="10"/>
        <v>DD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1110100001110110111100000111101110110001101</v>
      </c>
      <c r="E29" s="1">
        <v>6.0</v>
      </c>
      <c r="F29" s="3" t="str">
        <f t="shared" si="9"/>
        <v>10001101</v>
      </c>
      <c r="G29" s="3" t="str">
        <f t="shared" si="10"/>
        <v>8D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110100001110110111100000111101110110001101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10100001110110111100000111101110110001101</v>
      </c>
    </row>
    <row r="32">
      <c r="A32" s="8">
        <v>9.0</v>
      </c>
      <c r="B32" s="8">
        <v>15.0</v>
      </c>
      <c r="C32" s="7" t="str">
        <f t="shared" si="7"/>
        <v>0</v>
      </c>
      <c r="D32" s="7" t="str">
        <f t="shared" si="8"/>
        <v>0100001110110111100000111101110110001101</v>
      </c>
    </row>
    <row r="33">
      <c r="A33" s="8">
        <v>10.0</v>
      </c>
      <c r="B33" s="8">
        <v>6.0</v>
      </c>
      <c r="C33" s="7" t="str">
        <f t="shared" si="7"/>
        <v>1</v>
      </c>
      <c r="D33" s="7" t="str">
        <f t="shared" si="8"/>
        <v>100001110110111100000111101110110001101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00001110110111100000111101110110001101</v>
      </c>
    </row>
    <row r="35">
      <c r="A35" s="8">
        <v>12.0</v>
      </c>
      <c r="B35" s="8">
        <v>10.0</v>
      </c>
      <c r="C35" s="7" t="str">
        <f t="shared" si="7"/>
        <v>0</v>
      </c>
      <c r="D35" s="7" t="str">
        <f t="shared" si="8"/>
        <v>0001110110111100000111101110110001101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001110110111100000111101110110001101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01110110111100000111101110110001101</v>
      </c>
    </row>
    <row r="38">
      <c r="A38" s="8">
        <v>15.0</v>
      </c>
      <c r="B38" s="8">
        <v>12.0</v>
      </c>
      <c r="C38" s="7" t="str">
        <f t="shared" si="7"/>
        <v>1</v>
      </c>
      <c r="D38" s="7" t="str">
        <f t="shared" si="8"/>
        <v>1110110111100000111101110110001101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110110111100000111101110110001101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10110111100000111101110110001101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0110111100000111101110110001101</v>
      </c>
    </row>
    <row r="42">
      <c r="A42" s="8">
        <v>19.0</v>
      </c>
      <c r="B42" s="8">
        <v>16.0</v>
      </c>
      <c r="C42" s="7" t="str">
        <f t="shared" si="7"/>
        <v>1</v>
      </c>
      <c r="D42" s="7" t="str">
        <f t="shared" si="8"/>
        <v>110111100000111101110110001101</v>
      </c>
    </row>
    <row r="43">
      <c r="A43" s="8">
        <v>20.0</v>
      </c>
      <c r="B43" s="8">
        <v>7.0</v>
      </c>
      <c r="C43" s="7" t="str">
        <f t="shared" si="7"/>
        <v>1</v>
      </c>
      <c r="D43" s="7" t="str">
        <f t="shared" si="8"/>
        <v>10111100000111101110110001101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0111100000111101110110001101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111100000111101110110001101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11100000111101110110001101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1100000111101110110001101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100000111101110110001101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00000111101110110001101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0000111101110110001101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000111101110110001101</v>
      </c>
    </row>
    <row r="52">
      <c r="A52" s="8">
        <v>29.0</v>
      </c>
      <c r="B52" s="8">
        <v>47.0</v>
      </c>
      <c r="C52" s="7" t="str">
        <f t="shared" si="7"/>
        <v>0</v>
      </c>
      <c r="D52" s="7" t="str">
        <f t="shared" si="8"/>
        <v>00111101110110001101</v>
      </c>
    </row>
    <row r="53">
      <c r="A53" s="8">
        <v>30.0</v>
      </c>
      <c r="B53" s="8">
        <v>55.0</v>
      </c>
      <c r="C53" s="7" t="str">
        <f t="shared" si="7"/>
        <v>0</v>
      </c>
      <c r="D53" s="7" t="str">
        <f t="shared" si="8"/>
        <v>0111101110110001101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111101110110001101</v>
      </c>
    </row>
    <row r="55">
      <c r="A55" s="8">
        <v>32.0</v>
      </c>
      <c r="B55" s="8">
        <v>40.0</v>
      </c>
      <c r="C55" s="7" t="str">
        <f t="shared" si="7"/>
        <v>1</v>
      </c>
      <c r="D55" s="7" t="str">
        <f t="shared" si="8"/>
        <v>11101110110001101</v>
      </c>
    </row>
    <row r="56">
      <c r="A56" s="8">
        <v>33.0</v>
      </c>
      <c r="B56" s="8">
        <v>51.0</v>
      </c>
      <c r="C56" s="7" t="str">
        <f t="shared" si="7"/>
        <v>1</v>
      </c>
      <c r="D56" s="7" t="str">
        <f t="shared" si="8"/>
        <v>1101110110001101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101110110001101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01110110001101</v>
      </c>
    </row>
    <row r="59">
      <c r="A59" s="8">
        <v>36.0</v>
      </c>
      <c r="B59" s="8">
        <v>48.0</v>
      </c>
      <c r="C59" s="7" t="str">
        <f t="shared" si="7"/>
        <v>1</v>
      </c>
      <c r="D59" s="7" t="str">
        <f t="shared" si="8"/>
        <v>1110110001101</v>
      </c>
    </row>
    <row r="60">
      <c r="A60" s="8">
        <v>37.0</v>
      </c>
      <c r="B60" s="8">
        <v>44.0</v>
      </c>
      <c r="C60" s="7" t="str">
        <f t="shared" si="7"/>
        <v>1</v>
      </c>
      <c r="D60" s="7" t="str">
        <f t="shared" si="8"/>
        <v>110110001101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10110001101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0110001101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110001101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10001101</v>
      </c>
    </row>
    <row r="65">
      <c r="A65" s="8">
        <v>42.0</v>
      </c>
      <c r="B65" s="8">
        <v>53.0</v>
      </c>
      <c r="C65" s="7" t="str">
        <f t="shared" si="7"/>
        <v>0</v>
      </c>
      <c r="D65" s="7" t="str">
        <f t="shared" si="8"/>
        <v>0001101</v>
      </c>
    </row>
    <row r="66">
      <c r="A66" s="8">
        <v>43.0</v>
      </c>
      <c r="B66" s="8">
        <v>46.0</v>
      </c>
      <c r="C66" s="7" t="str">
        <f t="shared" si="7"/>
        <v>0</v>
      </c>
      <c r="D66" s="7" t="str">
        <f t="shared" si="8"/>
        <v>001101</v>
      </c>
    </row>
    <row r="67">
      <c r="A67" s="8">
        <v>44.0</v>
      </c>
      <c r="B67" s="8">
        <v>42.0</v>
      </c>
      <c r="C67" s="7" t="str">
        <f t="shared" si="7"/>
        <v>0</v>
      </c>
      <c r="D67" s="7" t="str">
        <f t="shared" si="8"/>
        <v>01101</v>
      </c>
    </row>
    <row r="68">
      <c r="A68" s="8">
        <v>45.0</v>
      </c>
      <c r="B68" s="8">
        <v>50.0</v>
      </c>
      <c r="C68" s="7" t="str">
        <f t="shared" si="7"/>
        <v>1</v>
      </c>
      <c r="D68" s="7" t="str">
        <f t="shared" si="8"/>
        <v>1101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199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0111111000011001100101010101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01111110</v>
      </c>
      <c r="C3" s="3" t="str">
        <f t="shared" ref="C3:C9" si="2">BIN2HEX(B3,2)</f>
        <v>7E</v>
      </c>
      <c r="E3" s="6" t="s">
        <v>135</v>
      </c>
      <c r="F3" s="7" t="str">
        <f>RIGHT($B$1,28)</f>
        <v>0101010101011001100111100001</v>
      </c>
      <c r="I3" s="6">
        <v>2.0</v>
      </c>
      <c r="J3" s="6">
        <v>1.0</v>
      </c>
    </row>
    <row r="4">
      <c r="A4" s="1">
        <v>2.0</v>
      </c>
      <c r="B4" s="3" t="str">
        <f t="shared" si="1"/>
        <v>00011001</v>
      </c>
      <c r="C4" s="3" t="str">
        <f t="shared" si="2"/>
        <v>19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10010101</v>
      </c>
      <c r="C5" s="3" t="str">
        <f t="shared" si="2"/>
        <v>95</v>
      </c>
      <c r="E5" s="6" t="s">
        <v>137</v>
      </c>
      <c r="F5" s="6" t="str">
        <f>F2</f>
        <v>0111111000011001100101010101</v>
      </c>
      <c r="G5" s="6" t="s">
        <v>139</v>
      </c>
      <c r="H5" s="7" t="str">
        <f>F3</f>
        <v>0101010101011001100111100001</v>
      </c>
      <c r="I5" s="6">
        <v>4.0</v>
      </c>
      <c r="J5" s="6">
        <v>2.0</v>
      </c>
    </row>
    <row r="6">
      <c r="A6" s="1">
        <v>4.0</v>
      </c>
      <c r="B6" s="3" t="str">
        <f t="shared" si="1"/>
        <v>01010101</v>
      </c>
      <c r="C6" s="3" t="str">
        <f t="shared" si="2"/>
        <v>55</v>
      </c>
      <c r="E6" s="6" t="s">
        <v>141</v>
      </c>
      <c r="F6" s="6" t="s">
        <v>200</v>
      </c>
      <c r="G6" s="6" t="s">
        <v>143</v>
      </c>
      <c r="H6" s="6" t="s">
        <v>201</v>
      </c>
      <c r="I6" s="6">
        <v>5.0</v>
      </c>
      <c r="J6" s="6">
        <v>2.0</v>
      </c>
    </row>
    <row r="7">
      <c r="A7" s="1">
        <v>5.0</v>
      </c>
      <c r="B7" s="3" t="str">
        <f t="shared" si="1"/>
        <v>01010101</v>
      </c>
      <c r="C7" s="3" t="str">
        <f t="shared" si="2"/>
        <v>55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10011001</v>
      </c>
      <c r="C8" s="3" t="str">
        <f t="shared" si="2"/>
        <v>99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11100001</v>
      </c>
      <c r="C9" s="3" t="str">
        <f t="shared" si="2"/>
        <v>E1</v>
      </c>
      <c r="E9" s="1">
        <v>1.0</v>
      </c>
      <c r="F9" s="3" t="str">
        <f t="shared" ref="F9:F12" si="3">MID($F$6,(E9-1)*8+1,8)</f>
        <v>11111000</v>
      </c>
      <c r="G9" s="3" t="str">
        <f t="shared" ref="G9:G12" si="4">BIN2HEX(F9,2)</f>
        <v>F8</v>
      </c>
      <c r="I9" s="6">
        <v>8.0</v>
      </c>
      <c r="J9" s="6">
        <v>2.0</v>
      </c>
    </row>
    <row r="10">
      <c r="E10" s="1">
        <v>2.0</v>
      </c>
      <c r="F10" s="3" t="str">
        <f t="shared" si="3"/>
        <v>01100110</v>
      </c>
      <c r="G10" s="3" t="str">
        <f t="shared" si="4"/>
        <v>66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01010101</v>
      </c>
      <c r="G11" s="3" t="str">
        <f t="shared" si="4"/>
        <v>55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0101</v>
      </c>
      <c r="G12" s="3" t="str">
        <f t="shared" si="4"/>
        <v>05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01010101</v>
      </c>
      <c r="G15" s="3" t="str">
        <f t="shared" ref="G15:G18" si="6">BIN2HEX(F15,2)</f>
        <v>55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01100110</v>
      </c>
      <c r="G16" s="3" t="str">
        <f t="shared" si="6"/>
        <v>66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01111000</v>
      </c>
      <c r="G17" s="3" t="str">
        <f t="shared" si="6"/>
        <v>78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0101</v>
      </c>
      <c r="G18" s="3" t="str">
        <f t="shared" si="6"/>
        <v>05</v>
      </c>
    </row>
    <row r="20">
      <c r="A20" s="9" t="s">
        <v>12</v>
      </c>
      <c r="B20" s="10" t="str">
        <f>D24</f>
        <v>101111111001000110000101000010100001011110110101</v>
      </c>
      <c r="C20" s="10"/>
      <c r="D20" s="10"/>
    </row>
    <row r="21">
      <c r="A21" s="6" t="s">
        <v>147</v>
      </c>
      <c r="B21" s="7" t="str">
        <f>F6&amp;H6</f>
        <v>11111000011001100101010101010101010101100110011110000101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1</v>
      </c>
      <c r="D24" s="7" t="str">
        <f t="shared" ref="D24:D69" si="8">C24&amp;D25</f>
        <v>101111111001000110000101000010100001011110110101</v>
      </c>
      <c r="E24" s="1">
        <v>1.0</v>
      </c>
      <c r="F24" s="3" t="str">
        <f t="shared" ref="F24:F30" si="9">MID($B$20,(E24-1)*8+1,8)</f>
        <v>10111111</v>
      </c>
      <c r="G24" s="3" t="str">
        <f t="shared" ref="G24:G30" si="10">BIN2HEX(F24,2)</f>
        <v>BF</v>
      </c>
      <c r="H24" s="3"/>
    </row>
    <row r="25">
      <c r="A25" s="8">
        <v>2.0</v>
      </c>
      <c r="B25" s="8">
        <v>17.0</v>
      </c>
      <c r="C25" s="7" t="str">
        <f t="shared" si="7"/>
        <v>0</v>
      </c>
      <c r="D25" s="7" t="str">
        <f t="shared" si="8"/>
        <v>01111111001000110000101000010100001011110110101</v>
      </c>
      <c r="E25" s="1">
        <v>2.0</v>
      </c>
      <c r="F25" s="3" t="str">
        <f t="shared" si="9"/>
        <v>10010001</v>
      </c>
      <c r="G25" s="3" t="str">
        <f t="shared" si="10"/>
        <v>91</v>
      </c>
      <c r="H25" s="3"/>
    </row>
    <row r="26">
      <c r="A26" s="8">
        <v>3.0</v>
      </c>
      <c r="B26" s="8">
        <v>11.0</v>
      </c>
      <c r="C26" s="7" t="str">
        <f t="shared" si="7"/>
        <v>1</v>
      </c>
      <c r="D26" s="7" t="str">
        <f t="shared" si="8"/>
        <v>1111111001000110000101000010100001011110110101</v>
      </c>
      <c r="E26" s="1">
        <v>3.0</v>
      </c>
      <c r="F26" s="3" t="str">
        <f t="shared" si="9"/>
        <v>10000101</v>
      </c>
      <c r="G26" s="3" t="str">
        <f t="shared" si="10"/>
        <v>85</v>
      </c>
      <c r="H26" s="3"/>
    </row>
    <row r="27">
      <c r="A27" s="8">
        <v>4.0</v>
      </c>
      <c r="B27" s="8">
        <v>24.0</v>
      </c>
      <c r="C27" s="7" t="str">
        <f t="shared" si="7"/>
        <v>1</v>
      </c>
      <c r="D27" s="7" t="str">
        <f t="shared" si="8"/>
        <v>111111001000110000101000010100001011110110101</v>
      </c>
      <c r="E27" s="1">
        <v>4.0</v>
      </c>
      <c r="F27" s="3" t="str">
        <f t="shared" si="9"/>
        <v>00001010</v>
      </c>
      <c r="G27" s="3" t="str">
        <f t="shared" si="10"/>
        <v>0A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1</v>
      </c>
      <c r="D28" s="7" t="str">
        <f t="shared" si="8"/>
        <v>11111001000110000101000010100001011110110101</v>
      </c>
      <c r="E28" s="1">
        <v>5.0</v>
      </c>
      <c r="F28" s="3" t="str">
        <f t="shared" si="9"/>
        <v>00010111</v>
      </c>
      <c r="G28" s="3" t="str">
        <f t="shared" si="10"/>
        <v>17</v>
      </c>
      <c r="H28" s="3"/>
    </row>
    <row r="29">
      <c r="A29" s="8">
        <v>6.0</v>
      </c>
      <c r="B29" s="8">
        <v>5.0</v>
      </c>
      <c r="C29" s="7" t="str">
        <f t="shared" si="7"/>
        <v>1</v>
      </c>
      <c r="D29" s="7" t="str">
        <f t="shared" si="8"/>
        <v>1111001000110000101000010100001011110110101</v>
      </c>
      <c r="E29" s="1">
        <v>6.0</v>
      </c>
      <c r="F29" s="3" t="str">
        <f t="shared" si="9"/>
        <v>10110101</v>
      </c>
      <c r="G29" s="3" t="str">
        <f t="shared" si="10"/>
        <v>B5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111001000110000101000010100001011110110101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11001000110000101000010100001011110110101</v>
      </c>
    </row>
    <row r="32">
      <c r="A32" s="8">
        <v>9.0</v>
      </c>
      <c r="B32" s="8">
        <v>15.0</v>
      </c>
      <c r="C32" s="7" t="str">
        <f t="shared" si="7"/>
        <v>1</v>
      </c>
      <c r="D32" s="7" t="str">
        <f t="shared" si="8"/>
        <v>1001000110000101000010100001011110110101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001000110000101000010100001011110110101</v>
      </c>
    </row>
    <row r="34">
      <c r="A34" s="8">
        <v>11.0</v>
      </c>
      <c r="B34" s="8">
        <v>21.0</v>
      </c>
      <c r="C34" s="7" t="str">
        <f t="shared" si="7"/>
        <v>0</v>
      </c>
      <c r="D34" s="7" t="str">
        <f t="shared" si="8"/>
        <v>01000110000101000010100001011110110101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1000110000101000010100001011110110101</v>
      </c>
    </row>
    <row r="36">
      <c r="A36" s="8">
        <v>13.0</v>
      </c>
      <c r="B36" s="8">
        <v>23.0</v>
      </c>
      <c r="C36" s="7" t="str">
        <f t="shared" si="7"/>
        <v>0</v>
      </c>
      <c r="D36" s="7" t="str">
        <f t="shared" si="8"/>
        <v>000110000101000010100001011110110101</v>
      </c>
    </row>
    <row r="37">
      <c r="A37" s="8">
        <v>14.0</v>
      </c>
      <c r="B37" s="8">
        <v>19.0</v>
      </c>
      <c r="C37" s="7" t="str">
        <f t="shared" si="7"/>
        <v>0</v>
      </c>
      <c r="D37" s="7" t="str">
        <f t="shared" si="8"/>
        <v>00110000101000010100001011110110101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0110000101000010100001011110110101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110000101000010100001011110110101</v>
      </c>
    </row>
    <row r="40">
      <c r="A40" s="8">
        <v>17.0</v>
      </c>
      <c r="B40" s="8">
        <v>26.0</v>
      </c>
      <c r="C40" s="7" t="str">
        <f t="shared" si="7"/>
        <v>1</v>
      </c>
      <c r="D40" s="7" t="str">
        <f t="shared" si="8"/>
        <v>10000101000010100001011110110101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0000101000010100001011110110101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000101000010100001011110110101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00101000010100001011110110101</v>
      </c>
    </row>
    <row r="44">
      <c r="A44" s="8">
        <v>21.0</v>
      </c>
      <c r="B44" s="8">
        <v>27.0</v>
      </c>
      <c r="C44" s="7" t="str">
        <f t="shared" si="7"/>
        <v>0</v>
      </c>
      <c r="D44" s="7" t="str">
        <f t="shared" si="8"/>
        <v>0101000010100001011110110101</v>
      </c>
    </row>
    <row r="45">
      <c r="A45" s="8">
        <v>22.0</v>
      </c>
      <c r="B45" s="8">
        <v>20.0</v>
      </c>
      <c r="C45" s="7" t="str">
        <f t="shared" si="7"/>
        <v>1</v>
      </c>
      <c r="D45" s="7" t="str">
        <f t="shared" si="8"/>
        <v>101000010100001011110110101</v>
      </c>
    </row>
    <row r="46">
      <c r="A46" s="8">
        <v>23.0</v>
      </c>
      <c r="B46" s="8">
        <v>13.0</v>
      </c>
      <c r="C46" s="7" t="str">
        <f t="shared" si="7"/>
        <v>0</v>
      </c>
      <c r="D46" s="7" t="str">
        <f t="shared" si="8"/>
        <v>01000010100001011110110101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1000010100001011110110101</v>
      </c>
    </row>
    <row r="48">
      <c r="A48" s="8">
        <v>25.0</v>
      </c>
      <c r="B48" s="8">
        <v>41.0</v>
      </c>
      <c r="C48" s="7" t="str">
        <f t="shared" si="7"/>
        <v>0</v>
      </c>
      <c r="D48" s="7" t="str">
        <f t="shared" si="8"/>
        <v>000010100001011110110101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00010100001011110110101</v>
      </c>
    </row>
    <row r="50">
      <c r="A50" s="8">
        <v>27.0</v>
      </c>
      <c r="B50" s="8">
        <v>31.0</v>
      </c>
      <c r="C50" s="7" t="str">
        <f t="shared" si="7"/>
        <v>0</v>
      </c>
      <c r="D50" s="7" t="str">
        <f t="shared" si="8"/>
        <v>0010100001011110110101</v>
      </c>
    </row>
    <row r="51">
      <c r="A51" s="8">
        <v>28.0</v>
      </c>
      <c r="B51" s="8">
        <v>37.0</v>
      </c>
      <c r="C51" s="7" t="str">
        <f t="shared" si="7"/>
        <v>0</v>
      </c>
      <c r="D51" s="7" t="str">
        <f t="shared" si="8"/>
        <v>010100001011110110101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10100001011110110101</v>
      </c>
    </row>
    <row r="53">
      <c r="A53" s="8">
        <v>30.0</v>
      </c>
      <c r="B53" s="8">
        <v>55.0</v>
      </c>
      <c r="C53" s="7" t="str">
        <f t="shared" si="7"/>
        <v>0</v>
      </c>
      <c r="D53" s="7" t="str">
        <f t="shared" si="8"/>
        <v>0100001011110110101</v>
      </c>
    </row>
    <row r="54">
      <c r="A54" s="8">
        <v>31.0</v>
      </c>
      <c r="B54" s="8">
        <v>30.0</v>
      </c>
      <c r="C54" s="7" t="str">
        <f t="shared" si="7"/>
        <v>1</v>
      </c>
      <c r="D54" s="7" t="str">
        <f t="shared" si="8"/>
        <v>100001011110110101</v>
      </c>
    </row>
    <row r="55">
      <c r="A55" s="8">
        <v>32.0</v>
      </c>
      <c r="B55" s="8">
        <v>40.0</v>
      </c>
      <c r="C55" s="7" t="str">
        <f t="shared" si="7"/>
        <v>0</v>
      </c>
      <c r="D55" s="7" t="str">
        <f t="shared" si="8"/>
        <v>00001011110110101</v>
      </c>
    </row>
    <row r="56">
      <c r="A56" s="8">
        <v>33.0</v>
      </c>
      <c r="B56" s="8">
        <v>51.0</v>
      </c>
      <c r="C56" s="7" t="str">
        <f t="shared" si="7"/>
        <v>0</v>
      </c>
      <c r="D56" s="7" t="str">
        <f t="shared" si="8"/>
        <v>0001011110110101</v>
      </c>
    </row>
    <row r="57">
      <c r="A57" s="8">
        <v>34.0</v>
      </c>
      <c r="B57" s="8">
        <v>45.0</v>
      </c>
      <c r="C57" s="7" t="str">
        <f t="shared" si="7"/>
        <v>0</v>
      </c>
      <c r="D57" s="7" t="str">
        <f t="shared" si="8"/>
        <v>001011110110101</v>
      </c>
    </row>
    <row r="58">
      <c r="A58" s="8">
        <v>35.0</v>
      </c>
      <c r="B58" s="8">
        <v>33.0</v>
      </c>
      <c r="C58" s="7" t="str">
        <f t="shared" si="7"/>
        <v>0</v>
      </c>
      <c r="D58" s="7" t="str">
        <f t="shared" si="8"/>
        <v>01011110110101</v>
      </c>
    </row>
    <row r="59">
      <c r="A59" s="8">
        <v>36.0</v>
      </c>
      <c r="B59" s="8">
        <v>48.0</v>
      </c>
      <c r="C59" s="7" t="str">
        <f t="shared" si="7"/>
        <v>1</v>
      </c>
      <c r="D59" s="7" t="str">
        <f t="shared" si="8"/>
        <v>1011110110101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011110110101</v>
      </c>
    </row>
    <row r="61">
      <c r="A61" s="8">
        <v>38.0</v>
      </c>
      <c r="B61" s="8">
        <v>49.0</v>
      </c>
      <c r="C61" s="7" t="str">
        <f t="shared" si="7"/>
        <v>1</v>
      </c>
      <c r="D61" s="7" t="str">
        <f t="shared" si="8"/>
        <v>11110110101</v>
      </c>
    </row>
    <row r="62">
      <c r="A62" s="8">
        <v>39.0</v>
      </c>
      <c r="B62" s="8">
        <v>39.0</v>
      </c>
      <c r="C62" s="7" t="str">
        <f t="shared" si="7"/>
        <v>1</v>
      </c>
      <c r="D62" s="7" t="str">
        <f t="shared" si="8"/>
        <v>1110110101</v>
      </c>
    </row>
    <row r="63">
      <c r="A63" s="8">
        <v>40.0</v>
      </c>
      <c r="B63" s="8">
        <v>56.0</v>
      </c>
      <c r="C63" s="7" t="str">
        <f t="shared" si="7"/>
        <v>1</v>
      </c>
      <c r="D63" s="7" t="str">
        <f t="shared" si="8"/>
        <v>110110101</v>
      </c>
    </row>
    <row r="64">
      <c r="A64" s="8">
        <v>41.0</v>
      </c>
      <c r="B64" s="8">
        <v>34.0</v>
      </c>
      <c r="C64" s="7" t="str">
        <f t="shared" si="7"/>
        <v>1</v>
      </c>
      <c r="D64" s="7" t="str">
        <f t="shared" si="8"/>
        <v>10110101</v>
      </c>
    </row>
    <row r="65">
      <c r="A65" s="8">
        <v>42.0</v>
      </c>
      <c r="B65" s="8">
        <v>53.0</v>
      </c>
      <c r="C65" s="7" t="str">
        <f t="shared" si="7"/>
        <v>0</v>
      </c>
      <c r="D65" s="7" t="str">
        <f t="shared" si="8"/>
        <v>0110101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110101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10101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0101</v>
      </c>
    </row>
    <row r="69">
      <c r="A69" s="8">
        <v>46.0</v>
      </c>
      <c r="B69" s="8">
        <v>36.0</v>
      </c>
      <c r="C69" s="7" t="str">
        <f t="shared" si="7"/>
        <v>1</v>
      </c>
      <c r="D69" s="7" t="str">
        <f t="shared" si="8"/>
        <v>101</v>
      </c>
    </row>
    <row r="70">
      <c r="A70" s="8">
        <v>47.0</v>
      </c>
      <c r="B70" s="8">
        <v>29.0</v>
      </c>
      <c r="C70" s="7" t="str">
        <f t="shared" si="7"/>
        <v>0</v>
      </c>
      <c r="D70" s="7" t="str">
        <f>C70&amp;C71</f>
        <v>01</v>
      </c>
    </row>
    <row r="71">
      <c r="A71" s="8">
        <v>48.0</v>
      </c>
      <c r="B71" s="8">
        <v>32.0</v>
      </c>
      <c r="C71" s="7" t="str">
        <f t="shared" si="7"/>
        <v>1</v>
      </c>
    </row>
  </sheetData>
  <drawing r:id="rId1"/>
  <tableParts count="3">
    <tablePart r:id="rId5"/>
    <tablePart r:id="rId6"/>
    <tablePart r:id="rId7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44.38"/>
    <col customWidth="1" min="6" max="6" width="26.38"/>
    <col customWidth="1" min="8" max="8" width="26.38"/>
  </cols>
  <sheetData>
    <row r="1">
      <c r="A1" s="6" t="s">
        <v>162</v>
      </c>
      <c r="B1" s="6" t="s">
        <v>202</v>
      </c>
      <c r="I1" s="6" t="s">
        <v>132</v>
      </c>
      <c r="J1" s="6" t="s">
        <v>133</v>
      </c>
    </row>
    <row r="2">
      <c r="A2" s="1" t="s">
        <v>8</v>
      </c>
      <c r="B2" s="1" t="s">
        <v>8</v>
      </c>
      <c r="C2" s="1" t="s">
        <v>9</v>
      </c>
      <c r="E2" s="6" t="s">
        <v>134</v>
      </c>
      <c r="F2" s="7" t="str">
        <f>LEFT($B$1,28)</f>
        <v>1111100001100110010101010101</v>
      </c>
      <c r="I2" s="6">
        <v>1.0</v>
      </c>
      <c r="J2" s="6">
        <v>1.0</v>
      </c>
    </row>
    <row r="3">
      <c r="A3" s="1">
        <v>1.0</v>
      </c>
      <c r="B3" s="3" t="str">
        <f t="shared" ref="B3:B9" si="1">MID($B$1,(A3-1)*8+1,8)</f>
        <v>11111000</v>
      </c>
      <c r="C3" s="3" t="str">
        <f t="shared" ref="C3:C9" si="2">BIN2HEX(B3,2)</f>
        <v>F8</v>
      </c>
      <c r="E3" s="6" t="s">
        <v>135</v>
      </c>
      <c r="F3" s="7" t="str">
        <f>RIGHT($B$1,28)</f>
        <v>0101010101100110011110000101</v>
      </c>
      <c r="I3" s="6">
        <v>2.0</v>
      </c>
      <c r="J3" s="6">
        <v>1.0</v>
      </c>
    </row>
    <row r="4">
      <c r="A4" s="1">
        <v>2.0</v>
      </c>
      <c r="B4" s="3" t="str">
        <f t="shared" si="1"/>
        <v>01100110</v>
      </c>
      <c r="C4" s="3" t="str">
        <f t="shared" si="2"/>
        <v>66</v>
      </c>
      <c r="F4" s="6" t="s">
        <v>136</v>
      </c>
      <c r="I4" s="6">
        <v>3.0</v>
      </c>
      <c r="J4" s="6">
        <v>2.0</v>
      </c>
    </row>
    <row r="5">
      <c r="A5" s="1">
        <v>3.0</v>
      </c>
      <c r="B5" s="3" t="str">
        <f t="shared" si="1"/>
        <v>01010101</v>
      </c>
      <c r="C5" s="3" t="str">
        <f t="shared" si="2"/>
        <v>55</v>
      </c>
      <c r="E5" s="6" t="s">
        <v>137</v>
      </c>
      <c r="F5" s="6" t="str">
        <f>F2</f>
        <v>1111100001100110010101010101</v>
      </c>
      <c r="G5" s="6" t="s">
        <v>139</v>
      </c>
      <c r="H5" s="7" t="str">
        <f>F3</f>
        <v>0101010101100110011110000101</v>
      </c>
      <c r="I5" s="6">
        <v>4.0</v>
      </c>
      <c r="J5" s="6">
        <v>2.0</v>
      </c>
    </row>
    <row r="6">
      <c r="A6" s="1">
        <v>4.0</v>
      </c>
      <c r="B6" s="3" t="str">
        <f t="shared" si="1"/>
        <v>01010101</v>
      </c>
      <c r="C6" s="3" t="str">
        <f t="shared" si="2"/>
        <v>55</v>
      </c>
      <c r="E6" s="6" t="s">
        <v>141</v>
      </c>
      <c r="F6" s="6" t="s">
        <v>138</v>
      </c>
      <c r="G6" s="6" t="s">
        <v>143</v>
      </c>
      <c r="H6" s="6" t="s">
        <v>140</v>
      </c>
      <c r="I6" s="6">
        <v>5.0</v>
      </c>
      <c r="J6" s="6">
        <v>2.0</v>
      </c>
    </row>
    <row r="7">
      <c r="A7" s="1">
        <v>5.0</v>
      </c>
      <c r="B7" s="3" t="str">
        <f t="shared" si="1"/>
        <v>01010110</v>
      </c>
      <c r="C7" s="3" t="str">
        <f t="shared" si="2"/>
        <v>56</v>
      </c>
      <c r="F7" s="6" t="s">
        <v>145</v>
      </c>
      <c r="I7" s="6">
        <v>6.0</v>
      </c>
      <c r="J7" s="6">
        <v>2.0</v>
      </c>
    </row>
    <row r="8">
      <c r="A8" s="1">
        <v>6.0</v>
      </c>
      <c r="B8" s="3" t="str">
        <f t="shared" si="1"/>
        <v>01100111</v>
      </c>
      <c r="C8" s="3" t="str">
        <f t="shared" si="2"/>
        <v>67</v>
      </c>
      <c r="E8" s="1" t="s">
        <v>8</v>
      </c>
      <c r="F8" s="1" t="s">
        <v>8</v>
      </c>
      <c r="G8" s="1" t="s">
        <v>9</v>
      </c>
      <c r="I8" s="6">
        <v>7.0</v>
      </c>
      <c r="J8" s="6">
        <v>2.0</v>
      </c>
    </row>
    <row r="9">
      <c r="A9" s="1">
        <v>7.0</v>
      </c>
      <c r="B9" s="3" t="str">
        <f t="shared" si="1"/>
        <v>10000101</v>
      </c>
      <c r="C9" s="3" t="str">
        <f t="shared" si="2"/>
        <v>85</v>
      </c>
      <c r="E9" s="1">
        <v>1.0</v>
      </c>
      <c r="F9" s="3" t="str">
        <f t="shared" ref="F9:F12" si="3">MID($F$6,(E9-1)*8+1,8)</f>
        <v>11110000</v>
      </c>
      <c r="G9" s="3" t="str">
        <f t="shared" ref="G9:G12" si="4">BIN2HEX(F9,2)</f>
        <v>F0</v>
      </c>
      <c r="I9" s="6">
        <v>8.0</v>
      </c>
      <c r="J9" s="6">
        <v>2.0</v>
      </c>
    </row>
    <row r="10">
      <c r="E10" s="1">
        <v>2.0</v>
      </c>
      <c r="F10" s="3" t="str">
        <f t="shared" si="3"/>
        <v>11001100</v>
      </c>
      <c r="G10" s="3" t="str">
        <f t="shared" si="4"/>
        <v>CC</v>
      </c>
      <c r="I10" s="6">
        <v>9.0</v>
      </c>
      <c r="J10" s="6">
        <v>1.0</v>
      </c>
    </row>
    <row r="11">
      <c r="E11" s="1">
        <v>3.0</v>
      </c>
      <c r="F11" s="3" t="str">
        <f t="shared" si="3"/>
        <v>10101010</v>
      </c>
      <c r="G11" s="3" t="str">
        <f t="shared" si="4"/>
        <v>AA</v>
      </c>
      <c r="I11" s="6">
        <v>10.0</v>
      </c>
      <c r="J11" s="6">
        <v>2.0</v>
      </c>
    </row>
    <row r="12">
      <c r="E12" s="1">
        <v>4.0</v>
      </c>
      <c r="F12" s="3" t="str">
        <f t="shared" si="3"/>
        <v>1011</v>
      </c>
      <c r="G12" s="3" t="str">
        <f t="shared" si="4"/>
        <v>0B</v>
      </c>
      <c r="I12" s="6">
        <v>11.0</v>
      </c>
      <c r="J12" s="6">
        <v>2.0</v>
      </c>
    </row>
    <row r="13">
      <c r="E13" s="3"/>
      <c r="F13" s="1" t="s">
        <v>146</v>
      </c>
      <c r="G13" s="3"/>
      <c r="I13" s="6">
        <v>12.0</v>
      </c>
      <c r="J13" s="6">
        <v>2.0</v>
      </c>
    </row>
    <row r="14">
      <c r="E14" s="1" t="s">
        <v>8</v>
      </c>
      <c r="F14" s="1" t="s">
        <v>8</v>
      </c>
      <c r="G14" s="1" t="s">
        <v>9</v>
      </c>
      <c r="I14" s="6">
        <v>13.0</v>
      </c>
      <c r="J14" s="6">
        <v>2.0</v>
      </c>
    </row>
    <row r="15">
      <c r="E15" s="1">
        <v>1.0</v>
      </c>
      <c r="F15" s="3" t="str">
        <f t="shared" ref="F15:F18" si="5">MID($H$6,(E15-1)*8+1,8)</f>
        <v>10101010</v>
      </c>
      <c r="G15" s="3" t="str">
        <f t="shared" ref="G15:G18" si="6">BIN2HEX(F15,2)</f>
        <v>AA</v>
      </c>
      <c r="I15" s="6">
        <v>14.0</v>
      </c>
      <c r="J15" s="6">
        <v>2.0</v>
      </c>
    </row>
    <row r="16">
      <c r="E16" s="1">
        <v>2.0</v>
      </c>
      <c r="F16" s="3" t="str">
        <f t="shared" si="5"/>
        <v>11001100</v>
      </c>
      <c r="G16" s="3" t="str">
        <f t="shared" si="6"/>
        <v>CC</v>
      </c>
      <c r="I16" s="6">
        <v>15.0</v>
      </c>
      <c r="J16" s="6">
        <v>2.0</v>
      </c>
    </row>
    <row r="17">
      <c r="E17" s="1">
        <v>3.0</v>
      </c>
      <c r="F17" s="3" t="str">
        <f t="shared" si="5"/>
        <v>11110000</v>
      </c>
      <c r="G17" s="3" t="str">
        <f t="shared" si="6"/>
        <v>F0</v>
      </c>
      <c r="I17" s="6">
        <v>16.0</v>
      </c>
      <c r="J17" s="6">
        <v>1.0</v>
      </c>
    </row>
    <row r="18">
      <c r="E18" s="1">
        <v>4.0</v>
      </c>
      <c r="F18" s="3" t="str">
        <f t="shared" si="5"/>
        <v>1010</v>
      </c>
      <c r="G18" s="3" t="str">
        <f t="shared" si="6"/>
        <v>0A</v>
      </c>
    </row>
    <row r="20">
      <c r="A20" s="9" t="s">
        <v>12</v>
      </c>
      <c r="B20" s="10" t="str">
        <f>D24</f>
        <v>110010110011110100001011101111000111000001110010</v>
      </c>
      <c r="C20" s="10"/>
      <c r="D20" s="10"/>
    </row>
    <row r="21">
      <c r="A21" s="6" t="s">
        <v>147</v>
      </c>
      <c r="B21" s="7" t="str">
        <f>F6&amp;H6</f>
        <v>11110000110011001010101010111010101011001100111100001010</v>
      </c>
    </row>
    <row r="22">
      <c r="A22" s="6" t="s">
        <v>148</v>
      </c>
    </row>
    <row r="23">
      <c r="A23" s="6" t="s">
        <v>10</v>
      </c>
      <c r="B23" s="6" t="s">
        <v>2</v>
      </c>
      <c r="C23" s="6" t="s">
        <v>11</v>
      </c>
      <c r="E23" s="1" t="s">
        <v>8</v>
      </c>
      <c r="F23" s="1" t="s">
        <v>8</v>
      </c>
      <c r="G23" s="1" t="s">
        <v>9</v>
      </c>
      <c r="H23" s="3"/>
    </row>
    <row r="24">
      <c r="A24" s="8">
        <v>1.0</v>
      </c>
      <c r="B24" s="8">
        <v>14.0</v>
      </c>
      <c r="C24" s="7" t="str">
        <f t="shared" ref="C24:C71" si="7">MID($B$21,B24,1)</f>
        <v>1</v>
      </c>
      <c r="D24" s="7" t="str">
        <f t="shared" ref="D24:D69" si="8">C24&amp;D25</f>
        <v>110010110011110100001011101111000111000001110010</v>
      </c>
      <c r="E24" s="1">
        <v>1.0</v>
      </c>
      <c r="F24" s="3" t="str">
        <f t="shared" ref="F24:F30" si="9">MID($B$20,(E24-1)*8+1,8)</f>
        <v>11001011</v>
      </c>
      <c r="G24" s="3" t="str">
        <f t="shared" ref="G24:G30" si="10">BIN2HEX(F24,2)</f>
        <v>CB</v>
      </c>
      <c r="H24" s="3"/>
    </row>
    <row r="25">
      <c r="A25" s="8">
        <v>2.0</v>
      </c>
      <c r="B25" s="8">
        <v>17.0</v>
      </c>
      <c r="C25" s="7" t="str">
        <f t="shared" si="7"/>
        <v>1</v>
      </c>
      <c r="D25" s="7" t="str">
        <f t="shared" si="8"/>
        <v>10010110011110100001011101111000111000001110010</v>
      </c>
      <c r="E25" s="1">
        <v>2.0</v>
      </c>
      <c r="F25" s="3" t="str">
        <f t="shared" si="9"/>
        <v>00111101</v>
      </c>
      <c r="G25" s="3" t="str">
        <f t="shared" si="10"/>
        <v>3D</v>
      </c>
      <c r="H25" s="3"/>
    </row>
    <row r="26">
      <c r="A26" s="8">
        <v>3.0</v>
      </c>
      <c r="B26" s="8">
        <v>11.0</v>
      </c>
      <c r="C26" s="7" t="str">
        <f t="shared" si="7"/>
        <v>0</v>
      </c>
      <c r="D26" s="7" t="str">
        <f t="shared" si="8"/>
        <v>0010110011110100001011101111000111000001110010</v>
      </c>
      <c r="E26" s="1">
        <v>3.0</v>
      </c>
      <c r="F26" s="3" t="str">
        <f t="shared" si="9"/>
        <v>00001011</v>
      </c>
      <c r="G26" s="3" t="str">
        <f t="shared" si="10"/>
        <v>0B</v>
      </c>
      <c r="H26" s="3"/>
    </row>
    <row r="27">
      <c r="A27" s="8">
        <v>4.0</v>
      </c>
      <c r="B27" s="8">
        <v>24.0</v>
      </c>
      <c r="C27" s="7" t="str">
        <f t="shared" si="7"/>
        <v>0</v>
      </c>
      <c r="D27" s="7" t="str">
        <f t="shared" si="8"/>
        <v>010110011110100001011101111000111000001110010</v>
      </c>
      <c r="E27" s="1">
        <v>4.0</v>
      </c>
      <c r="F27" s="3" t="str">
        <f t="shared" si="9"/>
        <v>10111100</v>
      </c>
      <c r="G27" s="3" t="str">
        <f t="shared" si="10"/>
        <v>BC</v>
      </c>
      <c r="H27" s="1" t="s">
        <v>149</v>
      </c>
    </row>
    <row r="28">
      <c r="A28" s="8">
        <v>5.0</v>
      </c>
      <c r="B28" s="8">
        <v>1.0</v>
      </c>
      <c r="C28" s="7" t="str">
        <f t="shared" si="7"/>
        <v>1</v>
      </c>
      <c r="D28" s="7" t="str">
        <f t="shared" si="8"/>
        <v>10110011110100001011101111000111000001110010</v>
      </c>
      <c r="E28" s="1">
        <v>5.0</v>
      </c>
      <c r="F28" s="3" t="str">
        <f t="shared" si="9"/>
        <v>01110000</v>
      </c>
      <c r="G28" s="3" t="str">
        <f t="shared" si="10"/>
        <v>70</v>
      </c>
      <c r="H28" s="3"/>
    </row>
    <row r="29">
      <c r="A29" s="8">
        <v>6.0</v>
      </c>
      <c r="B29" s="8">
        <v>5.0</v>
      </c>
      <c r="C29" s="7" t="str">
        <f t="shared" si="7"/>
        <v>0</v>
      </c>
      <c r="D29" s="7" t="str">
        <f t="shared" si="8"/>
        <v>0110011110100001011101111000111000001110010</v>
      </c>
      <c r="E29" s="1">
        <v>6.0</v>
      </c>
      <c r="F29" s="3" t="str">
        <f t="shared" si="9"/>
        <v>01110010</v>
      </c>
      <c r="G29" s="3" t="str">
        <f t="shared" si="10"/>
        <v>72</v>
      </c>
      <c r="H29" s="3"/>
    </row>
    <row r="30">
      <c r="A30" s="8">
        <v>7.0</v>
      </c>
      <c r="B30" s="8">
        <v>3.0</v>
      </c>
      <c r="C30" s="7" t="str">
        <f t="shared" si="7"/>
        <v>1</v>
      </c>
      <c r="D30" s="7" t="str">
        <f t="shared" si="8"/>
        <v>110011110100001011101111000111000001110010</v>
      </c>
      <c r="E30" s="1">
        <v>7.0</v>
      </c>
      <c r="F30" s="3" t="str">
        <f t="shared" si="9"/>
        <v/>
      </c>
      <c r="G30" s="3" t="str">
        <f t="shared" si="10"/>
        <v>00</v>
      </c>
      <c r="H30" s="3"/>
    </row>
    <row r="31">
      <c r="A31" s="8">
        <v>8.0</v>
      </c>
      <c r="B31" s="8">
        <v>28.0</v>
      </c>
      <c r="C31" s="7" t="str">
        <f t="shared" si="7"/>
        <v>1</v>
      </c>
      <c r="D31" s="7" t="str">
        <f t="shared" si="8"/>
        <v>10011110100001011101111000111000001110010</v>
      </c>
    </row>
    <row r="32">
      <c r="A32" s="8">
        <v>9.0</v>
      </c>
      <c r="B32" s="8">
        <v>15.0</v>
      </c>
      <c r="C32" s="7" t="str">
        <f t="shared" si="7"/>
        <v>0</v>
      </c>
      <c r="D32" s="7" t="str">
        <f t="shared" si="8"/>
        <v>0011110100001011101111000111000001110010</v>
      </c>
    </row>
    <row r="33">
      <c r="A33" s="8">
        <v>10.0</v>
      </c>
      <c r="B33" s="8">
        <v>6.0</v>
      </c>
      <c r="C33" s="7" t="str">
        <f t="shared" si="7"/>
        <v>0</v>
      </c>
      <c r="D33" s="7" t="str">
        <f t="shared" si="8"/>
        <v>011110100001011101111000111000001110010</v>
      </c>
    </row>
    <row r="34">
      <c r="A34" s="8">
        <v>11.0</v>
      </c>
      <c r="B34" s="8">
        <v>21.0</v>
      </c>
      <c r="C34" s="7" t="str">
        <f t="shared" si="7"/>
        <v>1</v>
      </c>
      <c r="D34" s="7" t="str">
        <f t="shared" si="8"/>
        <v>11110100001011101111000111000001110010</v>
      </c>
    </row>
    <row r="35">
      <c r="A35" s="8">
        <v>12.0</v>
      </c>
      <c r="B35" s="8">
        <v>10.0</v>
      </c>
      <c r="C35" s="7" t="str">
        <f t="shared" si="7"/>
        <v>1</v>
      </c>
      <c r="D35" s="7" t="str">
        <f t="shared" si="8"/>
        <v>1110100001011101111000111000001110010</v>
      </c>
    </row>
    <row r="36">
      <c r="A36" s="8">
        <v>13.0</v>
      </c>
      <c r="B36" s="8">
        <v>23.0</v>
      </c>
      <c r="C36" s="7" t="str">
        <f t="shared" si="7"/>
        <v>1</v>
      </c>
      <c r="D36" s="7" t="str">
        <f t="shared" si="8"/>
        <v>110100001011101111000111000001110010</v>
      </c>
    </row>
    <row r="37">
      <c r="A37" s="8">
        <v>14.0</v>
      </c>
      <c r="B37" s="8">
        <v>19.0</v>
      </c>
      <c r="C37" s="7" t="str">
        <f t="shared" si="7"/>
        <v>1</v>
      </c>
      <c r="D37" s="7" t="str">
        <f t="shared" si="8"/>
        <v>10100001011101111000111000001110010</v>
      </c>
    </row>
    <row r="38">
      <c r="A38" s="8">
        <v>15.0</v>
      </c>
      <c r="B38" s="8">
        <v>12.0</v>
      </c>
      <c r="C38" s="7" t="str">
        <f t="shared" si="7"/>
        <v>0</v>
      </c>
      <c r="D38" s="7" t="str">
        <f t="shared" si="8"/>
        <v>0100001011101111000111000001110010</v>
      </c>
    </row>
    <row r="39">
      <c r="A39" s="8">
        <v>16.0</v>
      </c>
      <c r="B39" s="8">
        <v>4.0</v>
      </c>
      <c r="C39" s="7" t="str">
        <f t="shared" si="7"/>
        <v>1</v>
      </c>
      <c r="D39" s="7" t="str">
        <f t="shared" si="8"/>
        <v>100001011101111000111000001110010</v>
      </c>
    </row>
    <row r="40">
      <c r="A40" s="8">
        <v>17.0</v>
      </c>
      <c r="B40" s="8">
        <v>26.0</v>
      </c>
      <c r="C40" s="7" t="str">
        <f t="shared" si="7"/>
        <v>0</v>
      </c>
      <c r="D40" s="7" t="str">
        <f t="shared" si="8"/>
        <v>00001011101111000111000001110010</v>
      </c>
    </row>
    <row r="41">
      <c r="A41" s="8">
        <v>18.0</v>
      </c>
      <c r="B41" s="8">
        <v>8.0</v>
      </c>
      <c r="C41" s="7" t="str">
        <f t="shared" si="7"/>
        <v>0</v>
      </c>
      <c r="D41" s="7" t="str">
        <f t="shared" si="8"/>
        <v>0001011101111000111000001110010</v>
      </c>
    </row>
    <row r="42">
      <c r="A42" s="8">
        <v>19.0</v>
      </c>
      <c r="B42" s="8">
        <v>16.0</v>
      </c>
      <c r="C42" s="7" t="str">
        <f t="shared" si="7"/>
        <v>0</v>
      </c>
      <c r="D42" s="7" t="str">
        <f t="shared" si="8"/>
        <v>001011101111000111000001110010</v>
      </c>
    </row>
    <row r="43">
      <c r="A43" s="8">
        <v>20.0</v>
      </c>
      <c r="B43" s="8">
        <v>7.0</v>
      </c>
      <c r="C43" s="7" t="str">
        <f t="shared" si="7"/>
        <v>0</v>
      </c>
      <c r="D43" s="7" t="str">
        <f t="shared" si="8"/>
        <v>01011101111000111000001110010</v>
      </c>
    </row>
    <row r="44">
      <c r="A44" s="8">
        <v>21.0</v>
      </c>
      <c r="B44" s="8">
        <v>27.0</v>
      </c>
      <c r="C44" s="7" t="str">
        <f t="shared" si="7"/>
        <v>1</v>
      </c>
      <c r="D44" s="7" t="str">
        <f t="shared" si="8"/>
        <v>1011101111000111000001110010</v>
      </c>
    </row>
    <row r="45">
      <c r="A45" s="8">
        <v>22.0</v>
      </c>
      <c r="B45" s="8">
        <v>20.0</v>
      </c>
      <c r="C45" s="7" t="str">
        <f t="shared" si="7"/>
        <v>0</v>
      </c>
      <c r="D45" s="7" t="str">
        <f t="shared" si="8"/>
        <v>011101111000111000001110010</v>
      </c>
    </row>
    <row r="46">
      <c r="A46" s="8">
        <v>23.0</v>
      </c>
      <c r="B46" s="8">
        <v>13.0</v>
      </c>
      <c r="C46" s="7" t="str">
        <f t="shared" si="7"/>
        <v>1</v>
      </c>
      <c r="D46" s="7" t="str">
        <f t="shared" si="8"/>
        <v>11101111000111000001110010</v>
      </c>
    </row>
    <row r="47">
      <c r="A47" s="8">
        <v>24.0</v>
      </c>
      <c r="B47" s="8">
        <v>2.0</v>
      </c>
      <c r="C47" s="7" t="str">
        <f t="shared" si="7"/>
        <v>1</v>
      </c>
      <c r="D47" s="7" t="str">
        <f t="shared" si="8"/>
        <v>1101111000111000001110010</v>
      </c>
    </row>
    <row r="48">
      <c r="A48" s="8">
        <v>25.0</v>
      </c>
      <c r="B48" s="8">
        <v>41.0</v>
      </c>
      <c r="C48" s="7" t="str">
        <f t="shared" si="7"/>
        <v>1</v>
      </c>
      <c r="D48" s="7" t="str">
        <f t="shared" si="8"/>
        <v>101111000111000001110010</v>
      </c>
    </row>
    <row r="49">
      <c r="A49" s="8">
        <v>26.0</v>
      </c>
      <c r="B49" s="8">
        <v>52.0</v>
      </c>
      <c r="C49" s="7" t="str">
        <f t="shared" si="7"/>
        <v>0</v>
      </c>
      <c r="D49" s="7" t="str">
        <f t="shared" si="8"/>
        <v>01111000111000001110010</v>
      </c>
    </row>
    <row r="50">
      <c r="A50" s="8">
        <v>27.0</v>
      </c>
      <c r="B50" s="8">
        <v>31.0</v>
      </c>
      <c r="C50" s="7" t="str">
        <f t="shared" si="7"/>
        <v>1</v>
      </c>
      <c r="D50" s="7" t="str">
        <f t="shared" si="8"/>
        <v>1111000111000001110010</v>
      </c>
    </row>
    <row r="51">
      <c r="A51" s="8">
        <v>28.0</v>
      </c>
      <c r="B51" s="8">
        <v>37.0</v>
      </c>
      <c r="C51" s="7" t="str">
        <f t="shared" si="7"/>
        <v>1</v>
      </c>
      <c r="D51" s="7" t="str">
        <f t="shared" si="8"/>
        <v>111000111000001110010</v>
      </c>
    </row>
    <row r="52">
      <c r="A52" s="8">
        <v>29.0</v>
      </c>
      <c r="B52" s="8">
        <v>47.0</v>
      </c>
      <c r="C52" s="7" t="str">
        <f t="shared" si="7"/>
        <v>1</v>
      </c>
      <c r="D52" s="7" t="str">
        <f t="shared" si="8"/>
        <v>11000111000001110010</v>
      </c>
    </row>
    <row r="53">
      <c r="A53" s="8">
        <v>30.0</v>
      </c>
      <c r="B53" s="8">
        <v>55.0</v>
      </c>
      <c r="C53" s="7" t="str">
        <f t="shared" si="7"/>
        <v>1</v>
      </c>
      <c r="D53" s="7" t="str">
        <f t="shared" si="8"/>
        <v>1000111000001110010</v>
      </c>
    </row>
    <row r="54">
      <c r="A54" s="8">
        <v>31.0</v>
      </c>
      <c r="B54" s="8">
        <v>30.0</v>
      </c>
      <c r="C54" s="7" t="str">
        <f t="shared" si="7"/>
        <v>0</v>
      </c>
      <c r="D54" s="7" t="str">
        <f t="shared" si="8"/>
        <v>000111000001110010</v>
      </c>
    </row>
    <row r="55">
      <c r="A55" s="8">
        <v>32.0</v>
      </c>
      <c r="B55" s="8">
        <v>40.0</v>
      </c>
      <c r="C55" s="7" t="str">
        <f t="shared" si="7"/>
        <v>0</v>
      </c>
      <c r="D55" s="7" t="str">
        <f t="shared" si="8"/>
        <v>00111000001110010</v>
      </c>
    </row>
    <row r="56">
      <c r="A56" s="8">
        <v>33.0</v>
      </c>
      <c r="B56" s="8">
        <v>51.0</v>
      </c>
      <c r="C56" s="7" t="str">
        <f t="shared" si="7"/>
        <v>0</v>
      </c>
      <c r="D56" s="7" t="str">
        <f t="shared" si="8"/>
        <v>0111000001110010</v>
      </c>
    </row>
    <row r="57">
      <c r="A57" s="8">
        <v>34.0</v>
      </c>
      <c r="B57" s="8">
        <v>45.0</v>
      </c>
      <c r="C57" s="7" t="str">
        <f t="shared" si="7"/>
        <v>1</v>
      </c>
      <c r="D57" s="7" t="str">
        <f t="shared" si="8"/>
        <v>111000001110010</v>
      </c>
    </row>
    <row r="58">
      <c r="A58" s="8">
        <v>35.0</v>
      </c>
      <c r="B58" s="8">
        <v>33.0</v>
      </c>
      <c r="C58" s="7" t="str">
        <f t="shared" si="7"/>
        <v>1</v>
      </c>
      <c r="D58" s="7" t="str">
        <f t="shared" si="8"/>
        <v>11000001110010</v>
      </c>
    </row>
    <row r="59">
      <c r="A59" s="8">
        <v>36.0</v>
      </c>
      <c r="B59" s="8">
        <v>48.0</v>
      </c>
      <c r="C59" s="7" t="str">
        <f t="shared" si="7"/>
        <v>1</v>
      </c>
      <c r="D59" s="7" t="str">
        <f t="shared" si="8"/>
        <v>1000001110010</v>
      </c>
    </row>
    <row r="60">
      <c r="A60" s="8">
        <v>37.0</v>
      </c>
      <c r="B60" s="8">
        <v>44.0</v>
      </c>
      <c r="C60" s="7" t="str">
        <f t="shared" si="7"/>
        <v>0</v>
      </c>
      <c r="D60" s="7" t="str">
        <f t="shared" si="8"/>
        <v>000001110010</v>
      </c>
    </row>
    <row r="61">
      <c r="A61" s="8">
        <v>38.0</v>
      </c>
      <c r="B61" s="8">
        <v>49.0</v>
      </c>
      <c r="C61" s="7" t="str">
        <f t="shared" si="7"/>
        <v>0</v>
      </c>
      <c r="D61" s="7" t="str">
        <f t="shared" si="8"/>
        <v>00001110010</v>
      </c>
    </row>
    <row r="62">
      <c r="A62" s="8">
        <v>39.0</v>
      </c>
      <c r="B62" s="8">
        <v>39.0</v>
      </c>
      <c r="C62" s="7" t="str">
        <f t="shared" si="7"/>
        <v>0</v>
      </c>
      <c r="D62" s="7" t="str">
        <f t="shared" si="8"/>
        <v>0001110010</v>
      </c>
    </row>
    <row r="63">
      <c r="A63" s="8">
        <v>40.0</v>
      </c>
      <c r="B63" s="8">
        <v>56.0</v>
      </c>
      <c r="C63" s="7" t="str">
        <f t="shared" si="7"/>
        <v>0</v>
      </c>
      <c r="D63" s="7" t="str">
        <f t="shared" si="8"/>
        <v>001110010</v>
      </c>
    </row>
    <row r="64">
      <c r="A64" s="8">
        <v>41.0</v>
      </c>
      <c r="B64" s="8">
        <v>34.0</v>
      </c>
      <c r="C64" s="7" t="str">
        <f t="shared" si="7"/>
        <v>0</v>
      </c>
      <c r="D64" s="7" t="str">
        <f t="shared" si="8"/>
        <v>01110010</v>
      </c>
    </row>
    <row r="65">
      <c r="A65" s="8">
        <v>42.0</v>
      </c>
      <c r="B65" s="8">
        <v>53.0</v>
      </c>
      <c r="C65" s="7" t="str">
        <f t="shared" si="7"/>
        <v>1</v>
      </c>
      <c r="D65" s="7" t="str">
        <f t="shared" si="8"/>
        <v>1110010</v>
      </c>
    </row>
    <row r="66">
      <c r="A66" s="8">
        <v>43.0</v>
      </c>
      <c r="B66" s="8">
        <v>46.0</v>
      </c>
      <c r="C66" s="7" t="str">
        <f t="shared" si="7"/>
        <v>1</v>
      </c>
      <c r="D66" s="7" t="str">
        <f t="shared" si="8"/>
        <v>110010</v>
      </c>
    </row>
    <row r="67">
      <c r="A67" s="8">
        <v>44.0</v>
      </c>
      <c r="B67" s="8">
        <v>42.0</v>
      </c>
      <c r="C67" s="7" t="str">
        <f t="shared" si="7"/>
        <v>1</v>
      </c>
      <c r="D67" s="7" t="str">
        <f t="shared" si="8"/>
        <v>10010</v>
      </c>
    </row>
    <row r="68">
      <c r="A68" s="8">
        <v>45.0</v>
      </c>
      <c r="B68" s="8">
        <v>50.0</v>
      </c>
      <c r="C68" s="7" t="str">
        <f t="shared" si="7"/>
        <v>0</v>
      </c>
      <c r="D68" s="7" t="str">
        <f t="shared" si="8"/>
        <v>0010</v>
      </c>
    </row>
    <row r="69">
      <c r="A69" s="8">
        <v>46.0</v>
      </c>
      <c r="B69" s="8">
        <v>36.0</v>
      </c>
      <c r="C69" s="7" t="str">
        <f t="shared" si="7"/>
        <v>0</v>
      </c>
      <c r="D69" s="7" t="str">
        <f t="shared" si="8"/>
        <v>010</v>
      </c>
    </row>
    <row r="70">
      <c r="A70" s="8">
        <v>47.0</v>
      </c>
      <c r="B70" s="8">
        <v>29.0</v>
      </c>
      <c r="C70" s="7" t="str">
        <f t="shared" si="7"/>
        <v>1</v>
      </c>
      <c r="D70" s="7" t="str">
        <f>C70&amp;C71</f>
        <v>10</v>
      </c>
    </row>
    <row r="71">
      <c r="A71" s="8">
        <v>48.0</v>
      </c>
      <c r="B71" s="8">
        <v>32.0</v>
      </c>
      <c r="C71" s="7" t="str">
        <f t="shared" si="7"/>
        <v>0</v>
      </c>
    </row>
  </sheetData>
  <drawing r:id="rId1"/>
  <tableParts count="3">
    <tablePart r:id="rId5"/>
    <tablePart r:id="rId6"/>
    <tablePart r:id="rId7"/>
  </tableParts>
</worksheet>
</file>