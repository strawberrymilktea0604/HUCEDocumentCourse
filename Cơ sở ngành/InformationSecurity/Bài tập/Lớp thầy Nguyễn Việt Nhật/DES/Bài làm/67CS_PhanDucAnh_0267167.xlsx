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MyUserData\Desktop\"/>
    </mc:Choice>
  </mc:AlternateContent>
  <xr:revisionPtr revIDLastSave="0" documentId="13_ncr:1_{48B0D6FB-8686-4A90-A69F-CC85A95DFA0D}" xr6:coauthVersionLast="47" xr6:coauthVersionMax="47" xr10:uidLastSave="{00000000-0000-0000-0000-000000000000}"/>
  <bookViews>
    <workbookView xWindow="-108" yWindow="-108" windowWidth="23256" windowHeight="12576" xr2:uid="{CE69513C-D5B8-42FC-9565-5F6F725A8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2" i="1" l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21" i="1"/>
</calcChain>
</file>

<file path=xl/sharedStrings.xml><?xml version="1.0" encoding="utf-8"?>
<sst xmlns="http://schemas.openxmlformats.org/spreadsheetml/2006/main" count="262" uniqueCount="222">
  <si>
    <t>00123456789abcde</t>
  </si>
  <si>
    <t>0133457799bbcdff</t>
  </si>
  <si>
    <t>M</t>
  </si>
  <si>
    <t>K</t>
  </si>
  <si>
    <t xml:space="preserve">vị trí </t>
  </si>
  <si>
    <t>hexan</t>
  </si>
  <si>
    <t>binary</t>
  </si>
  <si>
    <t>b</t>
  </si>
  <si>
    <t>c</t>
  </si>
  <si>
    <t>d</t>
  </si>
  <si>
    <t>f</t>
  </si>
  <si>
    <t>0000</t>
  </si>
  <si>
    <t>0001</t>
  </si>
  <si>
    <t>0011</t>
  </si>
  <si>
    <t>0100</t>
  </si>
  <si>
    <t>0101</t>
  </si>
  <si>
    <t>0111</t>
  </si>
  <si>
    <t>1001</t>
  </si>
  <si>
    <t>1011</t>
  </si>
  <si>
    <t>1100</t>
  </si>
  <si>
    <t>1101</t>
  </si>
  <si>
    <t>1111</t>
  </si>
  <si>
    <t>vị trí</t>
  </si>
  <si>
    <t xml:space="preserve">hexan </t>
  </si>
  <si>
    <t>a</t>
  </si>
  <si>
    <t>e</t>
  </si>
  <si>
    <t>0010</t>
  </si>
  <si>
    <t>0110</t>
  </si>
  <si>
    <t>1000</t>
  </si>
  <si>
    <t>1010</t>
  </si>
  <si>
    <t>1110</t>
  </si>
  <si>
    <t>IP(M):</t>
  </si>
  <si>
    <t>1001 1000 1111 1110 1100 1100 0000 0000 1110 0000 0101 0100 1111 0000 1010 1010</t>
  </si>
  <si>
    <t>C0:</t>
  </si>
  <si>
    <t>1111 0000 1100 1100 1010 1010 1011</t>
  </si>
  <si>
    <t>D0:</t>
  </si>
  <si>
    <t>1010 1010 1100 1100 1111 0000 1010</t>
  </si>
  <si>
    <t>C1:</t>
  </si>
  <si>
    <t>1110 0001 1001 1001 0101 0101 0111</t>
  </si>
  <si>
    <t>E199557</t>
  </si>
  <si>
    <t>D1:</t>
  </si>
  <si>
    <t>0101 0101 1001 1001 1110 0001 0101</t>
  </si>
  <si>
    <t>5599E15</t>
  </si>
  <si>
    <t>56 bit:</t>
  </si>
  <si>
    <t>E1995575599E15</t>
  </si>
  <si>
    <t>K1:</t>
  </si>
  <si>
    <t>1B02EFDB49A5</t>
  </si>
  <si>
    <t>C2:</t>
  </si>
  <si>
    <t>1100 0011 0011 0010 1010 1010 1111</t>
  </si>
  <si>
    <t>C332AAF</t>
  </si>
  <si>
    <t>D2:</t>
  </si>
  <si>
    <t>1010 1011 0011 0011 1100 0010 1010</t>
  </si>
  <si>
    <t>AB33C2A</t>
  </si>
  <si>
    <t>56bit:</t>
  </si>
  <si>
    <t>C332AAFAB33C2A</t>
  </si>
  <si>
    <t>K2:</t>
  </si>
  <si>
    <t>69AED925EA66</t>
  </si>
  <si>
    <t>C3:</t>
  </si>
  <si>
    <t>0000 1100 1100 1010 1010 1011 1111</t>
  </si>
  <si>
    <t>0CCAABF</t>
  </si>
  <si>
    <t>D3:</t>
  </si>
  <si>
    <t>1010 1100 1100 1111 0000 1010 1010</t>
  </si>
  <si>
    <t>ACCF0AA</t>
  </si>
  <si>
    <t>0CCAABFACCF0AA</t>
  </si>
  <si>
    <t>K3:</t>
  </si>
  <si>
    <t>55FC8AB4ACD2</t>
  </si>
  <si>
    <t>C4:</t>
  </si>
  <si>
    <t>0011 0011 0010 1010 1010 1111 1100</t>
  </si>
  <si>
    <t>332AAFC</t>
  </si>
  <si>
    <t>D4:</t>
  </si>
  <si>
    <t>1011 0011 0011 1100 0010 1010 1010</t>
  </si>
  <si>
    <t>B33C2AA</t>
  </si>
  <si>
    <t>332AAFCB33C2AA</t>
  </si>
  <si>
    <t>K4:</t>
  </si>
  <si>
    <t>72ADD2AD8657</t>
  </si>
  <si>
    <t>C5:</t>
  </si>
  <si>
    <t>1100 1100 1010 1010 1011 1111 0000</t>
  </si>
  <si>
    <t>CCAABF0</t>
  </si>
  <si>
    <t>D5:</t>
  </si>
  <si>
    <t>1100 1100 1111 0000 1010 1010 1010</t>
  </si>
  <si>
    <t>CCF0AAA</t>
  </si>
  <si>
    <t>CCAABF0CCF0AAA</t>
  </si>
  <si>
    <t>K5:</t>
  </si>
  <si>
    <t>7CEC071FE6C2</t>
  </si>
  <si>
    <t>C6:</t>
  </si>
  <si>
    <t>0011 0010 1010 1010 1111 1100 0011</t>
  </si>
  <si>
    <t>32AAFC3</t>
  </si>
  <si>
    <t>D6</t>
  </si>
  <si>
    <t>0011 0011 1100 0010 1010 1010 1011</t>
  </si>
  <si>
    <t>33C2AAB</t>
  </si>
  <si>
    <t>32AAFC333C2AAB</t>
  </si>
  <si>
    <t>K6:</t>
  </si>
  <si>
    <t>63A51E3CC545</t>
  </si>
  <si>
    <t>C7:</t>
  </si>
  <si>
    <t>1100 1010 1010 1011 1111 0000 1100</t>
  </si>
  <si>
    <t>CAABF0C</t>
  </si>
  <si>
    <t>D7:</t>
  </si>
  <si>
    <t>1100 1111 0000 1010 1010 1010 1100</t>
  </si>
  <si>
    <t>CF0AAAC</t>
  </si>
  <si>
    <t>CAABF0CCF0AAAC</t>
  </si>
  <si>
    <t>K7:</t>
  </si>
  <si>
    <t>6C84B78AE4C6</t>
  </si>
  <si>
    <t>C8:</t>
  </si>
  <si>
    <t>0010 1010 1010 1111 1100 0011 0011</t>
  </si>
  <si>
    <t>2AAFC33</t>
  </si>
  <si>
    <t>D8:</t>
  </si>
  <si>
    <t>0011 1100 0010 1010 1010 1011 0011</t>
  </si>
  <si>
    <t>3C2AAB3</t>
  </si>
  <si>
    <t>2AAFC333C2AAB3</t>
  </si>
  <si>
    <t>K8:</t>
  </si>
  <si>
    <t xml:space="preserve">F7883AECE781 </t>
  </si>
  <si>
    <t>C9:</t>
  </si>
  <si>
    <t>0101 0101 0101 1111 1000 0110 0110</t>
  </si>
  <si>
    <t>555F866</t>
  </si>
  <si>
    <t>D9:</t>
  </si>
  <si>
    <t>0111 1000 0101 0101 0101 0110 0110</t>
  </si>
  <si>
    <t>555F8667855566</t>
  </si>
  <si>
    <t>K9:</t>
  </si>
  <si>
    <t>C0DBEB27B839</t>
  </si>
  <si>
    <t>C10:</t>
  </si>
  <si>
    <t>0101 0101 0111 1110 0001 1001 1001</t>
  </si>
  <si>
    <t>557E199</t>
  </si>
  <si>
    <t>D10:</t>
  </si>
  <si>
    <t>1110 0001 0101 0101 0101 1001 1001</t>
  </si>
  <si>
    <t>E155599</t>
  </si>
  <si>
    <t>557E199E155599</t>
  </si>
  <si>
    <t>K10:</t>
  </si>
  <si>
    <t>B1F347631D76 </t>
  </si>
  <si>
    <t>C11:</t>
  </si>
  <si>
    <t>0101 0101 1111 1000 0110 0110 0101</t>
  </si>
  <si>
    <t>55F8665</t>
  </si>
  <si>
    <t>D11:</t>
  </si>
  <si>
    <t>1000 0101 0101 0101 0110 0110 0111</t>
  </si>
  <si>
    <t>55F86658555667</t>
  </si>
  <si>
    <t>K11:</t>
  </si>
  <si>
    <t>215FC30D89BE</t>
  </si>
  <si>
    <t>C12:</t>
  </si>
  <si>
    <t>0101 0111 1110 0001 1001 1001 0101</t>
  </si>
  <si>
    <t>57E1995</t>
  </si>
  <si>
    <t>D12:</t>
  </si>
  <si>
    <t>0001 0101 0101 0101 1001 1001 1110</t>
  </si>
  <si>
    <t>155599E</t>
  </si>
  <si>
    <t>57E1995155599E</t>
  </si>
  <si>
    <t>K12:</t>
  </si>
  <si>
    <t>7171F5455CD5</t>
  </si>
  <si>
    <t>C13:</t>
  </si>
  <si>
    <t>0101 1111 1000 0110 0110 0101 0101</t>
  </si>
  <si>
    <t>5F86655</t>
  </si>
  <si>
    <t>D13:</t>
  </si>
  <si>
    <t>0101 0101 0101 0110 0110 0111 1000</t>
  </si>
  <si>
    <t>5F866555556678</t>
  </si>
  <si>
    <t>K13:</t>
  </si>
  <si>
    <t>95C5D14B80FD</t>
  </si>
  <si>
    <t>C14:</t>
  </si>
  <si>
    <t>0111 1110 0001 1001 1001 0101 0101</t>
  </si>
  <si>
    <t>7E19955</t>
  </si>
  <si>
    <t>D14:</t>
  </si>
  <si>
    <t>0101 0101 0101 1001 1001 1110 0001</t>
  </si>
  <si>
    <t>55599E1</t>
  </si>
  <si>
    <t>7E1995555599E1</t>
  </si>
  <si>
    <t>K14:</t>
  </si>
  <si>
    <t>5743B783DD8D</t>
  </si>
  <si>
    <t>C15:</t>
  </si>
  <si>
    <t>1111 1000 0110 0110 0101 0101 0101</t>
  </si>
  <si>
    <t>F866555</t>
  </si>
  <si>
    <t>D15:</t>
  </si>
  <si>
    <t>0101 0101 0110 0110 0111 1000 0101</t>
  </si>
  <si>
    <t>F8665555566785</t>
  </si>
  <si>
    <t>K15:</t>
  </si>
  <si>
    <t>BF91850A17B5</t>
  </si>
  <si>
    <t>C16:</t>
  </si>
  <si>
    <t>F0CCAAB</t>
  </si>
  <si>
    <t>D16:</t>
  </si>
  <si>
    <t>AACCF0A</t>
  </si>
  <si>
    <t>F0CCAABAACCF0A</t>
  </si>
  <si>
    <t>K16:</t>
  </si>
  <si>
    <t>CB3D0BBC7072</t>
  </si>
  <si>
    <t>PC-1:</t>
  </si>
  <si>
    <t>PC-2:</t>
  </si>
  <si>
    <t>Iteration Number</t>
  </si>
  <si>
    <t>Number Of Left Shift</t>
  </si>
  <si>
    <t>R0:</t>
  </si>
  <si>
    <t>1110 0000 0101 0100 1111 0000 1010 1010</t>
  </si>
  <si>
    <t>E054F0AA</t>
  </si>
  <si>
    <t>L0:</t>
  </si>
  <si>
    <t>1001 1000 1111 1110 1100 1100 0000 0000</t>
  </si>
  <si>
    <t>98FECC00</t>
  </si>
  <si>
    <t>E:</t>
  </si>
  <si>
    <t>E(R0):</t>
  </si>
  <si>
    <t>7002A97A1555</t>
  </si>
  <si>
    <t>XOR(E(R0), K1):</t>
  </si>
  <si>
    <t>0111 0000 0000 0010 1010 1001 0111 1010 0001 0101 0101 0101</t>
  </si>
  <si>
    <t>0001 1011 0000 0010 1110 1111 1101 1011 0100 1001 1010 0101</t>
  </si>
  <si>
    <t>6B0046A15FC0 :</t>
  </si>
  <si>
    <t>0110 1011 0000 0000 0100 0110 1010 0001 0101 1100 1111 0000</t>
  </si>
  <si>
    <t>Bảng S :</t>
  </si>
  <si>
    <t>Giá trị đầu vào :</t>
  </si>
  <si>
    <t>Giá trị đầu ra :</t>
  </si>
  <si>
    <t>S1</t>
  </si>
  <si>
    <t>011010</t>
  </si>
  <si>
    <t>S2</t>
  </si>
  <si>
    <t>S3</t>
  </si>
  <si>
    <t>000001</t>
  </si>
  <si>
    <t>D</t>
  </si>
  <si>
    <t>S4</t>
  </si>
  <si>
    <t>000110</t>
  </si>
  <si>
    <t>S5</t>
  </si>
  <si>
    <t>101000</t>
  </si>
  <si>
    <t>A</t>
  </si>
  <si>
    <t>S6</t>
  </si>
  <si>
    <t>010101</t>
  </si>
  <si>
    <t>S7</t>
  </si>
  <si>
    <t>S8</t>
  </si>
  <si>
    <t xml:space="preserve">f(R0, K1): </t>
  </si>
  <si>
    <t>95D3AD50</t>
  </si>
  <si>
    <t>Ln = R(n-1)</t>
  </si>
  <si>
    <t>Rn = L(n-1) XOR f(R(n-1), Kn)</t>
  </si>
  <si>
    <t>IP-1 :</t>
  </si>
  <si>
    <t>IP-1(R16, K16) :</t>
  </si>
  <si>
    <t>0001 1010 1011 1111 1111 0110 1001 1101 0101 1010 1001 0011 1110 1000 0000 1011</t>
  </si>
  <si>
    <t>C:</t>
  </si>
  <si>
    <t>1ABFF69D5A93E80B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</si>
</sst>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2" borderId="2" xfId="0" quotePrefix="1" applyFill="1" applyBorder="1" applyAlignment="1">
      <alignment horizontal="center"/>
    </xf>
    <xf numFmtId="0" fontId="0" fillId="0" borderId="1" xfId="0" applyBorder="1"/>
    <xf numFmtId="11" fontId="0" fillId="0" borderId="1" xfId="0" quotePrefix="1" applyNumberFormat="1" applyBorder="1"/>
    <xf numFmtId="0" fontId="0" fillId="0" borderId="1" xfId="0" applyBorder="1" applyAlignment="1">
      <alignment horizontal="left"/>
    </xf>
    <xf numFmtId="0" fontId="0" fillId="0" borderId="1" xfId="0" quotePrefix="1" applyBorder="1"/>
    <xf numFmtId="11" fontId="0" fillId="0" borderId="1" xfId="0" applyNumberFormat="1" applyBorder="1"/>
    <xf numFmtId="49" fontId="0" fillId="2" borderId="1" xfId="0" quotePrefix="1" applyNumberFormat="1" applyFill="1" applyBorder="1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0" fillId="0" borderId="3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12BA-A430-4531-ADD6-3307395C4C27}">
  <sheetPr codeName="Sheet1"/>
  <dimension ref="A1:AF167"/>
  <sheetViews>
    <sheetView tabSelected="1" topLeftCell="A8" zoomScale="79" zoomScaleNormal="79" workbookViewId="0">
      <selection activeCell="N153" sqref="N153"/>
    </sheetView>
  </sheetViews>
  <sheetFormatPr defaultRowHeight="14.4" x14ac:dyDescent="0.3"/>
  <cols>
    <col min="2" max="2" width="20.33203125" customWidth="1"/>
    <col min="6" max="6" width="24.109375" customWidth="1"/>
  </cols>
  <sheetData>
    <row r="1" spans="1:7" x14ac:dyDescent="0.3">
      <c r="A1" s="2" t="s">
        <v>3</v>
      </c>
      <c r="B1" s="2" t="s">
        <v>1</v>
      </c>
      <c r="C1" s="2"/>
      <c r="D1" s="1"/>
      <c r="E1" s="2" t="s">
        <v>2</v>
      </c>
      <c r="F1" s="2" t="s">
        <v>0</v>
      </c>
      <c r="G1" s="2"/>
    </row>
    <row r="2" spans="1:7" x14ac:dyDescent="0.3">
      <c r="A2" s="2" t="s">
        <v>4</v>
      </c>
      <c r="B2" s="2" t="s">
        <v>5</v>
      </c>
      <c r="C2" s="2" t="s">
        <v>6</v>
      </c>
      <c r="D2" s="1"/>
      <c r="E2" s="2" t="s">
        <v>22</v>
      </c>
      <c r="F2" s="2" t="s">
        <v>23</v>
      </c>
      <c r="G2" s="2" t="s">
        <v>6</v>
      </c>
    </row>
    <row r="3" spans="1:7" x14ac:dyDescent="0.3">
      <c r="A3" s="2">
        <v>1</v>
      </c>
      <c r="B3" s="2">
        <v>0</v>
      </c>
      <c r="C3" s="3" t="s">
        <v>11</v>
      </c>
      <c r="D3" s="1"/>
      <c r="E3" s="2">
        <v>1</v>
      </c>
      <c r="F3" s="2">
        <v>0</v>
      </c>
      <c r="G3" s="10" t="s">
        <v>11</v>
      </c>
    </row>
    <row r="4" spans="1:7" x14ac:dyDescent="0.3">
      <c r="A4" s="2">
        <v>2</v>
      </c>
      <c r="B4" s="2">
        <v>1</v>
      </c>
      <c r="C4" s="3" t="s">
        <v>12</v>
      </c>
      <c r="D4" s="1"/>
      <c r="E4" s="2">
        <v>2</v>
      </c>
      <c r="F4" s="2">
        <v>0</v>
      </c>
      <c r="G4" s="3" t="s">
        <v>11</v>
      </c>
    </row>
    <row r="5" spans="1:7" x14ac:dyDescent="0.3">
      <c r="A5" s="2">
        <v>3</v>
      </c>
      <c r="B5" s="2">
        <v>3</v>
      </c>
      <c r="C5" s="3" t="s">
        <v>13</v>
      </c>
      <c r="D5" s="1"/>
      <c r="E5" s="2">
        <v>3</v>
      </c>
      <c r="F5" s="2">
        <v>1</v>
      </c>
      <c r="G5" s="3" t="s">
        <v>12</v>
      </c>
    </row>
    <row r="6" spans="1:7" x14ac:dyDescent="0.3">
      <c r="A6" s="2">
        <v>4</v>
      </c>
      <c r="B6" s="2">
        <v>3</v>
      </c>
      <c r="C6" s="4" t="s">
        <v>13</v>
      </c>
      <c r="D6" s="1"/>
      <c r="E6" s="2">
        <v>4</v>
      </c>
      <c r="F6" s="2">
        <v>2</v>
      </c>
      <c r="G6" s="3" t="s">
        <v>26</v>
      </c>
    </row>
    <row r="7" spans="1:7" x14ac:dyDescent="0.3">
      <c r="A7" s="2">
        <v>5</v>
      </c>
      <c r="B7" s="2">
        <v>4</v>
      </c>
      <c r="C7" s="3" t="s">
        <v>14</v>
      </c>
      <c r="D7" s="1"/>
      <c r="E7" s="2">
        <v>5</v>
      </c>
      <c r="F7" s="2">
        <v>3</v>
      </c>
      <c r="G7" s="3" t="s">
        <v>13</v>
      </c>
    </row>
    <row r="8" spans="1:7" x14ac:dyDescent="0.3">
      <c r="A8" s="2">
        <v>6</v>
      </c>
      <c r="B8" s="2">
        <v>5</v>
      </c>
      <c r="C8" s="3" t="s">
        <v>15</v>
      </c>
      <c r="D8" s="1"/>
      <c r="E8" s="2">
        <v>6</v>
      </c>
      <c r="F8" s="2">
        <v>4</v>
      </c>
      <c r="G8" s="3" t="s">
        <v>14</v>
      </c>
    </row>
    <row r="9" spans="1:7" x14ac:dyDescent="0.3">
      <c r="A9" s="2">
        <v>7</v>
      </c>
      <c r="B9" s="2">
        <v>7</v>
      </c>
      <c r="C9" s="3" t="s">
        <v>16</v>
      </c>
      <c r="D9" s="1"/>
      <c r="E9" s="2">
        <v>7</v>
      </c>
      <c r="F9" s="2">
        <v>5</v>
      </c>
      <c r="G9" s="3" t="s">
        <v>15</v>
      </c>
    </row>
    <row r="10" spans="1:7" x14ac:dyDescent="0.3">
      <c r="A10" s="2">
        <v>8</v>
      </c>
      <c r="B10" s="2">
        <v>7</v>
      </c>
      <c r="C10" s="3" t="s">
        <v>16</v>
      </c>
      <c r="D10" s="1"/>
      <c r="E10" s="2">
        <v>8</v>
      </c>
      <c r="F10" s="2">
        <v>6</v>
      </c>
      <c r="G10" s="3" t="s">
        <v>27</v>
      </c>
    </row>
    <row r="11" spans="1:7" x14ac:dyDescent="0.3">
      <c r="A11" s="2">
        <v>9</v>
      </c>
      <c r="B11" s="2">
        <v>9</v>
      </c>
      <c r="C11" s="3" t="s">
        <v>17</v>
      </c>
      <c r="D11" s="1"/>
      <c r="E11" s="2">
        <v>9</v>
      </c>
      <c r="F11" s="2">
        <v>7</v>
      </c>
      <c r="G11" s="3" t="s">
        <v>16</v>
      </c>
    </row>
    <row r="12" spans="1:7" x14ac:dyDescent="0.3">
      <c r="A12" s="2">
        <v>10</v>
      </c>
      <c r="B12" s="2">
        <v>9</v>
      </c>
      <c r="C12" s="3" t="s">
        <v>17</v>
      </c>
      <c r="D12" s="1"/>
      <c r="E12" s="2">
        <v>10</v>
      </c>
      <c r="F12" s="2">
        <v>8</v>
      </c>
      <c r="G12" s="3" t="s">
        <v>28</v>
      </c>
    </row>
    <row r="13" spans="1:7" x14ac:dyDescent="0.3">
      <c r="A13" s="2">
        <v>11</v>
      </c>
      <c r="B13" s="2" t="s">
        <v>7</v>
      </c>
      <c r="C13" s="3" t="s">
        <v>18</v>
      </c>
      <c r="D13" s="1"/>
      <c r="E13" s="2">
        <v>11</v>
      </c>
      <c r="F13" s="2">
        <v>9</v>
      </c>
      <c r="G13" s="3" t="s">
        <v>17</v>
      </c>
    </row>
    <row r="14" spans="1:7" x14ac:dyDescent="0.3">
      <c r="A14" s="2">
        <v>12</v>
      </c>
      <c r="B14" s="2" t="s">
        <v>7</v>
      </c>
      <c r="C14" s="3" t="s">
        <v>18</v>
      </c>
      <c r="D14" s="1"/>
      <c r="E14" s="2">
        <v>12</v>
      </c>
      <c r="F14" s="2" t="s">
        <v>24</v>
      </c>
      <c r="G14" s="3" t="s">
        <v>29</v>
      </c>
    </row>
    <row r="15" spans="1:7" x14ac:dyDescent="0.3">
      <c r="A15" s="2">
        <v>13</v>
      </c>
      <c r="B15" s="2" t="s">
        <v>8</v>
      </c>
      <c r="C15" s="3" t="s">
        <v>19</v>
      </c>
      <c r="D15" s="1"/>
      <c r="E15" s="2">
        <v>13</v>
      </c>
      <c r="F15" s="2" t="s">
        <v>7</v>
      </c>
      <c r="G15" s="3" t="s">
        <v>18</v>
      </c>
    </row>
    <row r="16" spans="1:7" x14ac:dyDescent="0.3">
      <c r="A16" s="2">
        <v>14</v>
      </c>
      <c r="B16" s="2" t="s">
        <v>9</v>
      </c>
      <c r="C16" s="3" t="s">
        <v>20</v>
      </c>
      <c r="D16" s="1"/>
      <c r="E16" s="2">
        <v>14</v>
      </c>
      <c r="F16" s="2" t="s">
        <v>8</v>
      </c>
      <c r="G16" s="3" t="s">
        <v>19</v>
      </c>
    </row>
    <row r="17" spans="1:32" x14ac:dyDescent="0.3">
      <c r="A17" s="2">
        <v>15</v>
      </c>
      <c r="B17" s="2" t="s">
        <v>10</v>
      </c>
      <c r="C17" s="3" t="s">
        <v>21</v>
      </c>
      <c r="D17" s="1"/>
      <c r="E17" s="2">
        <v>15</v>
      </c>
      <c r="F17" s="2" t="s">
        <v>9</v>
      </c>
      <c r="G17" s="3" t="s">
        <v>20</v>
      </c>
    </row>
    <row r="18" spans="1:32" x14ac:dyDescent="0.3">
      <c r="A18" s="2">
        <v>16</v>
      </c>
      <c r="B18" s="2" t="s">
        <v>10</v>
      </c>
      <c r="C18" s="3" t="s">
        <v>21</v>
      </c>
      <c r="D18" s="1"/>
      <c r="E18" s="2">
        <v>16</v>
      </c>
      <c r="F18" s="2" t="s">
        <v>25</v>
      </c>
      <c r="G18" s="3" t="s">
        <v>30</v>
      </c>
    </row>
    <row r="20" spans="1:32" x14ac:dyDescent="0.3">
      <c r="A20" s="5" t="s">
        <v>31</v>
      </c>
      <c r="B20" s="5" t="s">
        <v>32</v>
      </c>
      <c r="C20" s="5"/>
      <c r="D20" s="5"/>
      <c r="E20" s="5"/>
      <c r="F20" s="5"/>
      <c r="J20" s="5" t="s">
        <v>31</v>
      </c>
      <c r="K20" s="5"/>
      <c r="L20" s="5"/>
      <c r="O20" s="5" t="s">
        <v>177</v>
      </c>
      <c r="P20" s="5"/>
      <c r="S20" s="5" t="s">
        <v>178</v>
      </c>
      <c r="T20" s="5"/>
      <c r="U20" s="5"/>
      <c r="V20" s="5"/>
      <c r="W20" s="5"/>
      <c r="X20" s="5"/>
      <c r="Y20" s="5"/>
      <c r="Z20" s="5"/>
      <c r="AC20" s="5" t="s">
        <v>179</v>
      </c>
      <c r="AD20" s="5"/>
      <c r="AE20" s="5" t="s">
        <v>180</v>
      </c>
      <c r="AF20" s="5"/>
    </row>
    <row r="21" spans="1:32" x14ac:dyDescent="0.3">
      <c r="A21" s="5" t="s">
        <v>33</v>
      </c>
      <c r="B21" s="5" t="s">
        <v>34</v>
      </c>
      <c r="C21" s="5"/>
      <c r="D21" s="5"/>
      <c r="E21" s="5"/>
      <c r="F21" s="5"/>
      <c r="J21" s="5">
        <v>58</v>
      </c>
      <c r="K21" s="5"/>
      <c r="L21" s="5" t="str">
        <f>MID(TEXT(INDEX($G$3:$G$18,INT((ROW(A1)-1)/4)+1), "0000"),MOD(ROW(A1)-1,4)+1,1)</f>
        <v>0</v>
      </c>
      <c r="O21" s="5">
        <v>57</v>
      </c>
      <c r="P21" s="5" t="str">
        <f>MID(INDEX($C$3:$C$18,INT((ROW(A1)-1)/4)+1),MOD(ROW(A1)-1,4)+1,1)</f>
        <v>0</v>
      </c>
      <c r="S21" s="5">
        <v>14</v>
      </c>
      <c r="T21" s="5">
        <v>17</v>
      </c>
      <c r="U21" s="5">
        <v>11</v>
      </c>
      <c r="V21" s="5">
        <v>24</v>
      </c>
      <c r="W21" s="5">
        <v>1</v>
      </c>
      <c r="X21" s="5">
        <v>5</v>
      </c>
      <c r="Y21" s="5">
        <v>3</v>
      </c>
      <c r="Z21" s="5">
        <v>28</v>
      </c>
      <c r="AC21" s="5">
        <v>1</v>
      </c>
      <c r="AD21" s="5"/>
      <c r="AE21" s="5">
        <v>1</v>
      </c>
      <c r="AF21" s="5"/>
    </row>
    <row r="22" spans="1:32" x14ac:dyDescent="0.3">
      <c r="A22" s="5" t="s">
        <v>35</v>
      </c>
      <c r="B22" s="5" t="s">
        <v>36</v>
      </c>
      <c r="C22" s="5"/>
      <c r="D22" s="5"/>
      <c r="E22" s="5"/>
      <c r="F22" s="5"/>
      <c r="J22" s="5">
        <v>50</v>
      </c>
      <c r="K22" s="5"/>
      <c r="L22" s="5" t="str">
        <f t="shared" ref="L22:L84" si="0">MID(TEXT(INDEX($G$3:$G$18,INT((ROW(A2)-1)/4)+1), "0000"),MOD(ROW(A2)-1,4)+1,1)</f>
        <v>0</v>
      </c>
      <c r="O22" s="5">
        <v>49</v>
      </c>
      <c r="P22" s="5" t="str">
        <f t="shared" ref="P22:P76" si="1">MID(INDEX($C$3:$C$18,INT((ROW(A2)-1)/4)+1),MOD(ROW(A2)-1,4)+1,1)</f>
        <v>0</v>
      </c>
      <c r="S22" s="5">
        <v>15</v>
      </c>
      <c r="T22" s="5">
        <v>6</v>
      </c>
      <c r="U22" s="5">
        <v>21</v>
      </c>
      <c r="V22" s="5">
        <v>10</v>
      </c>
      <c r="W22" s="5">
        <v>23</v>
      </c>
      <c r="X22" s="5">
        <v>19</v>
      </c>
      <c r="Y22" s="5">
        <v>12</v>
      </c>
      <c r="Z22" s="5">
        <v>4</v>
      </c>
      <c r="AC22" s="5">
        <v>2</v>
      </c>
      <c r="AD22" s="5"/>
      <c r="AE22" s="5">
        <v>1</v>
      </c>
      <c r="AF22" s="5"/>
    </row>
    <row r="23" spans="1:32" x14ac:dyDescent="0.3">
      <c r="A23" s="5"/>
      <c r="B23" s="5"/>
      <c r="C23" s="5"/>
      <c r="D23" s="5"/>
      <c r="E23" s="5"/>
      <c r="F23" s="5"/>
      <c r="J23" s="5">
        <v>42</v>
      </c>
      <c r="K23" s="5"/>
      <c r="L23" s="5" t="str">
        <f t="shared" si="0"/>
        <v>0</v>
      </c>
      <c r="O23" s="5">
        <v>41</v>
      </c>
      <c r="P23" s="5" t="str">
        <f t="shared" si="1"/>
        <v>0</v>
      </c>
      <c r="S23" s="5">
        <v>26</v>
      </c>
      <c r="T23" s="5">
        <v>8</v>
      </c>
      <c r="U23" s="5">
        <v>16</v>
      </c>
      <c r="V23" s="5">
        <v>7</v>
      </c>
      <c r="W23" s="5">
        <v>27</v>
      </c>
      <c r="X23" s="5">
        <v>20</v>
      </c>
      <c r="Y23" s="5">
        <v>13</v>
      </c>
      <c r="Z23" s="5">
        <v>2</v>
      </c>
      <c r="AC23" s="5">
        <v>3</v>
      </c>
      <c r="AD23" s="5"/>
      <c r="AE23" s="5">
        <v>2</v>
      </c>
      <c r="AF23" s="5"/>
    </row>
    <row r="24" spans="1:32" x14ac:dyDescent="0.3">
      <c r="A24" s="5" t="s">
        <v>37</v>
      </c>
      <c r="B24" s="5" t="s">
        <v>38</v>
      </c>
      <c r="C24" s="5"/>
      <c r="D24" s="5"/>
      <c r="E24" s="5"/>
      <c r="F24" s="5" t="s">
        <v>39</v>
      </c>
      <c r="J24" s="5">
        <v>34</v>
      </c>
      <c r="K24" s="5"/>
      <c r="L24" s="5" t="str">
        <f t="shared" si="0"/>
        <v>0</v>
      </c>
      <c r="O24" s="5">
        <v>33</v>
      </c>
      <c r="P24" s="5" t="str">
        <f t="shared" si="1"/>
        <v>0</v>
      </c>
      <c r="S24" s="5">
        <v>41</v>
      </c>
      <c r="T24" s="5">
        <v>52</v>
      </c>
      <c r="U24" s="5">
        <v>31</v>
      </c>
      <c r="V24" s="5">
        <v>37</v>
      </c>
      <c r="W24" s="5">
        <v>47</v>
      </c>
      <c r="X24" s="5">
        <v>55</v>
      </c>
      <c r="Y24" s="5">
        <v>30</v>
      </c>
      <c r="Z24" s="5">
        <v>40</v>
      </c>
      <c r="AC24" s="5">
        <v>4</v>
      </c>
      <c r="AD24" s="5"/>
      <c r="AE24" s="5">
        <v>2</v>
      </c>
      <c r="AF24" s="5"/>
    </row>
    <row r="25" spans="1:32" x14ac:dyDescent="0.3">
      <c r="A25" s="5" t="s">
        <v>40</v>
      </c>
      <c r="B25" s="5" t="s">
        <v>41</v>
      </c>
      <c r="C25" s="5"/>
      <c r="D25" s="5"/>
      <c r="E25" s="5"/>
      <c r="F25" s="6" t="s">
        <v>42</v>
      </c>
      <c r="J25" s="5">
        <v>26</v>
      </c>
      <c r="K25" s="5"/>
      <c r="L25" s="5" t="str">
        <f t="shared" si="0"/>
        <v>0</v>
      </c>
      <c r="O25" s="5">
        <v>25</v>
      </c>
      <c r="P25" s="5" t="str">
        <f t="shared" si="1"/>
        <v>0</v>
      </c>
      <c r="S25" s="5">
        <v>51</v>
      </c>
      <c r="T25" s="5">
        <v>45</v>
      </c>
      <c r="U25" s="5">
        <v>33</v>
      </c>
      <c r="V25" s="5">
        <v>48</v>
      </c>
      <c r="W25" s="5">
        <v>44</v>
      </c>
      <c r="X25" s="5">
        <v>49</v>
      </c>
      <c r="Y25" s="5">
        <v>39</v>
      </c>
      <c r="Z25" s="5">
        <v>56</v>
      </c>
      <c r="AC25" s="5">
        <v>5</v>
      </c>
      <c r="AD25" s="5"/>
      <c r="AE25" s="5">
        <v>2</v>
      </c>
      <c r="AF25" s="5"/>
    </row>
    <row r="26" spans="1:32" x14ac:dyDescent="0.3">
      <c r="A26" s="5" t="s">
        <v>43</v>
      </c>
      <c r="B26" s="5" t="s">
        <v>44</v>
      </c>
      <c r="C26" s="5"/>
      <c r="D26" s="5"/>
      <c r="E26" s="5"/>
      <c r="F26" s="5"/>
      <c r="J26" s="5">
        <v>18</v>
      </c>
      <c r="K26" s="5"/>
      <c r="L26" s="5" t="str">
        <f t="shared" si="0"/>
        <v>0</v>
      </c>
      <c r="O26" s="5">
        <v>17</v>
      </c>
      <c r="P26" s="5" t="str">
        <f t="shared" si="1"/>
        <v>0</v>
      </c>
      <c r="S26" s="5">
        <v>34</v>
      </c>
      <c r="T26" s="5">
        <v>53</v>
      </c>
      <c r="U26" s="5">
        <v>46</v>
      </c>
      <c r="V26" s="5">
        <v>42</v>
      </c>
      <c r="W26" s="5">
        <v>50</v>
      </c>
      <c r="X26" s="5">
        <v>36</v>
      </c>
      <c r="Y26" s="5">
        <v>29</v>
      </c>
      <c r="Z26" s="5">
        <v>32</v>
      </c>
      <c r="AC26" s="5">
        <v>6</v>
      </c>
      <c r="AD26" s="5"/>
      <c r="AE26" s="5">
        <v>2</v>
      </c>
      <c r="AF26" s="5"/>
    </row>
    <row r="27" spans="1:32" x14ac:dyDescent="0.3">
      <c r="A27" s="5" t="s">
        <v>45</v>
      </c>
      <c r="B27" s="5" t="s">
        <v>46</v>
      </c>
      <c r="C27" s="5"/>
      <c r="D27" s="5"/>
      <c r="E27" s="5"/>
      <c r="F27" s="5"/>
      <c r="J27" s="5">
        <v>10</v>
      </c>
      <c r="K27" s="5"/>
      <c r="L27" s="5" t="str">
        <f t="shared" si="0"/>
        <v>0</v>
      </c>
      <c r="O27" s="5">
        <v>9</v>
      </c>
      <c r="P27" s="5" t="str">
        <f t="shared" si="1"/>
        <v>0</v>
      </c>
      <c r="AC27" s="5">
        <v>7</v>
      </c>
      <c r="AD27" s="5"/>
      <c r="AE27" s="5">
        <v>2</v>
      </c>
      <c r="AF27" s="5"/>
    </row>
    <row r="28" spans="1:32" x14ac:dyDescent="0.3">
      <c r="A28" s="5"/>
      <c r="B28" s="5"/>
      <c r="C28" s="5"/>
      <c r="D28" s="5"/>
      <c r="E28" s="5"/>
      <c r="F28" s="5"/>
      <c r="J28" s="5">
        <v>2</v>
      </c>
      <c r="K28" s="5"/>
      <c r="L28" s="5" t="str">
        <f t="shared" si="0"/>
        <v>0</v>
      </c>
      <c r="O28" s="5">
        <v>1</v>
      </c>
      <c r="P28" s="5" t="str">
        <f t="shared" si="1"/>
        <v>1</v>
      </c>
      <c r="AC28" s="5">
        <v>8</v>
      </c>
      <c r="AD28" s="5"/>
      <c r="AE28" s="5">
        <v>2</v>
      </c>
      <c r="AF28" s="5"/>
    </row>
    <row r="29" spans="1:32" x14ac:dyDescent="0.3">
      <c r="A29" s="5" t="s">
        <v>47</v>
      </c>
      <c r="B29" s="5" t="s">
        <v>48</v>
      </c>
      <c r="C29" s="5"/>
      <c r="D29" s="5"/>
      <c r="E29" s="5"/>
      <c r="F29" s="5" t="s">
        <v>49</v>
      </c>
      <c r="J29" s="5">
        <v>60</v>
      </c>
      <c r="K29" s="5"/>
      <c r="L29" s="5" t="str">
        <f t="shared" si="0"/>
        <v>0</v>
      </c>
      <c r="O29" s="5">
        <v>58</v>
      </c>
      <c r="P29" s="5" t="str">
        <f t="shared" si="1"/>
        <v>0</v>
      </c>
      <c r="AC29" s="5">
        <v>9</v>
      </c>
      <c r="AD29" s="5"/>
      <c r="AE29" s="5">
        <v>1</v>
      </c>
      <c r="AF29" s="5"/>
    </row>
    <row r="30" spans="1:32" x14ac:dyDescent="0.3">
      <c r="A30" s="5" t="s">
        <v>50</v>
      </c>
      <c r="B30" s="5" t="s">
        <v>51</v>
      </c>
      <c r="C30" s="5"/>
      <c r="D30" s="5"/>
      <c r="E30" s="5"/>
      <c r="F30" s="5" t="s">
        <v>52</v>
      </c>
      <c r="J30" s="5">
        <v>52</v>
      </c>
      <c r="K30" s="5"/>
      <c r="L30" s="5" t="str">
        <f t="shared" si="0"/>
        <v>0</v>
      </c>
      <c r="O30" s="5">
        <v>50</v>
      </c>
      <c r="P30" s="5" t="str">
        <f t="shared" si="1"/>
        <v>0</v>
      </c>
      <c r="AC30" s="5">
        <v>10</v>
      </c>
      <c r="AD30" s="5"/>
      <c r="AE30" s="5">
        <v>2</v>
      </c>
      <c r="AF30" s="5"/>
    </row>
    <row r="31" spans="1:32" x14ac:dyDescent="0.3">
      <c r="A31" s="5" t="s">
        <v>53</v>
      </c>
      <c r="B31" s="5" t="s">
        <v>54</v>
      </c>
      <c r="C31" s="5"/>
      <c r="D31" s="5"/>
      <c r="E31" s="5"/>
      <c r="F31" s="5"/>
      <c r="J31" s="5">
        <v>44</v>
      </c>
      <c r="K31" s="5"/>
      <c r="L31" s="5" t="str">
        <f t="shared" si="0"/>
        <v>0</v>
      </c>
      <c r="O31" s="5">
        <v>42</v>
      </c>
      <c r="P31" s="5" t="str">
        <f t="shared" si="1"/>
        <v>1</v>
      </c>
      <c r="AC31" s="5">
        <v>11</v>
      </c>
      <c r="AD31" s="5"/>
      <c r="AE31" s="5">
        <v>2</v>
      </c>
      <c r="AF31" s="5"/>
    </row>
    <row r="32" spans="1:32" x14ac:dyDescent="0.3">
      <c r="A32" s="5" t="s">
        <v>55</v>
      </c>
      <c r="B32" s="5" t="s">
        <v>56</v>
      </c>
      <c r="C32" s="5"/>
      <c r="D32" s="5"/>
      <c r="E32" s="5"/>
      <c r="F32" s="5"/>
      <c r="J32" s="5">
        <v>36</v>
      </c>
      <c r="K32" s="5"/>
      <c r="L32" s="5" t="str">
        <f t="shared" si="0"/>
        <v>1</v>
      </c>
      <c r="O32" s="5">
        <v>34</v>
      </c>
      <c r="P32" s="5" t="str">
        <f t="shared" si="1"/>
        <v>1</v>
      </c>
      <c r="AC32" s="5">
        <v>12</v>
      </c>
      <c r="AD32" s="5"/>
      <c r="AE32" s="5">
        <v>2</v>
      </c>
      <c r="AF32" s="5"/>
    </row>
    <row r="33" spans="1:32" x14ac:dyDescent="0.3">
      <c r="A33" s="5"/>
      <c r="B33" s="5"/>
      <c r="C33" s="5"/>
      <c r="D33" s="5"/>
      <c r="E33" s="5"/>
      <c r="F33" s="5"/>
      <c r="J33" s="5">
        <v>28</v>
      </c>
      <c r="K33" s="5"/>
      <c r="L33" s="5" t="str">
        <f t="shared" si="0"/>
        <v>0</v>
      </c>
      <c r="O33" s="5">
        <v>26</v>
      </c>
      <c r="P33" s="5" t="str">
        <f t="shared" si="1"/>
        <v>0</v>
      </c>
      <c r="AC33" s="5">
        <v>13</v>
      </c>
      <c r="AD33" s="5"/>
      <c r="AE33" s="5">
        <v>2</v>
      </c>
      <c r="AF33" s="5"/>
    </row>
    <row r="34" spans="1:32" x14ac:dyDescent="0.3">
      <c r="A34" s="5" t="s">
        <v>57</v>
      </c>
      <c r="B34" s="5" t="s">
        <v>58</v>
      </c>
      <c r="C34" s="5"/>
      <c r="D34" s="5"/>
      <c r="E34" s="5"/>
      <c r="F34" s="5" t="s">
        <v>59</v>
      </c>
      <c r="J34" s="5">
        <v>20</v>
      </c>
      <c r="K34" s="5"/>
      <c r="L34" s="5" t="str">
        <f t="shared" si="0"/>
        <v>0</v>
      </c>
      <c r="O34" s="5">
        <v>18</v>
      </c>
      <c r="P34" s="5" t="str">
        <f t="shared" si="1"/>
        <v>0</v>
      </c>
      <c r="AC34" s="5">
        <v>14</v>
      </c>
      <c r="AD34" s="5"/>
      <c r="AE34" s="5">
        <v>2</v>
      </c>
      <c r="AF34" s="5"/>
    </row>
    <row r="35" spans="1:32" x14ac:dyDescent="0.3">
      <c r="A35" s="5" t="s">
        <v>60</v>
      </c>
      <c r="B35" s="5" t="s">
        <v>61</v>
      </c>
      <c r="C35" s="5"/>
      <c r="D35" s="5"/>
      <c r="E35" s="5"/>
      <c r="F35" s="5" t="s">
        <v>62</v>
      </c>
      <c r="J35" s="5">
        <v>12</v>
      </c>
      <c r="K35" s="5"/>
      <c r="L35" s="5" t="str">
        <f t="shared" si="0"/>
        <v>1</v>
      </c>
      <c r="O35" s="5">
        <v>10</v>
      </c>
      <c r="P35" s="5" t="str">
        <f t="shared" si="1"/>
        <v>1</v>
      </c>
      <c r="AC35" s="5">
        <v>15</v>
      </c>
      <c r="AD35" s="5"/>
      <c r="AE35" s="5">
        <v>2</v>
      </c>
      <c r="AF35" s="5"/>
    </row>
    <row r="36" spans="1:32" x14ac:dyDescent="0.3">
      <c r="A36" s="5" t="s">
        <v>53</v>
      </c>
      <c r="B36" s="5" t="s">
        <v>63</v>
      </c>
      <c r="C36" s="5"/>
      <c r="D36" s="5"/>
      <c r="E36" s="5"/>
      <c r="F36" s="5"/>
      <c r="J36" s="5">
        <v>4</v>
      </c>
      <c r="K36" s="5"/>
      <c r="L36" s="5" t="str">
        <f t="shared" si="0"/>
        <v>0</v>
      </c>
      <c r="O36" s="5">
        <v>2</v>
      </c>
      <c r="P36" s="5" t="str">
        <f t="shared" si="1"/>
        <v>1</v>
      </c>
      <c r="AC36" s="5">
        <v>16</v>
      </c>
      <c r="AD36" s="5"/>
      <c r="AE36" s="5">
        <v>1</v>
      </c>
      <c r="AF36" s="5"/>
    </row>
    <row r="37" spans="1:32" x14ac:dyDescent="0.3">
      <c r="A37" s="5" t="s">
        <v>64</v>
      </c>
      <c r="B37" s="5" t="s">
        <v>65</v>
      </c>
      <c r="C37" s="5"/>
      <c r="D37" s="5"/>
      <c r="E37" s="5"/>
      <c r="F37" s="5"/>
      <c r="J37" s="5">
        <v>62</v>
      </c>
      <c r="K37" s="5"/>
      <c r="L37" s="5" t="str">
        <f t="shared" si="0"/>
        <v>0</v>
      </c>
      <c r="O37" s="5">
        <v>59</v>
      </c>
      <c r="P37" s="5" t="str">
        <f t="shared" si="1"/>
        <v>0</v>
      </c>
    </row>
    <row r="38" spans="1:32" x14ac:dyDescent="0.3">
      <c r="A38" s="5"/>
      <c r="B38" s="5"/>
      <c r="C38" s="5"/>
      <c r="D38" s="5"/>
      <c r="E38" s="5"/>
      <c r="F38" s="5"/>
      <c r="J38" s="5">
        <v>54</v>
      </c>
      <c r="K38" s="5"/>
      <c r="L38" s="5" t="str">
        <f t="shared" si="0"/>
        <v>0</v>
      </c>
      <c r="O38" s="5">
        <v>51</v>
      </c>
      <c r="P38" s="5" t="str">
        <f t="shared" si="1"/>
        <v>1</v>
      </c>
    </row>
    <row r="39" spans="1:32" x14ac:dyDescent="0.3">
      <c r="A39" s="5"/>
      <c r="B39" s="5"/>
      <c r="C39" s="5"/>
      <c r="D39" s="5"/>
      <c r="E39" s="5"/>
      <c r="F39" s="5"/>
      <c r="J39" s="5">
        <v>46</v>
      </c>
      <c r="K39" s="5"/>
      <c r="L39" s="5" t="str">
        <f t="shared" si="0"/>
        <v>1</v>
      </c>
      <c r="O39" s="5">
        <v>43</v>
      </c>
      <c r="P39" s="5" t="str">
        <f t="shared" si="1"/>
        <v>0</v>
      </c>
      <c r="S39" s="5" t="s">
        <v>217</v>
      </c>
      <c r="T39" s="5"/>
      <c r="U39" s="5"/>
      <c r="V39" s="5"/>
      <c r="W39" s="5"/>
      <c r="X39" s="5"/>
      <c r="Y39" s="5"/>
      <c r="Z39" s="5"/>
    </row>
    <row r="40" spans="1:32" x14ac:dyDescent="0.3">
      <c r="A40" s="5" t="s">
        <v>66</v>
      </c>
      <c r="B40" s="5" t="s">
        <v>67</v>
      </c>
      <c r="C40" s="5"/>
      <c r="D40" s="5"/>
      <c r="E40" s="5"/>
      <c r="F40" s="5" t="s">
        <v>68</v>
      </c>
      <c r="J40" s="5">
        <v>38</v>
      </c>
      <c r="K40" s="5"/>
      <c r="L40" s="5" t="str">
        <f t="shared" si="0"/>
        <v>1</v>
      </c>
      <c r="O40" s="5">
        <v>35</v>
      </c>
      <c r="P40" s="5" t="str">
        <f t="shared" si="1"/>
        <v>0</v>
      </c>
      <c r="S40" s="5">
        <v>40</v>
      </c>
      <c r="T40" s="5">
        <v>8</v>
      </c>
      <c r="U40" s="5">
        <v>48</v>
      </c>
      <c r="V40" s="5">
        <v>16</v>
      </c>
      <c r="W40" s="5">
        <v>56</v>
      </c>
      <c r="X40" s="5">
        <v>24</v>
      </c>
      <c r="Y40" s="5">
        <v>64</v>
      </c>
      <c r="Z40" s="5">
        <v>32</v>
      </c>
    </row>
    <row r="41" spans="1:32" x14ac:dyDescent="0.3">
      <c r="A41" s="5" t="s">
        <v>69</v>
      </c>
      <c r="B41" s="5" t="s">
        <v>70</v>
      </c>
      <c r="C41" s="5"/>
      <c r="D41" s="5"/>
      <c r="E41" s="5"/>
      <c r="F41" s="5" t="s">
        <v>71</v>
      </c>
      <c r="J41" s="5">
        <v>30</v>
      </c>
      <c r="K41" s="5"/>
      <c r="L41" s="5" t="str">
        <f t="shared" si="0"/>
        <v>0</v>
      </c>
      <c r="O41" s="5">
        <v>27</v>
      </c>
      <c r="P41" s="5" t="str">
        <f t="shared" si="1"/>
        <v>0</v>
      </c>
      <c r="S41" s="5">
        <v>39</v>
      </c>
      <c r="T41" s="5">
        <v>7</v>
      </c>
      <c r="U41" s="5">
        <v>47</v>
      </c>
      <c r="V41" s="5">
        <v>15</v>
      </c>
      <c r="W41" s="5">
        <v>55</v>
      </c>
      <c r="X41" s="5">
        <v>23</v>
      </c>
      <c r="Y41" s="5">
        <v>63</v>
      </c>
      <c r="Z41" s="5">
        <v>31</v>
      </c>
    </row>
    <row r="42" spans="1:32" x14ac:dyDescent="0.3">
      <c r="A42" s="5" t="s">
        <v>53</v>
      </c>
      <c r="B42" s="5" t="s">
        <v>72</v>
      </c>
      <c r="C42" s="5"/>
      <c r="D42" s="5"/>
      <c r="E42" s="5"/>
      <c r="F42" s="5"/>
      <c r="J42" s="5">
        <v>22</v>
      </c>
      <c r="K42" s="5"/>
      <c r="L42" s="5" t="str">
        <f t="shared" si="0"/>
        <v>1</v>
      </c>
      <c r="O42" s="5">
        <v>19</v>
      </c>
      <c r="P42" s="5" t="str">
        <f t="shared" si="1"/>
        <v>1</v>
      </c>
      <c r="S42" s="5">
        <v>38</v>
      </c>
      <c r="T42" s="5">
        <v>6</v>
      </c>
      <c r="U42" s="5">
        <v>46</v>
      </c>
      <c r="V42" s="5">
        <v>14</v>
      </c>
      <c r="W42" s="5">
        <v>54</v>
      </c>
      <c r="X42" s="5">
        <v>22</v>
      </c>
      <c r="Y42" s="5">
        <v>62</v>
      </c>
      <c r="Z42" s="5">
        <v>30</v>
      </c>
    </row>
    <row r="43" spans="1:32" x14ac:dyDescent="0.3">
      <c r="A43" s="5" t="s">
        <v>73</v>
      </c>
      <c r="B43" s="5" t="s">
        <v>74</v>
      </c>
      <c r="C43" s="5"/>
      <c r="D43" s="5"/>
      <c r="E43" s="5"/>
      <c r="F43" s="5"/>
      <c r="J43" s="5">
        <v>14</v>
      </c>
      <c r="K43" s="5"/>
      <c r="L43" s="5" t="str">
        <f t="shared" si="0"/>
        <v>0</v>
      </c>
      <c r="O43" s="5">
        <v>11</v>
      </c>
      <c r="P43" s="5" t="str">
        <f t="shared" si="1"/>
        <v>0</v>
      </c>
      <c r="S43" s="5">
        <v>37</v>
      </c>
      <c r="T43" s="5">
        <v>5</v>
      </c>
      <c r="U43" s="5">
        <v>45</v>
      </c>
      <c r="V43" s="5">
        <v>13</v>
      </c>
      <c r="W43" s="5">
        <v>53</v>
      </c>
      <c r="X43" s="5">
        <v>21</v>
      </c>
      <c r="Y43" s="5">
        <v>61</v>
      </c>
      <c r="Z43" s="5">
        <v>29</v>
      </c>
    </row>
    <row r="44" spans="1:32" x14ac:dyDescent="0.3">
      <c r="A44" s="5"/>
      <c r="B44" s="5"/>
      <c r="C44" s="5"/>
      <c r="D44" s="5"/>
      <c r="E44" s="5"/>
      <c r="F44" s="5"/>
      <c r="J44" s="5">
        <v>6</v>
      </c>
      <c r="K44" s="5"/>
      <c r="L44" s="5" t="str">
        <f t="shared" si="0"/>
        <v>0</v>
      </c>
      <c r="O44" s="5">
        <v>3</v>
      </c>
      <c r="P44" s="5" t="str">
        <f t="shared" si="1"/>
        <v>1</v>
      </c>
      <c r="S44" s="5">
        <v>36</v>
      </c>
      <c r="T44" s="5">
        <v>4</v>
      </c>
      <c r="U44" s="5">
        <v>44</v>
      </c>
      <c r="V44" s="5">
        <v>12</v>
      </c>
      <c r="W44" s="5">
        <v>52</v>
      </c>
      <c r="X44" s="5">
        <v>20</v>
      </c>
      <c r="Y44" s="5">
        <v>60</v>
      </c>
      <c r="Z44" s="5">
        <v>28</v>
      </c>
    </row>
    <row r="45" spans="1:32" x14ac:dyDescent="0.3">
      <c r="A45" s="5" t="s">
        <v>75</v>
      </c>
      <c r="B45" s="5" t="s">
        <v>76</v>
      </c>
      <c r="C45" s="5"/>
      <c r="D45" s="5"/>
      <c r="E45" s="5"/>
      <c r="F45" s="5" t="s">
        <v>77</v>
      </c>
      <c r="J45" s="5">
        <v>64</v>
      </c>
      <c r="K45" s="5"/>
      <c r="L45" s="5" t="str">
        <f t="shared" si="0"/>
        <v>0</v>
      </c>
      <c r="O45" s="5">
        <v>60</v>
      </c>
      <c r="P45" s="5" t="str">
        <f t="shared" si="1"/>
        <v>0</v>
      </c>
      <c r="S45" s="5">
        <v>35</v>
      </c>
      <c r="T45" s="5">
        <v>3</v>
      </c>
      <c r="U45" s="5">
        <v>43</v>
      </c>
      <c r="V45" s="5">
        <v>11</v>
      </c>
      <c r="W45" s="5">
        <v>51</v>
      </c>
      <c r="X45" s="5">
        <v>19</v>
      </c>
      <c r="Y45" s="5">
        <v>59</v>
      </c>
      <c r="Z45" s="5">
        <v>27</v>
      </c>
    </row>
    <row r="46" spans="1:32" x14ac:dyDescent="0.3">
      <c r="A46" s="5" t="s">
        <v>78</v>
      </c>
      <c r="B46" s="5" t="s">
        <v>79</v>
      </c>
      <c r="C46" s="5"/>
      <c r="D46" s="5"/>
      <c r="E46" s="5"/>
      <c r="F46" s="5" t="s">
        <v>80</v>
      </c>
      <c r="J46" s="5">
        <v>56</v>
      </c>
      <c r="K46" s="5"/>
      <c r="L46" s="5" t="str">
        <f t="shared" si="0"/>
        <v>1</v>
      </c>
      <c r="O46" s="5">
        <v>52</v>
      </c>
      <c r="P46" s="5" t="str">
        <f t="shared" si="1"/>
        <v>1</v>
      </c>
      <c r="S46" s="5">
        <v>34</v>
      </c>
      <c r="T46" s="5">
        <v>2</v>
      </c>
      <c r="U46" s="5">
        <v>42</v>
      </c>
      <c r="V46" s="5">
        <v>10</v>
      </c>
      <c r="W46" s="5">
        <v>50</v>
      </c>
      <c r="X46" s="5">
        <v>18</v>
      </c>
      <c r="Y46" s="5">
        <v>58</v>
      </c>
      <c r="Z46" s="5">
        <v>26</v>
      </c>
    </row>
    <row r="47" spans="1:32" x14ac:dyDescent="0.3">
      <c r="A47" s="5" t="s">
        <v>53</v>
      </c>
      <c r="B47" s="5" t="s">
        <v>81</v>
      </c>
      <c r="C47" s="5"/>
      <c r="D47" s="5"/>
      <c r="E47" s="5"/>
      <c r="F47" s="5"/>
      <c r="J47" s="5">
        <v>48</v>
      </c>
      <c r="K47" s="5"/>
      <c r="L47" s="5" t="str">
        <f t="shared" si="0"/>
        <v>0</v>
      </c>
      <c r="O47" s="5">
        <v>44</v>
      </c>
      <c r="P47" s="5" t="str">
        <f t="shared" si="1"/>
        <v>1</v>
      </c>
      <c r="S47" s="5">
        <v>33</v>
      </c>
      <c r="T47" s="5">
        <v>1</v>
      </c>
      <c r="U47" s="5">
        <v>41</v>
      </c>
      <c r="V47" s="5">
        <v>9</v>
      </c>
      <c r="W47" s="5">
        <v>49</v>
      </c>
      <c r="X47" s="5">
        <v>17</v>
      </c>
      <c r="Y47" s="5">
        <v>57</v>
      </c>
      <c r="Z47" s="5">
        <v>25</v>
      </c>
    </row>
    <row r="48" spans="1:32" x14ac:dyDescent="0.3">
      <c r="A48" s="5" t="s">
        <v>82</v>
      </c>
      <c r="B48" s="5" t="s">
        <v>83</v>
      </c>
      <c r="C48" s="5"/>
      <c r="D48" s="5"/>
      <c r="E48" s="5"/>
      <c r="F48" s="5"/>
      <c r="J48" s="5">
        <v>40</v>
      </c>
      <c r="K48" s="5"/>
      <c r="L48" s="5" t="str">
        <f t="shared" si="0"/>
        <v>1</v>
      </c>
      <c r="O48" s="5">
        <v>36</v>
      </c>
      <c r="P48" s="5" t="str">
        <f t="shared" si="1"/>
        <v>1</v>
      </c>
    </row>
    <row r="49" spans="1:16" x14ac:dyDescent="0.3">
      <c r="A49" s="5"/>
      <c r="B49" s="5"/>
      <c r="C49" s="5"/>
      <c r="D49" s="5"/>
      <c r="E49" s="5"/>
      <c r="F49" s="5"/>
      <c r="J49" s="5">
        <v>32</v>
      </c>
      <c r="K49" s="5"/>
      <c r="L49" s="5" t="str">
        <f t="shared" si="0"/>
        <v>0</v>
      </c>
      <c r="O49" s="5">
        <v>63</v>
      </c>
      <c r="P49" s="5" t="str">
        <f t="shared" si="1"/>
        <v>0</v>
      </c>
    </row>
    <row r="50" spans="1:16" x14ac:dyDescent="0.3">
      <c r="A50" s="5"/>
      <c r="B50" s="5"/>
      <c r="C50" s="5"/>
      <c r="D50" s="5"/>
      <c r="E50" s="5"/>
      <c r="F50" s="5"/>
      <c r="J50" s="5">
        <v>24</v>
      </c>
      <c r="K50" s="5"/>
      <c r="L50" s="5" t="str">
        <f t="shared" si="0"/>
        <v>1</v>
      </c>
      <c r="O50" s="5">
        <v>55</v>
      </c>
      <c r="P50" s="5" t="str">
        <f t="shared" si="1"/>
        <v>1</v>
      </c>
    </row>
    <row r="51" spans="1:16" x14ac:dyDescent="0.3">
      <c r="A51" s="5" t="s">
        <v>84</v>
      </c>
      <c r="B51" s="5" t="s">
        <v>85</v>
      </c>
      <c r="C51" s="5"/>
      <c r="D51" s="5"/>
      <c r="E51" s="5"/>
      <c r="F51" s="5" t="s">
        <v>86</v>
      </c>
      <c r="J51" s="5">
        <v>16</v>
      </c>
      <c r="K51" s="5"/>
      <c r="L51" s="5" t="str">
        <f t="shared" si="0"/>
        <v>1</v>
      </c>
      <c r="O51" s="5">
        <v>47</v>
      </c>
      <c r="P51" s="5" t="str">
        <f t="shared" si="1"/>
        <v>1</v>
      </c>
    </row>
    <row r="52" spans="1:16" x14ac:dyDescent="0.3">
      <c r="A52" s="5" t="s">
        <v>87</v>
      </c>
      <c r="B52" s="5" t="s">
        <v>88</v>
      </c>
      <c r="C52" s="5"/>
      <c r="D52" s="5"/>
      <c r="E52" s="5"/>
      <c r="F52" s="5" t="s">
        <v>89</v>
      </c>
      <c r="J52" s="5">
        <v>8</v>
      </c>
      <c r="K52" s="5"/>
      <c r="L52" s="5" t="str">
        <f t="shared" si="0"/>
        <v>0</v>
      </c>
      <c r="O52" s="5">
        <v>39</v>
      </c>
      <c r="P52" s="5" t="str">
        <f t="shared" si="1"/>
        <v>1</v>
      </c>
    </row>
    <row r="53" spans="1:16" x14ac:dyDescent="0.3">
      <c r="A53" s="5" t="s">
        <v>53</v>
      </c>
      <c r="B53" s="5" t="s">
        <v>90</v>
      </c>
      <c r="C53" s="5"/>
      <c r="D53" s="5"/>
      <c r="E53" s="5"/>
      <c r="F53" s="5"/>
      <c r="J53" s="5">
        <v>57</v>
      </c>
      <c r="K53" s="5"/>
      <c r="L53" s="5" t="str">
        <f t="shared" si="0"/>
        <v>0</v>
      </c>
      <c r="O53" s="5">
        <v>31</v>
      </c>
      <c r="P53" s="5" t="str">
        <f t="shared" si="1"/>
        <v>1</v>
      </c>
    </row>
    <row r="54" spans="1:16" x14ac:dyDescent="0.3">
      <c r="A54" s="5" t="s">
        <v>91</v>
      </c>
      <c r="B54" s="5" t="s">
        <v>92</v>
      </c>
      <c r="C54" s="5"/>
      <c r="D54" s="5"/>
      <c r="E54" s="5"/>
      <c r="F54" s="5"/>
      <c r="J54" s="5">
        <v>49</v>
      </c>
      <c r="K54" s="5"/>
      <c r="L54" s="5" t="str">
        <f t="shared" si="0"/>
        <v>1</v>
      </c>
      <c r="O54" s="5">
        <v>23</v>
      </c>
      <c r="P54" s="5" t="str">
        <f t="shared" si="1"/>
        <v>0</v>
      </c>
    </row>
    <row r="55" spans="1:16" x14ac:dyDescent="0.3">
      <c r="J55" s="5">
        <v>41</v>
      </c>
      <c r="K55" s="5"/>
      <c r="L55" s="5" t="str">
        <f t="shared" si="0"/>
        <v>1</v>
      </c>
      <c r="O55" s="5">
        <v>15</v>
      </c>
      <c r="P55" s="5" t="str">
        <f t="shared" si="1"/>
        <v>0</v>
      </c>
    </row>
    <row r="56" spans="1:16" x14ac:dyDescent="0.3">
      <c r="A56" s="5" t="s">
        <v>93</v>
      </c>
      <c r="B56" s="5" t="s">
        <v>94</v>
      </c>
      <c r="C56" s="5"/>
      <c r="D56" s="5"/>
      <c r="E56" s="5"/>
      <c r="F56" s="5" t="s">
        <v>95</v>
      </c>
      <c r="G56" s="5"/>
      <c r="J56" s="5">
        <v>33</v>
      </c>
      <c r="K56" s="5"/>
      <c r="L56" s="5" t="str">
        <f t="shared" si="0"/>
        <v>1</v>
      </c>
      <c r="O56" s="5">
        <v>7</v>
      </c>
      <c r="P56" s="5" t="str">
        <f t="shared" si="1"/>
        <v>1</v>
      </c>
    </row>
    <row r="57" spans="1:16" x14ac:dyDescent="0.3">
      <c r="A57" s="5" t="s">
        <v>96</v>
      </c>
      <c r="B57" s="5" t="s">
        <v>97</v>
      </c>
      <c r="C57" s="5"/>
      <c r="D57" s="5"/>
      <c r="E57" s="5"/>
      <c r="F57" s="5" t="s">
        <v>98</v>
      </c>
      <c r="G57" s="5"/>
      <c r="J57" s="5">
        <v>25</v>
      </c>
      <c r="K57" s="5"/>
      <c r="L57" s="5" t="str">
        <f t="shared" si="0"/>
        <v>1</v>
      </c>
      <c r="O57" s="5">
        <v>62</v>
      </c>
      <c r="P57" s="5" t="str">
        <f t="shared" si="1"/>
        <v>1</v>
      </c>
    </row>
    <row r="58" spans="1:16" x14ac:dyDescent="0.3">
      <c r="A58" s="5" t="s">
        <v>53</v>
      </c>
      <c r="B58" s="5" t="s">
        <v>99</v>
      </c>
      <c r="C58" s="5"/>
      <c r="D58" s="5"/>
      <c r="E58" s="5"/>
      <c r="F58" s="5"/>
      <c r="G58" s="5"/>
      <c r="J58" s="5">
        <v>17</v>
      </c>
      <c r="K58" s="5"/>
      <c r="L58" s="5" t="str">
        <f t="shared" si="0"/>
        <v>0</v>
      </c>
      <c r="O58" s="5">
        <v>54</v>
      </c>
      <c r="P58" s="5" t="str">
        <f t="shared" si="1"/>
        <v>0</v>
      </c>
    </row>
    <row r="59" spans="1:16" x14ac:dyDescent="0.3">
      <c r="A59" s="5" t="s">
        <v>100</v>
      </c>
      <c r="B59" s="5" t="s">
        <v>101</v>
      </c>
      <c r="C59" s="5"/>
      <c r="D59" s="5"/>
      <c r="E59" s="5"/>
      <c r="F59" s="5"/>
      <c r="G59" s="5"/>
      <c r="J59" s="5">
        <v>9</v>
      </c>
      <c r="K59" s="5"/>
      <c r="L59" s="5" t="str">
        <f t="shared" si="0"/>
        <v>0</v>
      </c>
      <c r="O59" s="5">
        <v>46</v>
      </c>
      <c r="P59" s="5" t="str">
        <f t="shared" si="1"/>
        <v>0</v>
      </c>
    </row>
    <row r="60" spans="1:16" x14ac:dyDescent="0.3">
      <c r="J60" s="5">
        <v>1</v>
      </c>
      <c r="K60" s="5"/>
      <c r="L60" s="5" t="str">
        <f t="shared" si="0"/>
        <v>0</v>
      </c>
      <c r="O60" s="5">
        <v>38</v>
      </c>
      <c r="P60" s="5" t="str">
        <f t="shared" si="1"/>
        <v>1</v>
      </c>
    </row>
    <row r="61" spans="1:16" x14ac:dyDescent="0.3">
      <c r="J61" s="5">
        <v>59</v>
      </c>
      <c r="K61" s="5"/>
      <c r="L61" s="5" t="str">
        <f t="shared" si="0"/>
        <v>1</v>
      </c>
      <c r="O61" s="5">
        <v>30</v>
      </c>
      <c r="P61" s="5" t="str">
        <f t="shared" si="1"/>
        <v>1</v>
      </c>
    </row>
    <row r="62" spans="1:16" x14ac:dyDescent="0.3">
      <c r="A62" s="5" t="s">
        <v>102</v>
      </c>
      <c r="B62" s="5" t="s">
        <v>103</v>
      </c>
      <c r="C62" s="5"/>
      <c r="D62" s="5"/>
      <c r="E62" s="5"/>
      <c r="F62" s="5" t="s">
        <v>104</v>
      </c>
      <c r="G62" s="5"/>
      <c r="J62" s="5">
        <v>51</v>
      </c>
      <c r="K62" s="5"/>
      <c r="L62" s="5" t="str">
        <f t="shared" si="0"/>
        <v>0</v>
      </c>
      <c r="O62" s="5">
        <v>22</v>
      </c>
      <c r="P62" s="5" t="str">
        <f t="shared" si="1"/>
        <v>0</v>
      </c>
    </row>
    <row r="63" spans="1:16" x14ac:dyDescent="0.3">
      <c r="A63" s="5" t="s">
        <v>105</v>
      </c>
      <c r="B63" s="5" t="s">
        <v>106</v>
      </c>
      <c r="C63" s="5"/>
      <c r="D63" s="5"/>
      <c r="E63" s="5"/>
      <c r="F63" s="5" t="s">
        <v>107</v>
      </c>
      <c r="G63" s="5"/>
      <c r="J63" s="5">
        <v>43</v>
      </c>
      <c r="K63" s="5"/>
      <c r="L63" s="5" t="str">
        <f t="shared" si="0"/>
        <v>0</v>
      </c>
      <c r="O63" s="5">
        <v>14</v>
      </c>
      <c r="P63" s="5" t="str">
        <f t="shared" si="1"/>
        <v>1</v>
      </c>
    </row>
    <row r="64" spans="1:16" x14ac:dyDescent="0.3">
      <c r="A64" s="5" t="s">
        <v>53</v>
      </c>
      <c r="B64" s="5" t="s">
        <v>108</v>
      </c>
      <c r="C64" s="5"/>
      <c r="D64" s="5"/>
      <c r="E64" s="5"/>
      <c r="F64" s="5"/>
      <c r="G64" s="5"/>
      <c r="J64" s="5">
        <v>35</v>
      </c>
      <c r="K64" s="5"/>
      <c r="L64" s="5" t="str">
        <f t="shared" si="0"/>
        <v>1</v>
      </c>
      <c r="O64" s="5">
        <v>6</v>
      </c>
      <c r="P64" s="5" t="str">
        <f t="shared" si="1"/>
        <v>1</v>
      </c>
    </row>
    <row r="65" spans="1:16" x14ac:dyDescent="0.3">
      <c r="A65" s="5" t="s">
        <v>109</v>
      </c>
      <c r="B65" s="5" t="s">
        <v>110</v>
      </c>
      <c r="C65" s="5"/>
      <c r="D65" s="5"/>
      <c r="E65" s="5"/>
      <c r="F65" s="5"/>
      <c r="G65" s="5"/>
      <c r="J65" s="5">
        <v>27</v>
      </c>
      <c r="K65" s="5"/>
      <c r="L65" s="5" t="str">
        <f t="shared" si="0"/>
        <v>1</v>
      </c>
      <c r="O65" s="5">
        <v>61</v>
      </c>
      <c r="P65" s="5" t="str">
        <f t="shared" si="1"/>
        <v>1</v>
      </c>
    </row>
    <row r="66" spans="1:16" x14ac:dyDescent="0.3">
      <c r="J66" s="5">
        <v>19</v>
      </c>
      <c r="K66" s="5"/>
      <c r="L66" s="5" t="str">
        <f t="shared" si="0"/>
        <v>0</v>
      </c>
      <c r="O66" s="5">
        <v>53</v>
      </c>
      <c r="P66" s="5" t="str">
        <f t="shared" si="1"/>
        <v>0</v>
      </c>
    </row>
    <row r="67" spans="1:16" x14ac:dyDescent="0.3">
      <c r="A67" s="5" t="s">
        <v>111</v>
      </c>
      <c r="B67" s="5" t="s">
        <v>112</v>
      </c>
      <c r="C67" s="5"/>
      <c r="D67" s="5"/>
      <c r="E67" s="5"/>
      <c r="F67" s="5" t="s">
        <v>113</v>
      </c>
      <c r="G67" s="5"/>
      <c r="J67" s="5">
        <v>11</v>
      </c>
      <c r="K67" s="5"/>
      <c r="L67" s="5" t="str">
        <f t="shared" si="0"/>
        <v>1</v>
      </c>
      <c r="O67" s="5">
        <v>45</v>
      </c>
      <c r="P67" s="5" t="str">
        <f t="shared" si="1"/>
        <v>1</v>
      </c>
    </row>
    <row r="68" spans="1:16" x14ac:dyDescent="0.3">
      <c r="A68" s="5" t="s">
        <v>114</v>
      </c>
      <c r="B68" s="5" t="s">
        <v>115</v>
      </c>
      <c r="C68" s="5"/>
      <c r="D68" s="5"/>
      <c r="E68" s="5"/>
      <c r="F68" s="7">
        <v>7855566</v>
      </c>
      <c r="G68" s="5"/>
      <c r="J68" s="5">
        <v>3</v>
      </c>
      <c r="K68" s="5"/>
      <c r="L68" s="5" t="str">
        <f t="shared" si="0"/>
        <v>0</v>
      </c>
      <c r="O68" s="5">
        <v>37</v>
      </c>
      <c r="P68" s="5" t="str">
        <f t="shared" si="1"/>
        <v>1</v>
      </c>
    </row>
    <row r="69" spans="1:16" x14ac:dyDescent="0.3">
      <c r="A69" s="5" t="s">
        <v>53</v>
      </c>
      <c r="B69" s="5" t="s">
        <v>116</v>
      </c>
      <c r="C69" s="5"/>
      <c r="D69" s="5"/>
      <c r="E69" s="5"/>
      <c r="F69" s="5"/>
      <c r="G69" s="5"/>
      <c r="J69" s="5">
        <v>61</v>
      </c>
      <c r="K69" s="5"/>
      <c r="L69" s="5" t="str">
        <f t="shared" si="0"/>
        <v>1</v>
      </c>
      <c r="O69" s="5">
        <v>29</v>
      </c>
      <c r="P69" s="5" t="str">
        <f t="shared" si="1"/>
        <v>1</v>
      </c>
    </row>
    <row r="70" spans="1:16" x14ac:dyDescent="0.3">
      <c r="A70" s="5" t="s">
        <v>117</v>
      </c>
      <c r="B70" s="5" t="s">
        <v>118</v>
      </c>
      <c r="C70" s="5"/>
      <c r="D70" s="5"/>
      <c r="E70" s="5"/>
      <c r="F70" s="5"/>
      <c r="G70" s="5"/>
      <c r="J70" s="5">
        <v>53</v>
      </c>
      <c r="K70" s="5"/>
      <c r="L70" s="5" t="str">
        <f t="shared" si="0"/>
        <v>0</v>
      </c>
      <c r="O70" s="5">
        <v>21</v>
      </c>
      <c r="P70" s="5" t="str">
        <f t="shared" si="1"/>
        <v>1</v>
      </c>
    </row>
    <row r="71" spans="1:16" x14ac:dyDescent="0.3">
      <c r="J71" s="5">
        <v>45</v>
      </c>
      <c r="K71" s="5"/>
      <c r="L71" s="5" t="str">
        <f t="shared" si="0"/>
        <v>1</v>
      </c>
      <c r="O71" s="5">
        <v>13</v>
      </c>
      <c r="P71" s="5" t="str">
        <f t="shared" si="1"/>
        <v>0</v>
      </c>
    </row>
    <row r="72" spans="1:16" x14ac:dyDescent="0.3">
      <c r="J72" s="5">
        <v>37</v>
      </c>
      <c r="K72" s="5"/>
      <c r="L72" s="5" t="str">
        <f t="shared" si="0"/>
        <v>1</v>
      </c>
      <c r="O72" s="5">
        <v>5</v>
      </c>
      <c r="P72" s="5" t="str">
        <f t="shared" si="1"/>
        <v>0</v>
      </c>
    </row>
    <row r="73" spans="1:16" x14ac:dyDescent="0.3">
      <c r="A73" s="5" t="s">
        <v>119</v>
      </c>
      <c r="B73" s="5" t="s">
        <v>120</v>
      </c>
      <c r="C73" s="5"/>
      <c r="D73" s="5"/>
      <c r="E73" s="5"/>
      <c r="F73" s="6" t="s">
        <v>121</v>
      </c>
      <c r="G73" s="5"/>
      <c r="J73" s="5">
        <v>29</v>
      </c>
      <c r="K73" s="5"/>
      <c r="L73" s="5" t="str">
        <f t="shared" si="0"/>
        <v>1</v>
      </c>
      <c r="O73" s="5">
        <v>28</v>
      </c>
      <c r="P73" s="5" t="str">
        <f t="shared" si="1"/>
        <v>1</v>
      </c>
    </row>
    <row r="74" spans="1:16" x14ac:dyDescent="0.3">
      <c r="A74" s="5" t="s">
        <v>122</v>
      </c>
      <c r="B74" s="5" t="s">
        <v>123</v>
      </c>
      <c r="C74" s="5"/>
      <c r="D74" s="5"/>
      <c r="E74" s="5"/>
      <c r="F74" s="8" t="s">
        <v>124</v>
      </c>
      <c r="G74" s="5"/>
      <c r="J74" s="5">
        <v>21</v>
      </c>
      <c r="K74" s="5"/>
      <c r="L74" s="5" t="str">
        <f t="shared" si="0"/>
        <v>1</v>
      </c>
      <c r="O74" s="5">
        <v>20</v>
      </c>
      <c r="P74" s="5" t="str">
        <f t="shared" si="1"/>
        <v>1</v>
      </c>
    </row>
    <row r="75" spans="1:16" x14ac:dyDescent="0.3">
      <c r="A75" s="5" t="s">
        <v>53</v>
      </c>
      <c r="B75" s="8" t="s">
        <v>125</v>
      </c>
      <c r="C75" s="5"/>
      <c r="D75" s="5"/>
      <c r="E75" s="5"/>
      <c r="F75" s="5"/>
      <c r="G75" s="5"/>
      <c r="J75" s="5">
        <v>13</v>
      </c>
      <c r="K75" s="5"/>
      <c r="L75" s="5" t="str">
        <f t="shared" si="0"/>
        <v>0</v>
      </c>
      <c r="O75" s="5">
        <v>12</v>
      </c>
      <c r="P75" s="5" t="str">
        <f t="shared" si="1"/>
        <v>0</v>
      </c>
    </row>
    <row r="76" spans="1:16" x14ac:dyDescent="0.3">
      <c r="A76" s="5" t="s">
        <v>126</v>
      </c>
      <c r="B76" s="5" t="s">
        <v>127</v>
      </c>
      <c r="C76" s="5"/>
      <c r="D76" s="5"/>
      <c r="E76" s="5"/>
      <c r="F76" s="5"/>
      <c r="G76" s="5"/>
      <c r="J76" s="5">
        <v>5</v>
      </c>
      <c r="K76" s="5"/>
      <c r="L76" s="5" t="str">
        <f t="shared" si="0"/>
        <v>0</v>
      </c>
      <c r="O76" s="5">
        <v>4</v>
      </c>
      <c r="P76" s="5" t="str">
        <f t="shared" si="1"/>
        <v>1</v>
      </c>
    </row>
    <row r="77" spans="1:16" x14ac:dyDescent="0.3">
      <c r="J77" s="5">
        <v>63</v>
      </c>
      <c r="K77" s="5"/>
      <c r="L77" s="5" t="str">
        <f t="shared" si="0"/>
        <v>1</v>
      </c>
    </row>
    <row r="78" spans="1:16" x14ac:dyDescent="0.3">
      <c r="A78" s="5" t="s">
        <v>128</v>
      </c>
      <c r="B78" s="5" t="s">
        <v>129</v>
      </c>
      <c r="C78" s="5"/>
      <c r="D78" s="5"/>
      <c r="E78" s="5"/>
      <c r="F78" s="5" t="s">
        <v>130</v>
      </c>
      <c r="G78" s="5"/>
      <c r="J78" s="5">
        <v>55</v>
      </c>
      <c r="K78" s="5"/>
      <c r="L78" s="5" t="str">
        <f t="shared" si="0"/>
        <v>1</v>
      </c>
    </row>
    <row r="79" spans="1:16" x14ac:dyDescent="0.3">
      <c r="A79" s="5" t="s">
        <v>131</v>
      </c>
      <c r="B79" s="5" t="s">
        <v>132</v>
      </c>
      <c r="C79" s="5"/>
      <c r="D79" s="5"/>
      <c r="E79" s="5"/>
      <c r="F79" s="7">
        <v>8555667</v>
      </c>
      <c r="G79" s="5"/>
      <c r="J79" s="5">
        <v>47</v>
      </c>
      <c r="K79" s="5"/>
      <c r="L79" s="5" t="str">
        <f t="shared" si="0"/>
        <v>0</v>
      </c>
    </row>
    <row r="80" spans="1:16" x14ac:dyDescent="0.3">
      <c r="A80" s="5" t="s">
        <v>53</v>
      </c>
      <c r="B80" s="5" t="s">
        <v>133</v>
      </c>
      <c r="C80" s="5"/>
      <c r="D80" s="5"/>
      <c r="E80" s="5"/>
      <c r="F80" s="5"/>
      <c r="G80" s="5"/>
      <c r="J80" s="5">
        <v>39</v>
      </c>
      <c r="K80" s="5"/>
      <c r="L80" s="5" t="str">
        <f t="shared" si="0"/>
        <v>1</v>
      </c>
    </row>
    <row r="81" spans="1:12" x14ac:dyDescent="0.3">
      <c r="A81" s="5" t="s">
        <v>134</v>
      </c>
      <c r="B81" s="5" t="s">
        <v>135</v>
      </c>
      <c r="C81" s="5"/>
      <c r="D81" s="5"/>
      <c r="E81" s="5"/>
      <c r="F81" s="5"/>
      <c r="G81" s="5"/>
      <c r="J81" s="5">
        <v>31</v>
      </c>
      <c r="K81" s="5"/>
      <c r="L81" s="5" t="str">
        <f t="shared" si="0"/>
        <v>1</v>
      </c>
    </row>
    <row r="82" spans="1:12" x14ac:dyDescent="0.3">
      <c r="J82" s="5">
        <v>23</v>
      </c>
      <c r="K82" s="5"/>
      <c r="L82" s="5" t="str">
        <f t="shared" si="0"/>
        <v>1</v>
      </c>
    </row>
    <row r="83" spans="1:12" x14ac:dyDescent="0.3">
      <c r="J83" s="5">
        <v>15</v>
      </c>
      <c r="K83" s="5"/>
      <c r="L83" s="5" t="str">
        <f t="shared" si="0"/>
        <v>1</v>
      </c>
    </row>
    <row r="84" spans="1:12" x14ac:dyDescent="0.3">
      <c r="A84" s="5" t="s">
        <v>136</v>
      </c>
      <c r="B84" s="5" t="s">
        <v>137</v>
      </c>
      <c r="C84" s="5"/>
      <c r="D84" s="5"/>
      <c r="E84" s="5"/>
      <c r="F84" s="8" t="s">
        <v>138</v>
      </c>
      <c r="G84" s="5"/>
      <c r="J84" s="5">
        <v>7</v>
      </c>
      <c r="K84" s="5"/>
      <c r="L84" s="5" t="str">
        <f t="shared" si="0"/>
        <v>0</v>
      </c>
    </row>
    <row r="85" spans="1:12" x14ac:dyDescent="0.3">
      <c r="A85" s="5" t="s">
        <v>139</v>
      </c>
      <c r="B85" s="5" t="s">
        <v>140</v>
      </c>
      <c r="C85" s="5"/>
      <c r="D85" s="5"/>
      <c r="E85" s="5"/>
      <c r="F85" s="5" t="s">
        <v>141</v>
      </c>
      <c r="G85" s="5"/>
    </row>
    <row r="86" spans="1:12" x14ac:dyDescent="0.3">
      <c r="A86" s="5" t="s">
        <v>53</v>
      </c>
      <c r="B86" s="9" t="s">
        <v>142</v>
      </c>
      <c r="C86" s="5"/>
      <c r="D86" s="5"/>
      <c r="E86" s="5"/>
      <c r="F86" s="5"/>
      <c r="G86" s="5"/>
    </row>
    <row r="87" spans="1:12" x14ac:dyDescent="0.3">
      <c r="A87" s="5" t="s">
        <v>143</v>
      </c>
      <c r="B87" s="5" t="s">
        <v>144</v>
      </c>
      <c r="C87" s="5"/>
      <c r="D87" s="5"/>
      <c r="E87" s="5"/>
      <c r="F87" s="5"/>
      <c r="G87" s="5"/>
    </row>
    <row r="89" spans="1:12" x14ac:dyDescent="0.3">
      <c r="A89" s="5" t="s">
        <v>145</v>
      </c>
      <c r="B89" s="5" t="s">
        <v>146</v>
      </c>
      <c r="C89" s="5"/>
      <c r="D89" s="5"/>
      <c r="E89" s="5"/>
      <c r="F89" s="5" t="s">
        <v>147</v>
      </c>
      <c r="G89" s="5"/>
    </row>
    <row r="90" spans="1:12" x14ac:dyDescent="0.3">
      <c r="A90" s="5" t="s">
        <v>148</v>
      </c>
      <c r="B90" s="5" t="s">
        <v>149</v>
      </c>
      <c r="C90" s="5"/>
      <c r="D90" s="5"/>
      <c r="E90" s="5"/>
      <c r="F90" s="7">
        <v>5556678</v>
      </c>
      <c r="G90" s="5"/>
    </row>
    <row r="91" spans="1:12" x14ac:dyDescent="0.3">
      <c r="A91" s="5" t="s">
        <v>53</v>
      </c>
      <c r="B91" s="5" t="s">
        <v>150</v>
      </c>
      <c r="C91" s="5"/>
      <c r="D91" s="5"/>
      <c r="E91" s="5"/>
      <c r="F91" s="5"/>
      <c r="G91" s="5"/>
    </row>
    <row r="92" spans="1:12" x14ac:dyDescent="0.3">
      <c r="A92" s="5" t="s">
        <v>151</v>
      </c>
      <c r="B92" s="5" t="s">
        <v>152</v>
      </c>
      <c r="C92" s="5"/>
      <c r="D92" s="5"/>
      <c r="E92" s="5"/>
      <c r="F92" s="5"/>
      <c r="G92" s="5"/>
    </row>
    <row r="95" spans="1:12" x14ac:dyDescent="0.3">
      <c r="A95" s="5" t="s">
        <v>153</v>
      </c>
      <c r="B95" s="5" t="s">
        <v>154</v>
      </c>
      <c r="C95" s="5"/>
      <c r="D95" s="5"/>
      <c r="E95" s="5"/>
      <c r="F95" s="8" t="s">
        <v>155</v>
      </c>
      <c r="G95" s="5"/>
    </row>
    <row r="96" spans="1:12" x14ac:dyDescent="0.3">
      <c r="A96" s="5" t="s">
        <v>156</v>
      </c>
      <c r="B96" s="5" t="s">
        <v>157</v>
      </c>
      <c r="C96" s="5"/>
      <c r="D96" s="5"/>
      <c r="E96" s="5"/>
      <c r="F96" s="8" t="s">
        <v>158</v>
      </c>
      <c r="G96" s="5"/>
    </row>
    <row r="97" spans="1:7" x14ac:dyDescent="0.3">
      <c r="A97" s="5" t="s">
        <v>53</v>
      </c>
      <c r="B97" s="9" t="s">
        <v>159</v>
      </c>
      <c r="C97" s="5"/>
      <c r="D97" s="5"/>
      <c r="E97" s="5"/>
      <c r="F97" s="5"/>
      <c r="G97" s="5"/>
    </row>
    <row r="98" spans="1:7" x14ac:dyDescent="0.3">
      <c r="A98" s="5" t="s">
        <v>160</v>
      </c>
      <c r="B98" s="5" t="s">
        <v>161</v>
      </c>
      <c r="C98" s="5"/>
      <c r="D98" s="5"/>
      <c r="E98" s="5"/>
      <c r="F98" s="5"/>
      <c r="G98" s="5"/>
    </row>
    <row r="100" spans="1:7" x14ac:dyDescent="0.3">
      <c r="A100" s="5" t="s">
        <v>162</v>
      </c>
      <c r="B100" s="5" t="s">
        <v>163</v>
      </c>
      <c r="C100" s="5"/>
      <c r="D100" s="5"/>
      <c r="E100" s="5"/>
      <c r="F100" s="5" t="s">
        <v>164</v>
      </c>
      <c r="G100" s="5"/>
    </row>
    <row r="101" spans="1:7" x14ac:dyDescent="0.3">
      <c r="A101" s="5" t="s">
        <v>165</v>
      </c>
      <c r="B101" s="5" t="s">
        <v>166</v>
      </c>
      <c r="C101" s="5"/>
      <c r="D101" s="5"/>
      <c r="E101" s="5"/>
      <c r="F101" s="7">
        <v>5566785</v>
      </c>
      <c r="G101" s="5"/>
    </row>
    <row r="102" spans="1:7" x14ac:dyDescent="0.3">
      <c r="A102" s="5" t="s">
        <v>53</v>
      </c>
      <c r="B102" s="5" t="s">
        <v>167</v>
      </c>
      <c r="C102" s="5"/>
      <c r="D102" s="5"/>
      <c r="E102" s="5"/>
      <c r="F102" s="5"/>
      <c r="G102" s="5"/>
    </row>
    <row r="103" spans="1:7" x14ac:dyDescent="0.3">
      <c r="A103" s="5" t="s">
        <v>168</v>
      </c>
      <c r="B103" s="5" t="s">
        <v>169</v>
      </c>
      <c r="C103" s="5"/>
      <c r="D103" s="5"/>
      <c r="E103" s="5"/>
      <c r="F103" s="5"/>
      <c r="G103" s="5"/>
    </row>
    <row r="106" spans="1:7" x14ac:dyDescent="0.3">
      <c r="A106" s="5" t="s">
        <v>170</v>
      </c>
      <c r="B106" s="5" t="s">
        <v>34</v>
      </c>
      <c r="C106" s="5"/>
      <c r="D106" s="5"/>
      <c r="E106" s="5"/>
      <c r="F106" s="5" t="s">
        <v>171</v>
      </c>
      <c r="G106" s="5"/>
    </row>
    <row r="107" spans="1:7" x14ac:dyDescent="0.3">
      <c r="A107" s="5" t="s">
        <v>172</v>
      </c>
      <c r="B107" s="5" t="s">
        <v>36</v>
      </c>
      <c r="C107" s="5"/>
      <c r="D107" s="5"/>
      <c r="E107" s="5"/>
      <c r="F107" s="5" t="s">
        <v>173</v>
      </c>
      <c r="G107" s="5"/>
    </row>
    <row r="108" spans="1:7" x14ac:dyDescent="0.3">
      <c r="A108" s="5" t="s">
        <v>53</v>
      </c>
      <c r="B108" s="5" t="s">
        <v>174</v>
      </c>
      <c r="C108" s="5"/>
      <c r="D108" s="5"/>
      <c r="E108" s="5"/>
      <c r="F108" s="5"/>
      <c r="G108" s="5"/>
    </row>
    <row r="109" spans="1:7" x14ac:dyDescent="0.3">
      <c r="A109" s="5" t="s">
        <v>175</v>
      </c>
      <c r="B109" s="5" t="s">
        <v>176</v>
      </c>
      <c r="C109" s="5"/>
      <c r="D109" s="5"/>
      <c r="E109" s="5"/>
      <c r="F109" s="5"/>
      <c r="G109" s="5"/>
    </row>
    <row r="115" spans="1:30" x14ac:dyDescent="0.3">
      <c r="A115" s="5" t="s">
        <v>181</v>
      </c>
      <c r="B115" s="5" t="s">
        <v>182</v>
      </c>
      <c r="C115" s="5"/>
      <c r="D115" s="5"/>
      <c r="E115" s="5" t="s">
        <v>183</v>
      </c>
      <c r="G115" s="5" t="s">
        <v>187</v>
      </c>
      <c r="H115" s="5" t="s">
        <v>188</v>
      </c>
      <c r="I115" s="5" t="s">
        <v>189</v>
      </c>
      <c r="J115" s="5"/>
      <c r="P115" s="5" t="s">
        <v>190</v>
      </c>
      <c r="Q115" s="5"/>
      <c r="R115" s="5" t="s">
        <v>191</v>
      </c>
      <c r="S115" s="5"/>
      <c r="T115" s="5"/>
      <c r="U115" s="5"/>
      <c r="V115" s="5"/>
      <c r="W115" s="5"/>
      <c r="Z115" s="5" t="s">
        <v>195</v>
      </c>
      <c r="AA115" s="5" t="s">
        <v>196</v>
      </c>
      <c r="AB115" s="5"/>
      <c r="AC115" s="5" t="s">
        <v>197</v>
      </c>
      <c r="AD115" s="5"/>
    </row>
    <row r="116" spans="1:30" x14ac:dyDescent="0.3">
      <c r="A116" s="5" t="s">
        <v>184</v>
      </c>
      <c r="B116" s="5" t="s">
        <v>185</v>
      </c>
      <c r="C116" s="5"/>
      <c r="D116" s="5"/>
      <c r="E116" s="5" t="s">
        <v>186</v>
      </c>
      <c r="G116" s="5">
        <v>32</v>
      </c>
      <c r="H116" s="5">
        <v>0</v>
      </c>
      <c r="I116" s="5"/>
      <c r="J116" s="5"/>
      <c r="P116" s="5"/>
      <c r="Q116" s="5"/>
      <c r="R116" s="5" t="s">
        <v>192</v>
      </c>
      <c r="S116" s="5"/>
      <c r="T116" s="5"/>
      <c r="U116" s="5"/>
      <c r="V116" s="5"/>
      <c r="W116" s="5"/>
      <c r="Z116" s="5" t="s">
        <v>198</v>
      </c>
      <c r="AA116" s="8" t="s">
        <v>199</v>
      </c>
      <c r="AB116" s="5"/>
      <c r="AC116" s="7">
        <v>9</v>
      </c>
      <c r="AD116" s="5"/>
    </row>
    <row r="117" spans="1:30" x14ac:dyDescent="0.3">
      <c r="G117" s="5">
        <v>1</v>
      </c>
      <c r="H117" s="5">
        <v>1</v>
      </c>
      <c r="I117" s="5"/>
      <c r="J117" s="5"/>
      <c r="P117" s="5" t="s">
        <v>193</v>
      </c>
      <c r="Q117" s="5"/>
      <c r="R117" s="5" t="s">
        <v>194</v>
      </c>
      <c r="S117" s="5"/>
      <c r="T117" s="5"/>
      <c r="U117" s="5"/>
      <c r="V117" s="5"/>
      <c r="W117" s="5"/>
      <c r="Z117" s="5" t="s">
        <v>200</v>
      </c>
      <c r="AA117" s="7">
        <v>110000</v>
      </c>
      <c r="AB117" s="5"/>
      <c r="AC117" s="7">
        <v>5</v>
      </c>
      <c r="AD117" s="5"/>
    </row>
    <row r="118" spans="1:30" x14ac:dyDescent="0.3">
      <c r="G118" s="5">
        <v>2</v>
      </c>
      <c r="H118" s="5">
        <v>1</v>
      </c>
      <c r="I118" s="5"/>
      <c r="J118" s="5"/>
      <c r="Z118" s="5" t="s">
        <v>201</v>
      </c>
      <c r="AA118" s="8" t="s">
        <v>202</v>
      </c>
      <c r="AB118" s="5"/>
      <c r="AC118" s="7" t="s">
        <v>203</v>
      </c>
      <c r="AD118" s="5"/>
    </row>
    <row r="119" spans="1:30" x14ac:dyDescent="0.3">
      <c r="G119" s="5">
        <v>3</v>
      </c>
      <c r="H119" s="5">
        <v>1</v>
      </c>
      <c r="I119" s="5"/>
      <c r="J119" s="5"/>
      <c r="Z119" s="5" t="s">
        <v>204</v>
      </c>
      <c r="AA119" s="8" t="s">
        <v>205</v>
      </c>
      <c r="AB119" s="5"/>
      <c r="AC119" s="7">
        <v>3</v>
      </c>
      <c r="AD119" s="5"/>
    </row>
    <row r="120" spans="1:30" x14ac:dyDescent="0.3">
      <c r="G120" s="5">
        <v>4</v>
      </c>
      <c r="H120" s="5">
        <v>0</v>
      </c>
      <c r="I120" s="5"/>
      <c r="J120" s="5"/>
      <c r="Z120" s="5" t="s">
        <v>206</v>
      </c>
      <c r="AA120" s="8" t="s">
        <v>207</v>
      </c>
      <c r="AB120" s="5"/>
      <c r="AC120" s="7" t="s">
        <v>208</v>
      </c>
      <c r="AD120" s="5"/>
    </row>
    <row r="121" spans="1:30" x14ac:dyDescent="0.3">
      <c r="G121" s="5">
        <v>5</v>
      </c>
      <c r="H121" s="5">
        <v>0</v>
      </c>
      <c r="I121" s="5"/>
      <c r="J121" s="5"/>
      <c r="Z121" s="5" t="s">
        <v>209</v>
      </c>
      <c r="AA121" s="8" t="s">
        <v>210</v>
      </c>
      <c r="AB121" s="5"/>
      <c r="AC121" s="7" t="s">
        <v>203</v>
      </c>
      <c r="AD121" s="5"/>
    </row>
    <row r="122" spans="1:30" x14ac:dyDescent="0.3">
      <c r="G122" s="5">
        <v>4</v>
      </c>
      <c r="H122" s="5">
        <v>0</v>
      </c>
      <c r="I122" s="5"/>
      <c r="J122" s="5"/>
      <c r="Z122" s="5" t="s">
        <v>211</v>
      </c>
      <c r="AA122" s="7">
        <v>110011</v>
      </c>
      <c r="AB122" s="5"/>
      <c r="AC122" s="7">
        <v>5</v>
      </c>
      <c r="AD122" s="5"/>
    </row>
    <row r="123" spans="1:30" x14ac:dyDescent="0.3">
      <c r="G123" s="5">
        <v>5</v>
      </c>
      <c r="H123" s="5">
        <v>0</v>
      </c>
      <c r="I123" s="5"/>
      <c r="J123" s="5"/>
      <c r="Z123" s="5" t="s">
        <v>212</v>
      </c>
      <c r="AA123" s="7">
        <v>110000</v>
      </c>
      <c r="AB123" s="5"/>
      <c r="AC123" s="7">
        <v>0</v>
      </c>
      <c r="AD123" s="5"/>
    </row>
    <row r="124" spans="1:30" x14ac:dyDescent="0.3">
      <c r="G124" s="5">
        <v>6</v>
      </c>
      <c r="H124" s="5">
        <v>0</v>
      </c>
      <c r="I124" s="5"/>
      <c r="J124" s="5"/>
      <c r="Z124" s="5"/>
      <c r="AA124" s="5"/>
      <c r="AB124" s="5"/>
      <c r="AC124" s="5"/>
      <c r="AD124" s="5"/>
    </row>
    <row r="125" spans="1:30" x14ac:dyDescent="0.3">
      <c r="G125" s="5">
        <v>7</v>
      </c>
      <c r="H125" s="5">
        <v>0</v>
      </c>
      <c r="I125" s="5"/>
      <c r="J125" s="5"/>
      <c r="Z125" s="5" t="s">
        <v>213</v>
      </c>
      <c r="AA125" s="5" t="s">
        <v>214</v>
      </c>
      <c r="AB125" s="5"/>
      <c r="AC125" s="5"/>
      <c r="AD125" s="5"/>
    </row>
    <row r="126" spans="1:30" x14ac:dyDescent="0.3">
      <c r="G126" s="5">
        <v>8</v>
      </c>
      <c r="H126" s="5">
        <v>0</v>
      </c>
      <c r="I126" s="5"/>
      <c r="J126" s="5"/>
      <c r="Z126" s="5"/>
      <c r="AA126" s="5"/>
      <c r="AB126" s="5"/>
      <c r="AC126" s="5"/>
      <c r="AD126" s="5"/>
    </row>
    <row r="127" spans="1:30" x14ac:dyDescent="0.3">
      <c r="G127" s="5">
        <v>9</v>
      </c>
      <c r="H127" s="5">
        <v>0</v>
      </c>
      <c r="I127" s="5"/>
      <c r="J127" s="5"/>
      <c r="Z127" s="5" t="s">
        <v>215</v>
      </c>
      <c r="AA127" s="5"/>
      <c r="AB127" s="5"/>
      <c r="AC127" s="5"/>
      <c r="AD127" s="5"/>
    </row>
    <row r="128" spans="1:30" x14ac:dyDescent="0.3">
      <c r="G128" s="5">
        <v>8</v>
      </c>
      <c r="H128" s="5">
        <v>0</v>
      </c>
      <c r="I128" s="5"/>
      <c r="J128" s="5"/>
      <c r="Z128" s="5" t="s">
        <v>216</v>
      </c>
      <c r="AA128" s="5"/>
      <c r="AB128" s="5"/>
      <c r="AC128" s="5"/>
      <c r="AD128" s="5"/>
    </row>
    <row r="129" spans="7:10" x14ac:dyDescent="0.3">
      <c r="G129" s="5">
        <v>9</v>
      </c>
      <c r="H129" s="5">
        <v>0</v>
      </c>
      <c r="I129" s="5"/>
      <c r="J129" s="5"/>
    </row>
    <row r="130" spans="7:10" x14ac:dyDescent="0.3">
      <c r="G130" s="5">
        <v>10</v>
      </c>
      <c r="H130" s="5">
        <v>1</v>
      </c>
      <c r="I130" s="5"/>
      <c r="J130" s="5"/>
    </row>
    <row r="131" spans="7:10" x14ac:dyDescent="0.3">
      <c r="G131" s="5">
        <v>11</v>
      </c>
      <c r="H131" s="5">
        <v>0</v>
      </c>
      <c r="I131" s="5"/>
      <c r="J131" s="5"/>
    </row>
    <row r="132" spans="7:10" x14ac:dyDescent="0.3">
      <c r="G132" s="5">
        <v>12</v>
      </c>
      <c r="H132" s="5">
        <v>1</v>
      </c>
      <c r="I132" s="5"/>
      <c r="J132" s="5"/>
    </row>
    <row r="133" spans="7:10" x14ac:dyDescent="0.3">
      <c r="G133" s="5">
        <v>13</v>
      </c>
      <c r="H133" s="5">
        <v>0</v>
      </c>
      <c r="I133" s="5"/>
      <c r="J133" s="5"/>
    </row>
    <row r="134" spans="7:10" x14ac:dyDescent="0.3">
      <c r="G134" s="5">
        <v>12</v>
      </c>
      <c r="H134" s="5">
        <v>1</v>
      </c>
      <c r="I134" s="5"/>
      <c r="J134" s="5"/>
    </row>
    <row r="135" spans="7:10" x14ac:dyDescent="0.3">
      <c r="G135" s="5">
        <v>13</v>
      </c>
      <c r="H135" s="5">
        <v>0</v>
      </c>
      <c r="I135" s="5"/>
      <c r="J135" s="5"/>
    </row>
    <row r="136" spans="7:10" x14ac:dyDescent="0.3">
      <c r="G136" s="5">
        <v>14</v>
      </c>
      <c r="H136" s="5">
        <v>1</v>
      </c>
      <c r="I136" s="5"/>
      <c r="J136" s="5"/>
    </row>
    <row r="137" spans="7:10" x14ac:dyDescent="0.3">
      <c r="G137" s="5">
        <v>15</v>
      </c>
      <c r="H137" s="5">
        <v>0</v>
      </c>
      <c r="I137" s="5"/>
      <c r="J137" s="5"/>
    </row>
    <row r="138" spans="7:10" x14ac:dyDescent="0.3">
      <c r="G138" s="5">
        <v>16</v>
      </c>
      <c r="H138" s="5">
        <v>0</v>
      </c>
      <c r="I138" s="5"/>
      <c r="J138" s="5"/>
    </row>
    <row r="139" spans="7:10" x14ac:dyDescent="0.3">
      <c r="G139" s="5">
        <v>17</v>
      </c>
      <c r="H139" s="5">
        <v>1</v>
      </c>
      <c r="I139" s="5"/>
      <c r="J139" s="5"/>
    </row>
    <row r="140" spans="7:10" x14ac:dyDescent="0.3">
      <c r="G140" s="5">
        <v>16</v>
      </c>
      <c r="H140" s="5">
        <v>0</v>
      </c>
      <c r="I140" s="5"/>
      <c r="J140" s="5"/>
    </row>
    <row r="141" spans="7:10" x14ac:dyDescent="0.3">
      <c r="G141" s="5">
        <v>17</v>
      </c>
      <c r="H141" s="5">
        <v>1</v>
      </c>
      <c r="I141" s="5"/>
      <c r="J141" s="5"/>
    </row>
    <row r="142" spans="7:10" x14ac:dyDescent="0.3">
      <c r="G142" s="5">
        <v>18</v>
      </c>
      <c r="H142" s="5">
        <v>1</v>
      </c>
      <c r="I142" s="5"/>
      <c r="J142" s="5"/>
    </row>
    <row r="143" spans="7:10" x14ac:dyDescent="0.3">
      <c r="G143" s="5">
        <v>19</v>
      </c>
      <c r="H143" s="5">
        <v>1</v>
      </c>
      <c r="I143" s="5"/>
      <c r="J143" s="5"/>
    </row>
    <row r="144" spans="7:10" x14ac:dyDescent="0.3">
      <c r="G144" s="5">
        <v>20</v>
      </c>
      <c r="H144" s="5">
        <v>1</v>
      </c>
      <c r="I144" s="5"/>
      <c r="J144" s="5"/>
    </row>
    <row r="145" spans="7:10" x14ac:dyDescent="0.3">
      <c r="G145" s="5">
        <v>21</v>
      </c>
      <c r="H145" s="5">
        <v>0</v>
      </c>
      <c r="I145" s="5"/>
      <c r="J145" s="5"/>
    </row>
    <row r="146" spans="7:10" x14ac:dyDescent="0.3">
      <c r="G146" s="5">
        <v>20</v>
      </c>
      <c r="H146" s="5">
        <v>1</v>
      </c>
      <c r="I146" s="5"/>
      <c r="J146" s="5"/>
    </row>
    <row r="147" spans="7:10" x14ac:dyDescent="0.3">
      <c r="G147" s="5">
        <v>21</v>
      </c>
      <c r="H147" s="5">
        <v>0</v>
      </c>
      <c r="I147" s="5"/>
      <c r="J147" s="5"/>
    </row>
    <row r="148" spans="7:10" x14ac:dyDescent="0.3">
      <c r="G148" s="5">
        <v>22</v>
      </c>
      <c r="H148" s="5">
        <v>0</v>
      </c>
      <c r="I148" s="5"/>
      <c r="J148" s="5"/>
    </row>
    <row r="149" spans="7:10" x14ac:dyDescent="0.3">
      <c r="G149" s="5">
        <v>23</v>
      </c>
      <c r="H149" s="5">
        <v>0</v>
      </c>
      <c r="I149" s="5"/>
      <c r="J149" s="5"/>
    </row>
    <row r="150" spans="7:10" x14ac:dyDescent="0.3">
      <c r="G150" s="5">
        <v>24</v>
      </c>
      <c r="H150" s="5">
        <v>0</v>
      </c>
      <c r="I150" s="5"/>
      <c r="J150" s="5"/>
    </row>
    <row r="151" spans="7:10" x14ac:dyDescent="0.3">
      <c r="G151" s="5">
        <v>25</v>
      </c>
      <c r="H151" s="5">
        <v>1</v>
      </c>
      <c r="I151" s="5"/>
      <c r="J151" s="5"/>
    </row>
    <row r="152" spans="7:10" x14ac:dyDescent="0.3">
      <c r="G152" s="5">
        <v>24</v>
      </c>
      <c r="H152" s="5">
        <v>0</v>
      </c>
      <c r="I152" s="5"/>
      <c r="J152" s="5"/>
    </row>
    <row r="153" spans="7:10" x14ac:dyDescent="0.3">
      <c r="G153" s="5">
        <v>25</v>
      </c>
      <c r="H153" s="5">
        <v>1</v>
      </c>
      <c r="I153" s="5"/>
      <c r="J153" s="5"/>
    </row>
    <row r="154" spans="7:10" x14ac:dyDescent="0.3">
      <c r="G154" s="5">
        <v>26</v>
      </c>
      <c r="H154" s="5">
        <v>0</v>
      </c>
      <c r="I154" s="5"/>
      <c r="J154" s="5"/>
    </row>
    <row r="155" spans="7:10" x14ac:dyDescent="0.3">
      <c r="G155" s="5">
        <v>27</v>
      </c>
      <c r="H155" s="5">
        <v>1</v>
      </c>
      <c r="I155" s="5"/>
      <c r="J155" s="5"/>
    </row>
    <row r="156" spans="7:10" x14ac:dyDescent="0.3">
      <c r="G156" s="5">
        <v>28</v>
      </c>
      <c r="H156" s="5">
        <v>0</v>
      </c>
      <c r="I156" s="5"/>
      <c r="J156" s="5"/>
    </row>
    <row r="157" spans="7:10" x14ac:dyDescent="0.3">
      <c r="G157" s="5">
        <v>29</v>
      </c>
      <c r="H157" s="5">
        <v>1</v>
      </c>
      <c r="I157" s="5"/>
      <c r="J157" s="5"/>
    </row>
    <row r="158" spans="7:10" x14ac:dyDescent="0.3">
      <c r="G158" s="5">
        <v>28</v>
      </c>
      <c r="H158" s="5">
        <v>0</v>
      </c>
      <c r="I158" s="5"/>
      <c r="J158" s="5"/>
    </row>
    <row r="159" spans="7:10" x14ac:dyDescent="0.3">
      <c r="G159" s="5">
        <v>29</v>
      </c>
      <c r="H159" s="5">
        <v>1</v>
      </c>
      <c r="I159" s="5"/>
      <c r="J159" s="5"/>
    </row>
    <row r="160" spans="7:10" x14ac:dyDescent="0.3">
      <c r="G160" s="5">
        <v>30</v>
      </c>
      <c r="H160" s="5">
        <v>0</v>
      </c>
      <c r="I160" s="5"/>
      <c r="J160" s="5"/>
    </row>
    <row r="161" spans="1:10" x14ac:dyDescent="0.3">
      <c r="G161" s="5">
        <v>31</v>
      </c>
      <c r="H161" s="5">
        <v>1</v>
      </c>
      <c r="I161" s="5"/>
      <c r="J161" s="5"/>
    </row>
    <row r="162" spans="1:10" x14ac:dyDescent="0.3">
      <c r="G162" s="5">
        <v>32</v>
      </c>
      <c r="H162" s="5">
        <v>0</v>
      </c>
      <c r="I162" s="5"/>
      <c r="J162" s="5"/>
    </row>
    <row r="163" spans="1:10" x14ac:dyDescent="0.3">
      <c r="G163" s="5">
        <v>1</v>
      </c>
      <c r="H163" s="5">
        <v>1</v>
      </c>
      <c r="I163" s="5"/>
      <c r="J163" s="5"/>
    </row>
    <row r="166" spans="1:10" x14ac:dyDescent="0.3">
      <c r="A166" s="12" t="s">
        <v>218</v>
      </c>
      <c r="B166" s="12"/>
      <c r="C166" s="13" t="s">
        <v>219</v>
      </c>
      <c r="D166" s="12"/>
      <c r="E166" s="12"/>
      <c r="F166" s="12"/>
      <c r="G166" s="12"/>
      <c r="H166" s="12"/>
      <c r="I166" s="12"/>
    </row>
    <row r="167" spans="1:10" x14ac:dyDescent="0.3">
      <c r="A167" s="11" t="s">
        <v>220</v>
      </c>
      <c r="B167" s="11"/>
      <c r="C167" s="11" t="s">
        <v>221</v>
      </c>
      <c r="D167" s="11"/>
      <c r="E167" s="11"/>
      <c r="F167" s="5"/>
      <c r="G167" s="5"/>
      <c r="H167" s="5"/>
      <c r="I16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Duc Anh [HS]</dc:creator>
  <cp:lastModifiedBy>Phan Duc Anh [HS]</cp:lastModifiedBy>
  <dcterms:created xsi:type="dcterms:W3CDTF">2025-08-20T02:10:44Z</dcterms:created>
  <dcterms:modified xsi:type="dcterms:W3CDTF">2025-08-22T07:48:26Z</dcterms:modified>
</cp:coreProperties>
</file>