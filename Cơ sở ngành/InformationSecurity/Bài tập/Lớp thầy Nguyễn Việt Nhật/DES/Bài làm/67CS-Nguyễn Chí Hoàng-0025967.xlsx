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72747EA6-1724-42E6-91EA-9C45E1EA7284}" xr6:coauthVersionLast="47" xr6:coauthVersionMax="47" xr10:uidLastSave="{00000000-0000-0000-0000-000000000000}"/>
  <bookViews>
    <workbookView xWindow="-120" yWindow="-120" windowWidth="24240" windowHeight="13020" firstSheet="21" activeTab="33" xr2:uid="{0A19F735-586F-4703-AC0C-CF44644EDD39}"/>
  </bookViews>
  <sheets>
    <sheet name="PC1" sheetId="1" r:id="rId1"/>
    <sheet name="K1" sheetId="2" r:id="rId2"/>
    <sheet name="Sheet3" sheetId="4" r:id="rId3"/>
    <sheet name="K2" sheetId="6" r:id="rId4"/>
    <sheet name="L2R2" sheetId="5" r:id="rId5"/>
    <sheet name="k3" sheetId="7" r:id="rId6"/>
    <sheet name="L3R3" sheetId="8" r:id="rId7"/>
    <sheet name="K4" sheetId="9" r:id="rId8"/>
    <sheet name="L4R4" sheetId="10" r:id="rId9"/>
    <sheet name="K5" sheetId="11" r:id="rId10"/>
    <sheet name="L5R5" sheetId="12" r:id="rId11"/>
    <sheet name="K6" sheetId="13" r:id="rId12"/>
    <sheet name="L6R6" sheetId="14" r:id="rId13"/>
    <sheet name="K7" sheetId="15" r:id="rId14"/>
    <sheet name="L7R7" sheetId="16" r:id="rId15"/>
    <sheet name="K8" sheetId="17" r:id="rId16"/>
    <sheet name="L8R8" sheetId="18" r:id="rId17"/>
    <sheet name="K9" sheetId="19" r:id="rId18"/>
    <sheet name="L9R9" sheetId="20" r:id="rId19"/>
    <sheet name="K10" sheetId="21" r:id="rId20"/>
    <sheet name="L10R10" sheetId="22" r:id="rId21"/>
    <sheet name="K11" sheetId="23" r:id="rId22"/>
    <sheet name="L11R11" sheetId="24" r:id="rId23"/>
    <sheet name="K12" sheetId="25" r:id="rId24"/>
    <sheet name="L12R12" sheetId="26" r:id="rId25"/>
    <sheet name="K13" sheetId="27" r:id="rId26"/>
    <sheet name="L13R13" sheetId="28" r:id="rId27"/>
    <sheet name="K14" sheetId="29" r:id="rId28"/>
    <sheet name="L14R14" sheetId="30" r:id="rId29"/>
    <sheet name="K15" sheetId="31" r:id="rId30"/>
    <sheet name="L15R15" sheetId="32" r:id="rId31"/>
    <sheet name="K16" sheetId="33" r:id="rId32"/>
    <sheet name="L16R16" sheetId="34" r:id="rId33"/>
    <sheet name="IP^-1" sheetId="35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35" l="1"/>
  <c r="H86" i="30"/>
  <c r="H90" i="30"/>
  <c r="H88" i="32"/>
  <c r="B205" i="32"/>
  <c r="H87" i="32"/>
  <c r="H86" i="32"/>
  <c r="D83" i="32"/>
  <c r="B78" i="32"/>
  <c r="B77" i="32"/>
  <c r="B79" i="32"/>
  <c r="B80" i="32"/>
  <c r="B81" i="32"/>
  <c r="B76" i="32"/>
  <c r="H68" i="32"/>
  <c r="D68" i="32"/>
  <c r="B68" i="32"/>
  <c r="B59" i="32"/>
  <c r="B56" i="32"/>
  <c r="D50" i="32"/>
  <c r="D49" i="32" s="1"/>
  <c r="D48" i="32" s="1"/>
  <c r="D47" i="32" s="1"/>
  <c r="D46" i="32" s="1"/>
  <c r="D45" i="32" s="1"/>
  <c r="D44" i="32" s="1"/>
  <c r="D43" i="32" s="1"/>
  <c r="D42" i="32" s="1"/>
  <c r="D41" i="32" s="1"/>
  <c r="D40" i="32" s="1"/>
  <c r="D39" i="32" s="1"/>
  <c r="D38" i="32" s="1"/>
  <c r="D37" i="32" s="1"/>
  <c r="D36" i="32" s="1"/>
  <c r="D35" i="32" s="1"/>
  <c r="D34" i="32" s="1"/>
  <c r="D33" i="32" s="1"/>
  <c r="D32" i="32" s="1"/>
  <c r="D31" i="32" s="1"/>
  <c r="D30" i="32" s="1"/>
  <c r="D29" i="32" s="1"/>
  <c r="D28" i="32" s="1"/>
  <c r="D27" i="32" s="1"/>
  <c r="D26" i="32" s="1"/>
  <c r="D25" i="32" s="1"/>
  <c r="D24" i="32" s="1"/>
  <c r="D23" i="32" s="1"/>
  <c r="D22" i="32" s="1"/>
  <c r="D21" i="32" s="1"/>
  <c r="D20" i="32" s="1"/>
  <c r="D19" i="32" s="1"/>
  <c r="D18" i="32" s="1"/>
  <c r="D17" i="32" s="1"/>
  <c r="D16" i="32" s="1"/>
  <c r="D15" i="32" s="1"/>
  <c r="D14" i="32" s="1"/>
  <c r="D13" i="32" s="1"/>
  <c r="D12" i="32" s="1"/>
  <c r="D11" i="32" s="1"/>
  <c r="D10" i="32" s="1"/>
  <c r="D9" i="32" s="1"/>
  <c r="D8" i="32" s="1"/>
  <c r="D7" i="32" s="1"/>
  <c r="D51" i="32"/>
  <c r="D52" i="32"/>
  <c r="D53" i="32"/>
  <c r="D4" i="29"/>
  <c r="K5" i="29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B69" i="32"/>
  <c r="B70" i="32"/>
  <c r="D70" i="32" s="1"/>
  <c r="B71" i="32"/>
  <c r="B72" i="32"/>
  <c r="D72" i="32" s="1"/>
  <c r="B73" i="32"/>
  <c r="D73" i="32" s="1"/>
  <c r="B221" i="30"/>
  <c r="B68" i="5"/>
  <c r="B69" i="5"/>
  <c r="B70" i="5"/>
  <c r="D70" i="5" s="1"/>
  <c r="B71" i="5"/>
  <c r="B72" i="5"/>
  <c r="B67" i="5"/>
  <c r="D67" i="5" s="1"/>
  <c r="I290" i="4"/>
  <c r="B289" i="4"/>
  <c r="P5" i="19"/>
  <c r="B69" i="8"/>
  <c r="B70" i="8"/>
  <c r="D70" i="8" s="1"/>
  <c r="B71" i="8"/>
  <c r="B72" i="8"/>
  <c r="D72" i="8" s="1"/>
  <c r="B73" i="8"/>
  <c r="B68" i="8"/>
  <c r="B159" i="4"/>
  <c r="B204" i="5"/>
  <c r="I208" i="5" s="1"/>
  <c r="K208" i="5" s="1"/>
  <c r="B205" i="8"/>
  <c r="C7" i="8"/>
  <c r="C7" i="7"/>
  <c r="C6" i="7"/>
  <c r="C18" i="5"/>
  <c r="H304" i="4"/>
  <c r="B296" i="4"/>
  <c r="B94" i="4"/>
  <c r="K9" i="6"/>
  <c r="K4" i="7"/>
  <c r="L4" i="7" s="1"/>
  <c r="O7" i="7"/>
  <c r="C30" i="4"/>
  <c r="C19" i="2"/>
  <c r="B5" i="35"/>
  <c r="C9" i="35" s="1"/>
  <c r="B221" i="34"/>
  <c r="B205" i="34"/>
  <c r="I206" i="34" s="1"/>
  <c r="B73" i="34"/>
  <c r="D73" i="34" s="1"/>
  <c r="B72" i="34"/>
  <c r="D72" i="34" s="1"/>
  <c r="B71" i="34"/>
  <c r="D71" i="34" s="1"/>
  <c r="B70" i="34"/>
  <c r="D70" i="34" s="1"/>
  <c r="B69" i="34"/>
  <c r="D69" i="34" s="1"/>
  <c r="B68" i="34"/>
  <c r="D68" i="34" s="1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B221" i="32"/>
  <c r="I206" i="32"/>
  <c r="D71" i="32"/>
  <c r="D69" i="32"/>
  <c r="C54" i="31"/>
  <c r="C53" i="31"/>
  <c r="D53" i="31" s="1"/>
  <c r="D52" i="31" s="1"/>
  <c r="D51" i="31" s="1"/>
  <c r="D50" i="31" s="1"/>
  <c r="D49" i="31" s="1"/>
  <c r="D48" i="31" s="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B205" i="30"/>
  <c r="I206" i="30" s="1"/>
  <c r="B73" i="30"/>
  <c r="D73" i="30" s="1"/>
  <c r="B72" i="30"/>
  <c r="D72" i="30" s="1"/>
  <c r="B71" i="30"/>
  <c r="D71" i="30" s="1"/>
  <c r="B70" i="30"/>
  <c r="D70" i="30" s="1"/>
  <c r="B69" i="30"/>
  <c r="D69" i="30" s="1"/>
  <c r="B68" i="30"/>
  <c r="D68" i="30" s="1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54" i="29"/>
  <c r="C53" i="29"/>
  <c r="D53" i="29" s="1"/>
  <c r="D52" i="29" s="1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B221" i="28"/>
  <c r="B205" i="28"/>
  <c r="I206" i="28" s="1"/>
  <c r="B73" i="28"/>
  <c r="C73" i="28" s="1"/>
  <c r="B72" i="28"/>
  <c r="D72" i="28" s="1"/>
  <c r="B71" i="28"/>
  <c r="C71" i="28" s="1"/>
  <c r="B70" i="28"/>
  <c r="D70" i="28" s="1"/>
  <c r="B69" i="28"/>
  <c r="C69" i="28" s="1"/>
  <c r="B68" i="28"/>
  <c r="D68" i="28" s="1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B221" i="26"/>
  <c r="B205" i="26"/>
  <c r="I206" i="26" s="1"/>
  <c r="B73" i="26"/>
  <c r="C73" i="26" s="1"/>
  <c r="B72" i="26"/>
  <c r="D72" i="26" s="1"/>
  <c r="B71" i="26"/>
  <c r="C71" i="26" s="1"/>
  <c r="B70" i="26"/>
  <c r="D70" i="26" s="1"/>
  <c r="B69" i="26"/>
  <c r="C69" i="26" s="1"/>
  <c r="B68" i="26"/>
  <c r="D68" i="26" s="1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54" i="25"/>
  <c r="C53" i="25"/>
  <c r="D53" i="25" s="1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B221" i="24"/>
  <c r="B205" i="24"/>
  <c r="I206" i="24" s="1"/>
  <c r="B73" i="24"/>
  <c r="D73" i="24" s="1"/>
  <c r="B72" i="24"/>
  <c r="D72" i="24" s="1"/>
  <c r="B71" i="24"/>
  <c r="D71" i="24" s="1"/>
  <c r="B70" i="24"/>
  <c r="D70" i="24" s="1"/>
  <c r="B69" i="24"/>
  <c r="D69" i="24" s="1"/>
  <c r="B68" i="24"/>
  <c r="D68" i="24" s="1"/>
  <c r="C54" i="24"/>
  <c r="C53" i="24"/>
  <c r="D53" i="24" s="1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B221" i="22"/>
  <c r="B205" i="22"/>
  <c r="I206" i="22" s="1"/>
  <c r="B73" i="22"/>
  <c r="D73" i="22" s="1"/>
  <c r="B72" i="22"/>
  <c r="D72" i="22" s="1"/>
  <c r="B71" i="22"/>
  <c r="D71" i="22" s="1"/>
  <c r="B70" i="22"/>
  <c r="D70" i="22" s="1"/>
  <c r="B69" i="22"/>
  <c r="D69" i="22" s="1"/>
  <c r="B68" i="22"/>
  <c r="D68" i="22" s="1"/>
  <c r="C54" i="22"/>
  <c r="C53" i="22"/>
  <c r="C52" i="22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C10" i="22"/>
  <c r="C9" i="22"/>
  <c r="C8" i="22"/>
  <c r="C7" i="22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B221" i="20"/>
  <c r="B205" i="20"/>
  <c r="I209" i="20" s="1"/>
  <c r="B73" i="20"/>
  <c r="D73" i="20" s="1"/>
  <c r="B72" i="20"/>
  <c r="D72" i="20" s="1"/>
  <c r="B71" i="20"/>
  <c r="D71" i="20" s="1"/>
  <c r="B70" i="20"/>
  <c r="D70" i="20" s="1"/>
  <c r="B69" i="20"/>
  <c r="D69" i="20" s="1"/>
  <c r="B68" i="20"/>
  <c r="D68" i="20" s="1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54" i="19"/>
  <c r="C53" i="19"/>
  <c r="D53" i="19" s="1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B221" i="18"/>
  <c r="B205" i="18"/>
  <c r="I209" i="18" s="1"/>
  <c r="B73" i="18"/>
  <c r="D73" i="18" s="1"/>
  <c r="B72" i="18"/>
  <c r="D72" i="18" s="1"/>
  <c r="B71" i="18"/>
  <c r="D71" i="18" s="1"/>
  <c r="B70" i="18"/>
  <c r="D70" i="18" s="1"/>
  <c r="B69" i="18"/>
  <c r="D69" i="18" s="1"/>
  <c r="B68" i="18"/>
  <c r="D68" i="18" s="1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B205" i="16"/>
  <c r="I206" i="16" s="1"/>
  <c r="C7" i="16"/>
  <c r="B221" i="16"/>
  <c r="B73" i="16"/>
  <c r="D73" i="16" s="1"/>
  <c r="B72" i="16"/>
  <c r="D72" i="16" s="1"/>
  <c r="B71" i="16"/>
  <c r="D71" i="16" s="1"/>
  <c r="B70" i="16"/>
  <c r="D70" i="16" s="1"/>
  <c r="B69" i="16"/>
  <c r="D69" i="16" s="1"/>
  <c r="B68" i="16"/>
  <c r="D68" i="16" s="1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54" i="15"/>
  <c r="C53" i="15"/>
  <c r="D53" i="15" s="1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B221" i="14"/>
  <c r="B205" i="14"/>
  <c r="I206" i="14" s="1"/>
  <c r="D73" i="14"/>
  <c r="B73" i="14"/>
  <c r="C73" i="14" s="1"/>
  <c r="B72" i="14"/>
  <c r="D72" i="14" s="1"/>
  <c r="B71" i="14"/>
  <c r="C71" i="14" s="1"/>
  <c r="B70" i="14"/>
  <c r="D70" i="14" s="1"/>
  <c r="D69" i="14"/>
  <c r="B69" i="14"/>
  <c r="C69" i="14" s="1"/>
  <c r="B68" i="14"/>
  <c r="D68" i="14" s="1"/>
  <c r="C54" i="14"/>
  <c r="C53" i="14"/>
  <c r="D53" i="14" s="1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54" i="13"/>
  <c r="C53" i="13"/>
  <c r="D53" i="13" s="1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7" i="12"/>
  <c r="B221" i="12"/>
  <c r="B205" i="12"/>
  <c r="I209" i="12" s="1"/>
  <c r="B73" i="12"/>
  <c r="D73" i="12" s="1"/>
  <c r="B72" i="12"/>
  <c r="D72" i="12" s="1"/>
  <c r="B71" i="12"/>
  <c r="D71" i="12" s="1"/>
  <c r="B70" i="12"/>
  <c r="D70" i="12" s="1"/>
  <c r="B69" i="12"/>
  <c r="D69" i="12" s="1"/>
  <c r="B68" i="12"/>
  <c r="D68" i="12" s="1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B205" i="10"/>
  <c r="I208" i="10" s="1"/>
  <c r="K208" i="10" s="1"/>
  <c r="B69" i="10"/>
  <c r="D69" i="10" s="1"/>
  <c r="B70" i="10"/>
  <c r="D70" i="10" s="1"/>
  <c r="B71" i="10"/>
  <c r="D71" i="10" s="1"/>
  <c r="B72" i="10"/>
  <c r="D72" i="10" s="1"/>
  <c r="B73" i="10"/>
  <c r="B68" i="10"/>
  <c r="D68" i="10" s="1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7" i="10"/>
  <c r="B221" i="10"/>
  <c r="D73" i="10"/>
  <c r="K5" i="7"/>
  <c r="K6" i="7"/>
  <c r="K7" i="7"/>
  <c r="K8" i="7"/>
  <c r="K9" i="7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7" i="9"/>
  <c r="I208" i="8"/>
  <c r="K208" i="8" s="1"/>
  <c r="I207" i="8"/>
  <c r="K207" i="8" s="1"/>
  <c r="C69" i="8"/>
  <c r="C73" i="8"/>
  <c r="D68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B221" i="8"/>
  <c r="C71" i="8"/>
  <c r="D71" i="8"/>
  <c r="C10" i="7"/>
  <c r="C12" i="7"/>
  <c r="C13" i="7"/>
  <c r="C15" i="7"/>
  <c r="C16" i="7"/>
  <c r="C17" i="7"/>
  <c r="C18" i="7"/>
  <c r="C22" i="7"/>
  <c r="C24" i="7"/>
  <c r="C25" i="7"/>
  <c r="C27" i="7"/>
  <c r="C28" i="7"/>
  <c r="C29" i="7"/>
  <c r="C30" i="7"/>
  <c r="C34" i="7"/>
  <c r="C36" i="7"/>
  <c r="C37" i="7"/>
  <c r="C39" i="7"/>
  <c r="C40" i="7"/>
  <c r="C41" i="7"/>
  <c r="C42" i="7"/>
  <c r="C44" i="7"/>
  <c r="C45" i="7"/>
  <c r="C46" i="7"/>
  <c r="C48" i="7"/>
  <c r="C49" i="7"/>
  <c r="C50" i="7"/>
  <c r="C51" i="7"/>
  <c r="C52" i="7"/>
  <c r="C53" i="7"/>
  <c r="B220" i="5"/>
  <c r="I206" i="5"/>
  <c r="K206" i="5" s="1"/>
  <c r="I207" i="5"/>
  <c r="K207" i="5" s="1"/>
  <c r="D68" i="5"/>
  <c r="D72" i="5"/>
  <c r="K10" i="6"/>
  <c r="K14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11" i="6"/>
  <c r="C7" i="5"/>
  <c r="C13" i="5"/>
  <c r="C17" i="5"/>
  <c r="C19" i="5"/>
  <c r="C25" i="5"/>
  <c r="C29" i="5"/>
  <c r="C31" i="5"/>
  <c r="C37" i="5"/>
  <c r="C41" i="5"/>
  <c r="C43" i="5"/>
  <c r="C49" i="5"/>
  <c r="C53" i="5"/>
  <c r="D71" i="5"/>
  <c r="C71" i="5"/>
  <c r="D69" i="5"/>
  <c r="C69" i="5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I298" i="4"/>
  <c r="K298" i="4" s="1"/>
  <c r="I299" i="4"/>
  <c r="K299" i="4" s="1"/>
  <c r="I300" i="4"/>
  <c r="J300" i="4" s="1"/>
  <c r="I297" i="4"/>
  <c r="K297" i="4" s="1"/>
  <c r="B164" i="4"/>
  <c r="C164" i="4" s="1"/>
  <c r="B163" i="4"/>
  <c r="C163" i="4" s="1"/>
  <c r="B162" i="4"/>
  <c r="D162" i="4" s="1"/>
  <c r="B161" i="4"/>
  <c r="C161" i="4" s="1"/>
  <c r="B160" i="4"/>
  <c r="D160" i="4" s="1"/>
  <c r="C159" i="4"/>
  <c r="B95" i="4"/>
  <c r="C108" i="4" s="1"/>
  <c r="S31" i="4"/>
  <c r="T31" i="4" s="1"/>
  <c r="S32" i="4"/>
  <c r="T32" i="4" s="1"/>
  <c r="S33" i="4"/>
  <c r="T33" i="4" s="1"/>
  <c r="S34" i="4"/>
  <c r="T34" i="4" s="1"/>
  <c r="S35" i="4"/>
  <c r="T35" i="4" s="1"/>
  <c r="S36" i="4"/>
  <c r="T36" i="4" s="1"/>
  <c r="S37" i="4"/>
  <c r="T37" i="4" s="1"/>
  <c r="S30" i="4"/>
  <c r="T30" i="4" s="1"/>
  <c r="C31" i="4"/>
  <c r="C32" i="4"/>
  <c r="C33" i="4"/>
  <c r="C34" i="4"/>
  <c r="C35" i="4"/>
  <c r="C36" i="4"/>
  <c r="C37" i="4"/>
  <c r="C38" i="4"/>
  <c r="C39" i="4"/>
  <c r="C40" i="4"/>
  <c r="C41" i="4"/>
  <c r="C42" i="4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12" i="4"/>
  <c r="C12" i="4" s="1"/>
  <c r="B4" i="4"/>
  <c r="C4" i="4" s="1"/>
  <c r="B5" i="4"/>
  <c r="C5" i="4" s="1"/>
  <c r="B6" i="4"/>
  <c r="C6" i="4" s="1"/>
  <c r="B7" i="4"/>
  <c r="C7" i="4" s="1"/>
  <c r="B8" i="4"/>
  <c r="C8" i="4" s="1"/>
  <c r="B3" i="4"/>
  <c r="C3" i="4" s="1"/>
  <c r="K18" i="2"/>
  <c r="L18" i="2" s="1"/>
  <c r="K19" i="2"/>
  <c r="K20" i="2"/>
  <c r="K21" i="2"/>
  <c r="L21" i="2" s="1"/>
  <c r="K22" i="2"/>
  <c r="K17" i="2"/>
  <c r="L17" i="2" s="1"/>
  <c r="L22" i="2"/>
  <c r="L20" i="2"/>
  <c r="L19" i="2"/>
  <c r="C17" i="2"/>
  <c r="C29" i="2" s="1"/>
  <c r="M11" i="2"/>
  <c r="N11" i="2" s="1"/>
  <c r="M12" i="2"/>
  <c r="N12" i="2" s="1"/>
  <c r="M13" i="2"/>
  <c r="N13" i="2" s="1"/>
  <c r="M10" i="2"/>
  <c r="N10" i="2" s="1"/>
  <c r="G11" i="2"/>
  <c r="H11" i="2" s="1"/>
  <c r="G12" i="2"/>
  <c r="H12" i="2" s="1"/>
  <c r="G13" i="2"/>
  <c r="H13" i="2" s="1"/>
  <c r="G10" i="2"/>
  <c r="H10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4" i="2"/>
  <c r="C4" i="2" s="1"/>
  <c r="G3" i="2"/>
  <c r="G4" i="2"/>
  <c r="N22" i="1"/>
  <c r="N23" i="1"/>
  <c r="N24" i="1"/>
  <c r="N25" i="1"/>
  <c r="N26" i="1"/>
  <c r="N27" i="1"/>
  <c r="N21" i="1"/>
  <c r="M22" i="1"/>
  <c r="M23" i="1"/>
  <c r="M24" i="1"/>
  <c r="M25" i="1"/>
  <c r="M26" i="1"/>
  <c r="M27" i="1"/>
  <c r="M21" i="1"/>
  <c r="D19" i="1"/>
  <c r="D73" i="1"/>
  <c r="D72" i="1" s="1"/>
  <c r="D71" i="1" s="1"/>
  <c r="D70" i="1" s="1"/>
  <c r="D69" i="1" s="1"/>
  <c r="D68" i="1" s="1"/>
  <c r="D67" i="1" s="1"/>
  <c r="D66" i="1" s="1"/>
  <c r="D65" i="1" s="1"/>
  <c r="D64" i="1" s="1"/>
  <c r="D63" i="1" s="1"/>
  <c r="D62" i="1" s="1"/>
  <c r="D61" i="1" s="1"/>
  <c r="D60" i="1" s="1"/>
  <c r="D59" i="1" s="1"/>
  <c r="D58" i="1" s="1"/>
  <c r="D57" i="1" s="1"/>
  <c r="D56" i="1" s="1"/>
  <c r="D55" i="1" s="1"/>
  <c r="D54" i="1" s="1"/>
  <c r="D53" i="1" s="1"/>
  <c r="D52" i="1" s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D38" i="1" s="1"/>
  <c r="D37" i="1" s="1"/>
  <c r="D36" i="1" s="1"/>
  <c r="D35" i="1" s="1"/>
  <c r="D34" i="1" s="1"/>
  <c r="D33" i="1" s="1"/>
  <c r="D32" i="1" s="1"/>
  <c r="D31" i="1" s="1"/>
  <c r="D30" i="1" s="1"/>
  <c r="D29" i="1" s="1"/>
  <c r="D28" i="1" s="1"/>
  <c r="D27" i="1" s="1"/>
  <c r="D26" i="1" s="1"/>
  <c r="D25" i="1" s="1"/>
  <c r="D24" i="1" s="1"/>
  <c r="D23" i="1" s="1"/>
  <c r="D22" i="1" s="1"/>
  <c r="D21" i="1" s="1"/>
  <c r="D74" i="1"/>
  <c r="D75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21" i="1"/>
  <c r="D15" i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16" i="1"/>
  <c r="D17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3" i="1"/>
  <c r="D53" i="22" l="1"/>
  <c r="D53" i="20"/>
  <c r="D52" i="20" s="1"/>
  <c r="D51" i="20" s="1"/>
  <c r="D50" i="20" s="1"/>
  <c r="D49" i="20" s="1"/>
  <c r="D48" i="20" s="1"/>
  <c r="D47" i="20" s="1"/>
  <c r="D46" i="20" s="1"/>
  <c r="D45" i="20" s="1"/>
  <c r="D44" i="20" s="1"/>
  <c r="D43" i="20" s="1"/>
  <c r="D42" i="20" s="1"/>
  <c r="D41" i="20" s="1"/>
  <c r="D40" i="20" s="1"/>
  <c r="D39" i="20" s="1"/>
  <c r="D38" i="20" s="1"/>
  <c r="D37" i="20" s="1"/>
  <c r="D36" i="20" s="1"/>
  <c r="D35" i="20" s="1"/>
  <c r="D34" i="20" s="1"/>
  <c r="D33" i="20" s="1"/>
  <c r="D32" i="20" s="1"/>
  <c r="D31" i="20" s="1"/>
  <c r="D30" i="20" s="1"/>
  <c r="D29" i="20" s="1"/>
  <c r="D28" i="20" s="1"/>
  <c r="D27" i="20" s="1"/>
  <c r="D26" i="20" s="1"/>
  <c r="D25" i="20" s="1"/>
  <c r="D24" i="20" s="1"/>
  <c r="D23" i="20" s="1"/>
  <c r="D22" i="20" s="1"/>
  <c r="D21" i="20" s="1"/>
  <c r="D20" i="20" s="1"/>
  <c r="D19" i="20" s="1"/>
  <c r="D18" i="20" s="1"/>
  <c r="D17" i="20" s="1"/>
  <c r="D16" i="20" s="1"/>
  <c r="D15" i="20" s="1"/>
  <c r="D14" i="20" s="1"/>
  <c r="D13" i="20" s="1"/>
  <c r="D12" i="20" s="1"/>
  <c r="D11" i="20" s="1"/>
  <c r="D10" i="20" s="1"/>
  <c r="D9" i="20" s="1"/>
  <c r="D8" i="20" s="1"/>
  <c r="D7" i="20" s="1"/>
  <c r="B56" i="20" s="1"/>
  <c r="D53" i="8"/>
  <c r="D52" i="8" s="1"/>
  <c r="C19" i="35"/>
  <c r="C68" i="35"/>
  <c r="C67" i="35"/>
  <c r="C56" i="35"/>
  <c r="C55" i="35"/>
  <c r="C44" i="35"/>
  <c r="C43" i="35"/>
  <c r="C32" i="35"/>
  <c r="C31" i="35"/>
  <c r="C20" i="35"/>
  <c r="D53" i="34"/>
  <c r="D52" i="34" s="1"/>
  <c r="D51" i="34" s="1"/>
  <c r="D50" i="34" s="1"/>
  <c r="D49" i="34" s="1"/>
  <c r="D48" i="34" s="1"/>
  <c r="D47" i="34" s="1"/>
  <c r="D46" i="34" s="1"/>
  <c r="D45" i="34" s="1"/>
  <c r="D44" i="34" s="1"/>
  <c r="D43" i="34" s="1"/>
  <c r="D42" i="34" s="1"/>
  <c r="D41" i="34" s="1"/>
  <c r="D40" i="34" s="1"/>
  <c r="D39" i="34" s="1"/>
  <c r="D38" i="34" s="1"/>
  <c r="D37" i="34" s="1"/>
  <c r="D36" i="34" s="1"/>
  <c r="D35" i="34" s="1"/>
  <c r="D34" i="34" s="1"/>
  <c r="D33" i="34" s="1"/>
  <c r="D32" i="34" s="1"/>
  <c r="D31" i="34" s="1"/>
  <c r="D30" i="34" s="1"/>
  <c r="D29" i="34" s="1"/>
  <c r="D28" i="34" s="1"/>
  <c r="D27" i="34" s="1"/>
  <c r="D26" i="34" s="1"/>
  <c r="D25" i="34" s="1"/>
  <c r="D24" i="34" s="1"/>
  <c r="D23" i="34" s="1"/>
  <c r="D22" i="34" s="1"/>
  <c r="D21" i="34" s="1"/>
  <c r="D20" i="34" s="1"/>
  <c r="D19" i="34" s="1"/>
  <c r="D18" i="34" s="1"/>
  <c r="D17" i="34" s="1"/>
  <c r="D16" i="34" s="1"/>
  <c r="D15" i="34" s="1"/>
  <c r="D14" i="34" s="1"/>
  <c r="D13" i="34" s="1"/>
  <c r="D12" i="34" s="1"/>
  <c r="D11" i="34" s="1"/>
  <c r="D10" i="34" s="1"/>
  <c r="D9" i="34" s="1"/>
  <c r="D8" i="34" s="1"/>
  <c r="D7" i="34" s="1"/>
  <c r="B56" i="34" s="1"/>
  <c r="D53" i="30"/>
  <c r="D52" i="30" s="1"/>
  <c r="D51" i="30" s="1"/>
  <c r="D50" i="30" s="1"/>
  <c r="D49" i="30" s="1"/>
  <c r="D48" i="30" s="1"/>
  <c r="D47" i="30" s="1"/>
  <c r="D46" i="30" s="1"/>
  <c r="D45" i="30" s="1"/>
  <c r="D44" i="30" s="1"/>
  <c r="D43" i="30" s="1"/>
  <c r="D42" i="30" s="1"/>
  <c r="D41" i="30" s="1"/>
  <c r="D40" i="30" s="1"/>
  <c r="D39" i="30" s="1"/>
  <c r="D38" i="30" s="1"/>
  <c r="D37" i="30" s="1"/>
  <c r="D36" i="30" s="1"/>
  <c r="D35" i="30" s="1"/>
  <c r="D34" i="30" s="1"/>
  <c r="D33" i="30" s="1"/>
  <c r="D32" i="30" s="1"/>
  <c r="D31" i="30" s="1"/>
  <c r="D30" i="30" s="1"/>
  <c r="D29" i="30" s="1"/>
  <c r="D28" i="30" s="1"/>
  <c r="D27" i="30" s="1"/>
  <c r="D26" i="30" s="1"/>
  <c r="D25" i="30" s="1"/>
  <c r="D24" i="30" s="1"/>
  <c r="D23" i="30" s="1"/>
  <c r="D22" i="30" s="1"/>
  <c r="D21" i="30" s="1"/>
  <c r="D20" i="30" s="1"/>
  <c r="D19" i="30" s="1"/>
  <c r="D18" i="30" s="1"/>
  <c r="D17" i="30" s="1"/>
  <c r="D16" i="30" s="1"/>
  <c r="D15" i="30" s="1"/>
  <c r="D14" i="30" s="1"/>
  <c r="D13" i="30" s="1"/>
  <c r="D12" i="30" s="1"/>
  <c r="D11" i="30" s="1"/>
  <c r="D10" i="30" s="1"/>
  <c r="D9" i="30" s="1"/>
  <c r="D8" i="30" s="1"/>
  <c r="D7" i="30" s="1"/>
  <c r="B56" i="30" s="1"/>
  <c r="D53" i="26"/>
  <c r="I208" i="20"/>
  <c r="K208" i="20" s="1"/>
  <c r="D53" i="18"/>
  <c r="I206" i="18"/>
  <c r="K206" i="18" s="1"/>
  <c r="D52" i="14"/>
  <c r="C66" i="35"/>
  <c r="C54" i="35"/>
  <c r="C42" i="35"/>
  <c r="C30" i="35"/>
  <c r="C18" i="35"/>
  <c r="C65" i="35"/>
  <c r="C53" i="35"/>
  <c r="C41" i="35"/>
  <c r="C29" i="35"/>
  <c r="C17" i="35"/>
  <c r="C64" i="35"/>
  <c r="C52" i="35"/>
  <c r="C40" i="35"/>
  <c r="C28" i="35"/>
  <c r="C16" i="35"/>
  <c r="C63" i="35"/>
  <c r="C51" i="35"/>
  <c r="C39" i="35"/>
  <c r="C27" i="35"/>
  <c r="C15" i="35"/>
  <c r="C62" i="35"/>
  <c r="C50" i="35"/>
  <c r="C38" i="35"/>
  <c r="C26" i="35"/>
  <c r="C14" i="35"/>
  <c r="C61" i="35"/>
  <c r="C49" i="35"/>
  <c r="C37" i="35"/>
  <c r="C25" i="35"/>
  <c r="C13" i="35"/>
  <c r="C8" i="35"/>
  <c r="C60" i="35"/>
  <c r="C48" i="35"/>
  <c r="C36" i="35"/>
  <c r="C24" i="35"/>
  <c r="C12" i="35"/>
  <c r="C71" i="35"/>
  <c r="C59" i="35"/>
  <c r="C47" i="35"/>
  <c r="C35" i="35"/>
  <c r="C23" i="35"/>
  <c r="C11" i="35"/>
  <c r="C70" i="35"/>
  <c r="C58" i="35"/>
  <c r="C46" i="35"/>
  <c r="C34" i="35"/>
  <c r="C22" i="35"/>
  <c r="C10" i="35"/>
  <c r="C69" i="35"/>
  <c r="C57" i="35"/>
  <c r="C45" i="35"/>
  <c r="C33" i="35"/>
  <c r="C21" i="35"/>
  <c r="I208" i="30"/>
  <c r="K208" i="30" s="1"/>
  <c r="I207" i="28"/>
  <c r="K207" i="28" s="1"/>
  <c r="D53" i="28"/>
  <c r="D52" i="28" s="1"/>
  <c r="D51" i="28" s="1"/>
  <c r="D50" i="28" s="1"/>
  <c r="D49" i="28" s="1"/>
  <c r="D48" i="28" s="1"/>
  <c r="D47" i="28" s="1"/>
  <c r="D46" i="28" s="1"/>
  <c r="D45" i="28" s="1"/>
  <c r="D44" i="28" s="1"/>
  <c r="D43" i="28" s="1"/>
  <c r="D42" i="28" s="1"/>
  <c r="D41" i="28" s="1"/>
  <c r="D40" i="28" s="1"/>
  <c r="D39" i="28" s="1"/>
  <c r="D38" i="28" s="1"/>
  <c r="D37" i="28" s="1"/>
  <c r="D36" i="28" s="1"/>
  <c r="D35" i="28" s="1"/>
  <c r="D34" i="28" s="1"/>
  <c r="D33" i="28" s="1"/>
  <c r="D32" i="28" s="1"/>
  <c r="D31" i="28" s="1"/>
  <c r="D30" i="28" s="1"/>
  <c r="D29" i="28" s="1"/>
  <c r="D28" i="28" s="1"/>
  <c r="D27" i="28" s="1"/>
  <c r="D26" i="28" s="1"/>
  <c r="D25" i="28" s="1"/>
  <c r="D24" i="28" s="1"/>
  <c r="D23" i="28" s="1"/>
  <c r="D22" i="28" s="1"/>
  <c r="D21" i="28" s="1"/>
  <c r="D20" i="28" s="1"/>
  <c r="D19" i="28" s="1"/>
  <c r="D18" i="28" s="1"/>
  <c r="D17" i="28" s="1"/>
  <c r="D16" i="28" s="1"/>
  <c r="D15" i="28" s="1"/>
  <c r="D14" i="28" s="1"/>
  <c r="D13" i="28" s="1"/>
  <c r="D12" i="28" s="1"/>
  <c r="D11" i="28" s="1"/>
  <c r="D10" i="28" s="1"/>
  <c r="D9" i="28" s="1"/>
  <c r="D8" i="28" s="1"/>
  <c r="D7" i="28" s="1"/>
  <c r="B56" i="28" s="1"/>
  <c r="I207" i="26"/>
  <c r="K207" i="26" s="1"/>
  <c r="I208" i="26"/>
  <c r="K208" i="26" s="1"/>
  <c r="I207" i="24"/>
  <c r="K207" i="24" s="1"/>
  <c r="I208" i="24"/>
  <c r="D52" i="22"/>
  <c r="D51" i="22" s="1"/>
  <c r="D50" i="22" s="1"/>
  <c r="D49" i="22" s="1"/>
  <c r="D48" i="22" s="1"/>
  <c r="D47" i="22" s="1"/>
  <c r="D46" i="22" s="1"/>
  <c r="D45" i="22" s="1"/>
  <c r="D44" i="22" s="1"/>
  <c r="D43" i="22" s="1"/>
  <c r="D42" i="22" s="1"/>
  <c r="D41" i="22" s="1"/>
  <c r="D40" i="22" s="1"/>
  <c r="D39" i="22" s="1"/>
  <c r="D38" i="22" s="1"/>
  <c r="D37" i="22" s="1"/>
  <c r="D36" i="22" s="1"/>
  <c r="D35" i="22" s="1"/>
  <c r="D34" i="22" s="1"/>
  <c r="D33" i="22" s="1"/>
  <c r="D32" i="22" s="1"/>
  <c r="D31" i="22" s="1"/>
  <c r="D30" i="22" s="1"/>
  <c r="D29" i="22" s="1"/>
  <c r="D28" i="22" s="1"/>
  <c r="D27" i="22" s="1"/>
  <c r="D26" i="22" s="1"/>
  <c r="D25" i="22" s="1"/>
  <c r="D24" i="22" s="1"/>
  <c r="D23" i="22" s="1"/>
  <c r="D22" i="22" s="1"/>
  <c r="D21" i="22" s="1"/>
  <c r="D20" i="22" s="1"/>
  <c r="D19" i="22" s="1"/>
  <c r="D18" i="22" s="1"/>
  <c r="D17" i="22" s="1"/>
  <c r="D16" i="22" s="1"/>
  <c r="D15" i="22" s="1"/>
  <c r="D14" i="22" s="1"/>
  <c r="D13" i="22" s="1"/>
  <c r="D12" i="22" s="1"/>
  <c r="D11" i="22" s="1"/>
  <c r="D10" i="22" s="1"/>
  <c r="D9" i="22" s="1"/>
  <c r="D8" i="22" s="1"/>
  <c r="D7" i="22" s="1"/>
  <c r="B56" i="22" s="1"/>
  <c r="I206" i="20"/>
  <c r="D53" i="16"/>
  <c r="D52" i="16" s="1"/>
  <c r="D51" i="16" s="1"/>
  <c r="D50" i="16" s="1"/>
  <c r="D49" i="16" s="1"/>
  <c r="D48" i="16" s="1"/>
  <c r="D47" i="16" s="1"/>
  <c r="D46" i="16" s="1"/>
  <c r="D45" i="16" s="1"/>
  <c r="D44" i="16" s="1"/>
  <c r="D43" i="16" s="1"/>
  <c r="D42" i="16" s="1"/>
  <c r="D41" i="16" s="1"/>
  <c r="D40" i="16" s="1"/>
  <c r="D39" i="16" s="1"/>
  <c r="D38" i="16" s="1"/>
  <c r="D37" i="16" s="1"/>
  <c r="D36" i="16" s="1"/>
  <c r="D35" i="16" s="1"/>
  <c r="D34" i="16" s="1"/>
  <c r="D33" i="16" s="1"/>
  <c r="D32" i="16" s="1"/>
  <c r="D31" i="16" s="1"/>
  <c r="D30" i="16" s="1"/>
  <c r="D29" i="16" s="1"/>
  <c r="D28" i="16" s="1"/>
  <c r="D27" i="16" s="1"/>
  <c r="D26" i="16" s="1"/>
  <c r="D25" i="16" s="1"/>
  <c r="D24" i="16" s="1"/>
  <c r="D23" i="16" s="1"/>
  <c r="D22" i="16" s="1"/>
  <c r="D21" i="16" s="1"/>
  <c r="D20" i="16" s="1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B56" i="16" s="1"/>
  <c r="B59" i="16" s="1"/>
  <c r="D71" i="14"/>
  <c r="I208" i="14"/>
  <c r="K208" i="14" s="1"/>
  <c r="I206" i="12"/>
  <c r="J206" i="12" s="1"/>
  <c r="I208" i="12"/>
  <c r="K208" i="12" s="1"/>
  <c r="D53" i="12"/>
  <c r="D52" i="12" s="1"/>
  <c r="D51" i="12" s="1"/>
  <c r="D50" i="12" s="1"/>
  <c r="D49" i="12" s="1"/>
  <c r="D48" i="12" s="1"/>
  <c r="D47" i="12" s="1"/>
  <c r="D46" i="12" s="1"/>
  <c r="D45" i="12" s="1"/>
  <c r="D44" i="12" s="1"/>
  <c r="D43" i="12" s="1"/>
  <c r="D42" i="12" s="1"/>
  <c r="D41" i="12" s="1"/>
  <c r="D40" i="12" s="1"/>
  <c r="D39" i="12" s="1"/>
  <c r="D38" i="12" s="1"/>
  <c r="D37" i="12" s="1"/>
  <c r="D36" i="12" s="1"/>
  <c r="D35" i="12" s="1"/>
  <c r="D34" i="12" s="1"/>
  <c r="D33" i="12" s="1"/>
  <c r="D32" i="12" s="1"/>
  <c r="D31" i="12" s="1"/>
  <c r="D30" i="12" s="1"/>
  <c r="D29" i="12" s="1"/>
  <c r="D28" i="12" s="1"/>
  <c r="D27" i="12" s="1"/>
  <c r="D26" i="12" s="1"/>
  <c r="D25" i="12" s="1"/>
  <c r="D24" i="12" s="1"/>
  <c r="D23" i="12" s="1"/>
  <c r="D22" i="12" s="1"/>
  <c r="D21" i="12" s="1"/>
  <c r="D20" i="12" s="1"/>
  <c r="D19" i="12" s="1"/>
  <c r="D18" i="12" s="1"/>
  <c r="D17" i="12" s="1"/>
  <c r="D16" i="12" s="1"/>
  <c r="D15" i="12" s="1"/>
  <c r="D14" i="12" s="1"/>
  <c r="D13" i="12" s="1"/>
  <c r="D12" i="12" s="1"/>
  <c r="D11" i="12" s="1"/>
  <c r="D10" i="12" s="1"/>
  <c r="D9" i="12" s="1"/>
  <c r="D8" i="12" s="1"/>
  <c r="D7" i="12" s="1"/>
  <c r="B56" i="12" s="1"/>
  <c r="I209" i="10"/>
  <c r="I206" i="10"/>
  <c r="I207" i="10"/>
  <c r="K207" i="10" s="1"/>
  <c r="D53" i="10"/>
  <c r="D52" i="10" s="1"/>
  <c r="D51" i="10" s="1"/>
  <c r="D50" i="10" s="1"/>
  <c r="D49" i="10" s="1"/>
  <c r="D48" i="10" s="1"/>
  <c r="D47" i="10" s="1"/>
  <c r="D46" i="10" s="1"/>
  <c r="D45" i="10" s="1"/>
  <c r="D44" i="10" s="1"/>
  <c r="D43" i="10" s="1"/>
  <c r="D42" i="10" s="1"/>
  <c r="D41" i="10" s="1"/>
  <c r="D40" i="10" s="1"/>
  <c r="D39" i="10" s="1"/>
  <c r="D38" i="10" s="1"/>
  <c r="D37" i="10" s="1"/>
  <c r="D36" i="10" s="1"/>
  <c r="D35" i="10" s="1"/>
  <c r="D34" i="10" s="1"/>
  <c r="D33" i="10" s="1"/>
  <c r="D32" i="10" s="1"/>
  <c r="D31" i="10" s="1"/>
  <c r="D30" i="10" s="1"/>
  <c r="D29" i="10" s="1"/>
  <c r="D28" i="10" s="1"/>
  <c r="D27" i="10" s="1"/>
  <c r="D26" i="10" s="1"/>
  <c r="D25" i="10" s="1"/>
  <c r="D24" i="10" s="1"/>
  <c r="D23" i="10" s="1"/>
  <c r="D22" i="10" s="1"/>
  <c r="D21" i="10" s="1"/>
  <c r="D20" i="10" s="1"/>
  <c r="D19" i="10" s="1"/>
  <c r="D18" i="10" s="1"/>
  <c r="D17" i="10" s="1"/>
  <c r="D16" i="10" s="1"/>
  <c r="D15" i="10" s="1"/>
  <c r="D14" i="10" s="1"/>
  <c r="D13" i="10" s="1"/>
  <c r="D12" i="10" s="1"/>
  <c r="D11" i="10" s="1"/>
  <c r="D10" i="10" s="1"/>
  <c r="D9" i="10" s="1"/>
  <c r="D8" i="10" s="1"/>
  <c r="D7" i="10" s="1"/>
  <c r="B56" i="10" s="1"/>
  <c r="D69" i="8"/>
  <c r="D73" i="8"/>
  <c r="I205" i="5"/>
  <c r="K205" i="5" s="1"/>
  <c r="C67" i="5"/>
  <c r="C52" i="5"/>
  <c r="D52" i="5" s="1"/>
  <c r="C40" i="5"/>
  <c r="C28" i="5"/>
  <c r="C16" i="5"/>
  <c r="C51" i="5"/>
  <c r="C39" i="5"/>
  <c r="C27" i="5"/>
  <c r="C15" i="5"/>
  <c r="C50" i="5"/>
  <c r="C38" i="5"/>
  <c r="C26" i="5"/>
  <c r="C14" i="5"/>
  <c r="C48" i="5"/>
  <c r="C36" i="5"/>
  <c r="C24" i="5"/>
  <c r="C12" i="5"/>
  <c r="C47" i="5"/>
  <c r="C35" i="5"/>
  <c r="C23" i="5"/>
  <c r="C11" i="5"/>
  <c r="C46" i="5"/>
  <c r="C34" i="5"/>
  <c r="C22" i="5"/>
  <c r="C10" i="5"/>
  <c r="C45" i="5"/>
  <c r="C33" i="5"/>
  <c r="C21" i="5"/>
  <c r="C9" i="5"/>
  <c r="C44" i="5"/>
  <c r="C32" i="5"/>
  <c r="C20" i="5"/>
  <c r="C8" i="5"/>
  <c r="C6" i="5"/>
  <c r="C42" i="5"/>
  <c r="C30" i="5"/>
  <c r="K13" i="6"/>
  <c r="K12" i="6"/>
  <c r="K11" i="6"/>
  <c r="J206" i="34"/>
  <c r="K206" i="34"/>
  <c r="C69" i="34"/>
  <c r="C71" i="34"/>
  <c r="C73" i="34"/>
  <c r="I207" i="34"/>
  <c r="I208" i="34"/>
  <c r="C68" i="34"/>
  <c r="C70" i="34"/>
  <c r="C72" i="34"/>
  <c r="I209" i="34"/>
  <c r="D53" i="33"/>
  <c r="D52" i="33" s="1"/>
  <c r="D51" i="33" s="1"/>
  <c r="D50" i="33" s="1"/>
  <c r="D49" i="33" s="1"/>
  <c r="D48" i="33" s="1"/>
  <c r="D47" i="33" s="1"/>
  <c r="D46" i="33" s="1"/>
  <c r="D45" i="33" s="1"/>
  <c r="D44" i="33" s="1"/>
  <c r="D43" i="33" s="1"/>
  <c r="D42" i="33" s="1"/>
  <c r="D41" i="33" s="1"/>
  <c r="D40" i="33" s="1"/>
  <c r="D39" i="33" s="1"/>
  <c r="D38" i="33" s="1"/>
  <c r="D37" i="33" s="1"/>
  <c r="D36" i="33" s="1"/>
  <c r="D35" i="33" s="1"/>
  <c r="D34" i="33" s="1"/>
  <c r="D33" i="33" s="1"/>
  <c r="D32" i="33" s="1"/>
  <c r="D31" i="33" s="1"/>
  <c r="D30" i="33" s="1"/>
  <c r="D29" i="33" s="1"/>
  <c r="D28" i="33" s="1"/>
  <c r="D27" i="33" s="1"/>
  <c r="D26" i="33" s="1"/>
  <c r="D25" i="33" s="1"/>
  <c r="D24" i="33" s="1"/>
  <c r="D23" i="33" s="1"/>
  <c r="D22" i="33" s="1"/>
  <c r="D21" i="33" s="1"/>
  <c r="D20" i="33" s="1"/>
  <c r="D19" i="33" s="1"/>
  <c r="D18" i="33" s="1"/>
  <c r="D17" i="33" s="1"/>
  <c r="D16" i="33" s="1"/>
  <c r="D15" i="33" s="1"/>
  <c r="D14" i="33" s="1"/>
  <c r="D13" i="33" s="1"/>
  <c r="D12" i="33" s="1"/>
  <c r="D11" i="33" s="1"/>
  <c r="D10" i="33" s="1"/>
  <c r="D9" i="33" s="1"/>
  <c r="D8" i="33" s="1"/>
  <c r="D7" i="33" s="1"/>
  <c r="D4" i="33" s="1"/>
  <c r="J206" i="32"/>
  <c r="K206" i="32"/>
  <c r="C69" i="32"/>
  <c r="C71" i="32"/>
  <c r="C73" i="32"/>
  <c r="I207" i="32"/>
  <c r="I208" i="32"/>
  <c r="C68" i="32"/>
  <c r="C70" i="32"/>
  <c r="C72" i="32"/>
  <c r="I209" i="32"/>
  <c r="D47" i="31"/>
  <c r="D46" i="31" s="1"/>
  <c r="D45" i="31" s="1"/>
  <c r="D44" i="31" s="1"/>
  <c r="D43" i="31" s="1"/>
  <c r="D42" i="31" s="1"/>
  <c r="D41" i="31" s="1"/>
  <c r="D40" i="31" s="1"/>
  <c r="D39" i="31" s="1"/>
  <c r="D38" i="31" s="1"/>
  <c r="D37" i="31" s="1"/>
  <c r="D36" i="31" s="1"/>
  <c r="D35" i="31" s="1"/>
  <c r="D34" i="31" s="1"/>
  <c r="D33" i="31" s="1"/>
  <c r="D32" i="31" s="1"/>
  <c r="D31" i="31" s="1"/>
  <c r="D30" i="31" s="1"/>
  <c r="D29" i="31" s="1"/>
  <c r="D28" i="31" s="1"/>
  <c r="D27" i="31" s="1"/>
  <c r="D26" i="31" s="1"/>
  <c r="D25" i="31" s="1"/>
  <c r="D24" i="31" s="1"/>
  <c r="D23" i="31" s="1"/>
  <c r="D22" i="31" s="1"/>
  <c r="D21" i="31" s="1"/>
  <c r="D20" i="31" s="1"/>
  <c r="D19" i="31" s="1"/>
  <c r="D18" i="31" s="1"/>
  <c r="D17" i="31" s="1"/>
  <c r="D16" i="31" s="1"/>
  <c r="D15" i="31" s="1"/>
  <c r="D14" i="31" s="1"/>
  <c r="D13" i="31" s="1"/>
  <c r="D12" i="31" s="1"/>
  <c r="D11" i="31" s="1"/>
  <c r="D10" i="31" s="1"/>
  <c r="D9" i="31" s="1"/>
  <c r="D8" i="31" s="1"/>
  <c r="D7" i="31" s="1"/>
  <c r="D4" i="31" s="1"/>
  <c r="K8" i="31" s="1"/>
  <c r="L8" i="31" s="1"/>
  <c r="J206" i="30"/>
  <c r="K206" i="30"/>
  <c r="C69" i="30"/>
  <c r="C71" i="30"/>
  <c r="C73" i="30"/>
  <c r="I207" i="30"/>
  <c r="J208" i="30"/>
  <c r="C68" i="30"/>
  <c r="C70" i="30"/>
  <c r="C72" i="30"/>
  <c r="I209" i="30"/>
  <c r="D51" i="29"/>
  <c r="D50" i="29"/>
  <c r="D49" i="29" s="1"/>
  <c r="D48" i="29" s="1"/>
  <c r="D47" i="29" s="1"/>
  <c r="D46" i="29" s="1"/>
  <c r="D45" i="29" s="1"/>
  <c r="D44" i="29" s="1"/>
  <c r="D43" i="29" s="1"/>
  <c r="D42" i="29" s="1"/>
  <c r="D41" i="29" s="1"/>
  <c r="D40" i="29" s="1"/>
  <c r="D39" i="29" s="1"/>
  <c r="D38" i="29" s="1"/>
  <c r="D37" i="29" s="1"/>
  <c r="D36" i="29" s="1"/>
  <c r="D35" i="29" s="1"/>
  <c r="D34" i="29" s="1"/>
  <c r="D33" i="29" s="1"/>
  <c r="D32" i="29" s="1"/>
  <c r="D31" i="29" s="1"/>
  <c r="D30" i="29" s="1"/>
  <c r="D29" i="29" s="1"/>
  <c r="D28" i="29" s="1"/>
  <c r="D27" i="29" s="1"/>
  <c r="D26" i="29" s="1"/>
  <c r="D25" i="29" s="1"/>
  <c r="D24" i="29" s="1"/>
  <c r="D23" i="29" s="1"/>
  <c r="D22" i="29" s="1"/>
  <c r="D21" i="29" s="1"/>
  <c r="D20" i="29" s="1"/>
  <c r="D19" i="29" s="1"/>
  <c r="D18" i="29" s="1"/>
  <c r="D17" i="29" s="1"/>
  <c r="D16" i="29" s="1"/>
  <c r="D15" i="29" s="1"/>
  <c r="D14" i="29" s="1"/>
  <c r="D13" i="29" s="1"/>
  <c r="D12" i="29" s="1"/>
  <c r="D11" i="29" s="1"/>
  <c r="D10" i="29" s="1"/>
  <c r="D9" i="29" s="1"/>
  <c r="D8" i="29" s="1"/>
  <c r="D7" i="29" s="1"/>
  <c r="J206" i="28"/>
  <c r="K206" i="28"/>
  <c r="D69" i="28"/>
  <c r="D71" i="28"/>
  <c r="D73" i="28"/>
  <c r="I208" i="28"/>
  <c r="C68" i="28"/>
  <c r="C70" i="28"/>
  <c r="C72" i="28"/>
  <c r="I209" i="28"/>
  <c r="D53" i="27"/>
  <c r="D52" i="27" s="1"/>
  <c r="D51" i="27" s="1"/>
  <c r="D50" i="27" s="1"/>
  <c r="D49" i="27" s="1"/>
  <c r="D48" i="27" s="1"/>
  <c r="D47" i="27" s="1"/>
  <c r="D46" i="27" s="1"/>
  <c r="D45" i="27" s="1"/>
  <c r="D44" i="27" s="1"/>
  <c r="D43" i="27" s="1"/>
  <c r="D42" i="27" s="1"/>
  <c r="D41" i="27" s="1"/>
  <c r="D40" i="27" s="1"/>
  <c r="D39" i="27" s="1"/>
  <c r="D38" i="27" s="1"/>
  <c r="D37" i="27" s="1"/>
  <c r="D36" i="27" s="1"/>
  <c r="D35" i="27" s="1"/>
  <c r="D34" i="27" s="1"/>
  <c r="D33" i="27" s="1"/>
  <c r="D32" i="27" s="1"/>
  <c r="D31" i="27" s="1"/>
  <c r="D30" i="27" s="1"/>
  <c r="D29" i="27" s="1"/>
  <c r="D28" i="27" s="1"/>
  <c r="D27" i="27" s="1"/>
  <c r="D26" i="27" s="1"/>
  <c r="D25" i="27" s="1"/>
  <c r="D24" i="27" s="1"/>
  <c r="D23" i="27" s="1"/>
  <c r="D22" i="27" s="1"/>
  <c r="D21" i="27" s="1"/>
  <c r="D20" i="27" s="1"/>
  <c r="D19" i="27" s="1"/>
  <c r="D18" i="27" s="1"/>
  <c r="D17" i="27" s="1"/>
  <c r="D16" i="27" s="1"/>
  <c r="D15" i="27" s="1"/>
  <c r="D14" i="27" s="1"/>
  <c r="D13" i="27" s="1"/>
  <c r="D12" i="27" s="1"/>
  <c r="D11" i="27" s="1"/>
  <c r="D10" i="27" s="1"/>
  <c r="D9" i="27" s="1"/>
  <c r="D8" i="27" s="1"/>
  <c r="D7" i="27" s="1"/>
  <c r="D4" i="27" s="1"/>
  <c r="J206" i="26"/>
  <c r="K206" i="26"/>
  <c r="D52" i="26"/>
  <c r="D51" i="26" s="1"/>
  <c r="D50" i="26" s="1"/>
  <c r="D49" i="26" s="1"/>
  <c r="D48" i="26" s="1"/>
  <c r="D47" i="26" s="1"/>
  <c r="D46" i="26" s="1"/>
  <c r="D45" i="26" s="1"/>
  <c r="D44" i="26" s="1"/>
  <c r="D43" i="26" s="1"/>
  <c r="D42" i="26" s="1"/>
  <c r="D41" i="26" s="1"/>
  <c r="D40" i="26" s="1"/>
  <c r="D39" i="26" s="1"/>
  <c r="D38" i="26" s="1"/>
  <c r="D37" i="26" s="1"/>
  <c r="D36" i="26" s="1"/>
  <c r="D35" i="26" s="1"/>
  <c r="D34" i="26" s="1"/>
  <c r="D33" i="26" s="1"/>
  <c r="D32" i="26" s="1"/>
  <c r="D31" i="26" s="1"/>
  <c r="D30" i="26" s="1"/>
  <c r="D29" i="26" s="1"/>
  <c r="D28" i="26" s="1"/>
  <c r="D27" i="26" s="1"/>
  <c r="D26" i="26" s="1"/>
  <c r="D25" i="26" s="1"/>
  <c r="D24" i="26" s="1"/>
  <c r="D23" i="26" s="1"/>
  <c r="D22" i="26" s="1"/>
  <c r="D21" i="26" s="1"/>
  <c r="D20" i="26" s="1"/>
  <c r="D19" i="26" s="1"/>
  <c r="D18" i="26" s="1"/>
  <c r="D17" i="26" s="1"/>
  <c r="D16" i="26" s="1"/>
  <c r="D15" i="26" s="1"/>
  <c r="D14" i="26" s="1"/>
  <c r="D13" i="26" s="1"/>
  <c r="D12" i="26" s="1"/>
  <c r="D11" i="26" s="1"/>
  <c r="D10" i="26" s="1"/>
  <c r="D9" i="26" s="1"/>
  <c r="D8" i="26" s="1"/>
  <c r="D7" i="26" s="1"/>
  <c r="B56" i="26" s="1"/>
  <c r="D69" i="26"/>
  <c r="D71" i="26"/>
  <c r="D73" i="26"/>
  <c r="J207" i="26"/>
  <c r="J208" i="26"/>
  <c r="C68" i="26"/>
  <c r="C70" i="26"/>
  <c r="C72" i="26"/>
  <c r="I209" i="26"/>
  <c r="D52" i="25"/>
  <c r="D51" i="25" s="1"/>
  <c r="D50" i="25" s="1"/>
  <c r="D49" i="25" s="1"/>
  <c r="D48" i="25" s="1"/>
  <c r="D47" i="25" s="1"/>
  <c r="D46" i="25" s="1"/>
  <c r="D45" i="25" s="1"/>
  <c r="D44" i="25" s="1"/>
  <c r="D43" i="25" s="1"/>
  <c r="D42" i="25" s="1"/>
  <c r="D41" i="25" s="1"/>
  <c r="D40" i="25" s="1"/>
  <c r="D39" i="25" s="1"/>
  <c r="D38" i="25" s="1"/>
  <c r="D37" i="25" s="1"/>
  <c r="D36" i="25" s="1"/>
  <c r="D35" i="25" s="1"/>
  <c r="D34" i="25" s="1"/>
  <c r="D33" i="25" s="1"/>
  <c r="D32" i="25" s="1"/>
  <c r="D31" i="25" s="1"/>
  <c r="D30" i="25" s="1"/>
  <c r="D29" i="25" s="1"/>
  <c r="D28" i="25" s="1"/>
  <c r="D27" i="25" s="1"/>
  <c r="D26" i="25" s="1"/>
  <c r="D25" i="25" s="1"/>
  <c r="D24" i="25" s="1"/>
  <c r="D23" i="25" s="1"/>
  <c r="D22" i="25" s="1"/>
  <c r="D21" i="25" s="1"/>
  <c r="D20" i="25" s="1"/>
  <c r="D19" i="25" s="1"/>
  <c r="D18" i="25" s="1"/>
  <c r="D17" i="25" s="1"/>
  <c r="D16" i="25" s="1"/>
  <c r="D15" i="25" s="1"/>
  <c r="D14" i="25" s="1"/>
  <c r="D13" i="25" s="1"/>
  <c r="D12" i="25" s="1"/>
  <c r="D11" i="25" s="1"/>
  <c r="D10" i="25" s="1"/>
  <c r="D9" i="25" s="1"/>
  <c r="D8" i="25" s="1"/>
  <c r="D7" i="25" s="1"/>
  <c r="D4" i="25" s="1"/>
  <c r="J206" i="24"/>
  <c r="K206" i="24"/>
  <c r="D52" i="24"/>
  <c r="D51" i="24" s="1"/>
  <c r="D50" i="24" s="1"/>
  <c r="D49" i="24" s="1"/>
  <c r="D48" i="24" s="1"/>
  <c r="D47" i="24" s="1"/>
  <c r="D46" i="24" s="1"/>
  <c r="D45" i="24" s="1"/>
  <c r="D44" i="24" s="1"/>
  <c r="D43" i="24" s="1"/>
  <c r="D42" i="24" s="1"/>
  <c r="D41" i="24" s="1"/>
  <c r="D40" i="24" s="1"/>
  <c r="D39" i="24" s="1"/>
  <c r="D38" i="24" s="1"/>
  <c r="D37" i="24" s="1"/>
  <c r="D36" i="24" s="1"/>
  <c r="D35" i="24" s="1"/>
  <c r="D34" i="24" s="1"/>
  <c r="D33" i="24" s="1"/>
  <c r="D32" i="24" s="1"/>
  <c r="D31" i="24" s="1"/>
  <c r="D30" i="24" s="1"/>
  <c r="D29" i="24" s="1"/>
  <c r="D28" i="24" s="1"/>
  <c r="D27" i="24" s="1"/>
  <c r="D26" i="24" s="1"/>
  <c r="D25" i="24" s="1"/>
  <c r="D24" i="24" s="1"/>
  <c r="D23" i="24" s="1"/>
  <c r="D22" i="24" s="1"/>
  <c r="D21" i="24" s="1"/>
  <c r="D20" i="24" s="1"/>
  <c r="D19" i="24" s="1"/>
  <c r="D18" i="24" s="1"/>
  <c r="D17" i="24" s="1"/>
  <c r="D16" i="24" s="1"/>
  <c r="D15" i="24" s="1"/>
  <c r="D14" i="24" s="1"/>
  <c r="D13" i="24" s="1"/>
  <c r="D12" i="24" s="1"/>
  <c r="D11" i="24" s="1"/>
  <c r="D10" i="24" s="1"/>
  <c r="D9" i="24" s="1"/>
  <c r="D8" i="24" s="1"/>
  <c r="D7" i="24" s="1"/>
  <c r="B56" i="24" s="1"/>
  <c r="C69" i="24"/>
  <c r="C71" i="24"/>
  <c r="C73" i="24"/>
  <c r="C68" i="24"/>
  <c r="C70" i="24"/>
  <c r="C72" i="24"/>
  <c r="I209" i="24"/>
  <c r="D53" i="23"/>
  <c r="D52" i="23" s="1"/>
  <c r="D51" i="23" s="1"/>
  <c r="D50" i="23" s="1"/>
  <c r="D49" i="23" s="1"/>
  <c r="D48" i="23" s="1"/>
  <c r="D47" i="23" s="1"/>
  <c r="D46" i="23" s="1"/>
  <c r="D45" i="23" s="1"/>
  <c r="D44" i="23" s="1"/>
  <c r="D43" i="23" s="1"/>
  <c r="D42" i="23" s="1"/>
  <c r="D41" i="23" s="1"/>
  <c r="D40" i="23" s="1"/>
  <c r="D39" i="23" s="1"/>
  <c r="D38" i="23" s="1"/>
  <c r="D37" i="23" s="1"/>
  <c r="D36" i="23" s="1"/>
  <c r="D35" i="23" s="1"/>
  <c r="D34" i="23" s="1"/>
  <c r="D33" i="23" s="1"/>
  <c r="D32" i="23" s="1"/>
  <c r="D31" i="23" s="1"/>
  <c r="D30" i="23" s="1"/>
  <c r="D29" i="23" s="1"/>
  <c r="D28" i="23" s="1"/>
  <c r="D27" i="23" s="1"/>
  <c r="D26" i="23" s="1"/>
  <c r="D25" i="23" s="1"/>
  <c r="D24" i="23" s="1"/>
  <c r="D23" i="23" s="1"/>
  <c r="D22" i="23" s="1"/>
  <c r="D21" i="23" s="1"/>
  <c r="D20" i="23" s="1"/>
  <c r="D19" i="23" s="1"/>
  <c r="D18" i="23" s="1"/>
  <c r="D17" i="23" s="1"/>
  <c r="D16" i="23" s="1"/>
  <c r="D15" i="23" s="1"/>
  <c r="D14" i="23" s="1"/>
  <c r="D13" i="23" s="1"/>
  <c r="D12" i="23" s="1"/>
  <c r="D11" i="23" s="1"/>
  <c r="D10" i="23" s="1"/>
  <c r="D9" i="23" s="1"/>
  <c r="D8" i="23" s="1"/>
  <c r="D7" i="23" s="1"/>
  <c r="D4" i="23" s="1"/>
  <c r="J206" i="22"/>
  <c r="K206" i="22"/>
  <c r="C69" i="22"/>
  <c r="C71" i="22"/>
  <c r="C73" i="22"/>
  <c r="I207" i="22"/>
  <c r="I208" i="22"/>
  <c r="C68" i="22"/>
  <c r="C70" i="22"/>
  <c r="C72" i="22"/>
  <c r="I209" i="22"/>
  <c r="D53" i="21"/>
  <c r="D52" i="21" s="1"/>
  <c r="D51" i="21" s="1"/>
  <c r="D50" i="21" s="1"/>
  <c r="D49" i="21" s="1"/>
  <c r="D48" i="21" s="1"/>
  <c r="D47" i="21" s="1"/>
  <c r="D46" i="21" s="1"/>
  <c r="D45" i="21" s="1"/>
  <c r="D44" i="21" s="1"/>
  <c r="D43" i="21" s="1"/>
  <c r="D42" i="21" s="1"/>
  <c r="D41" i="21" s="1"/>
  <c r="D40" i="21" s="1"/>
  <c r="D39" i="21" s="1"/>
  <c r="D38" i="21" s="1"/>
  <c r="D37" i="21" s="1"/>
  <c r="D36" i="21" s="1"/>
  <c r="D35" i="21" s="1"/>
  <c r="D34" i="21" s="1"/>
  <c r="D33" i="21" s="1"/>
  <c r="D32" i="21" s="1"/>
  <c r="D31" i="21" s="1"/>
  <c r="D30" i="21" s="1"/>
  <c r="D29" i="21" s="1"/>
  <c r="D28" i="21" s="1"/>
  <c r="D27" i="21" s="1"/>
  <c r="D26" i="21" s="1"/>
  <c r="D25" i="21" s="1"/>
  <c r="D24" i="21" s="1"/>
  <c r="D23" i="21" s="1"/>
  <c r="D22" i="21" s="1"/>
  <c r="D21" i="21" s="1"/>
  <c r="D20" i="21" s="1"/>
  <c r="D19" i="21" s="1"/>
  <c r="D18" i="21" s="1"/>
  <c r="D17" i="21" s="1"/>
  <c r="D16" i="21" s="1"/>
  <c r="D15" i="21" s="1"/>
  <c r="D14" i="21" s="1"/>
  <c r="D13" i="21" s="1"/>
  <c r="D12" i="21" s="1"/>
  <c r="D11" i="21" s="1"/>
  <c r="D10" i="21" s="1"/>
  <c r="D9" i="21" s="1"/>
  <c r="D8" i="21" s="1"/>
  <c r="D7" i="21" s="1"/>
  <c r="D4" i="21" s="1"/>
  <c r="K209" i="20"/>
  <c r="J209" i="20"/>
  <c r="C69" i="20"/>
  <c r="C71" i="20"/>
  <c r="C73" i="20"/>
  <c r="I207" i="20"/>
  <c r="J208" i="20"/>
  <c r="C68" i="20"/>
  <c r="C70" i="20"/>
  <c r="C72" i="20"/>
  <c r="D52" i="19"/>
  <c r="D51" i="19" s="1"/>
  <c r="D50" i="19" s="1"/>
  <c r="D49" i="19" s="1"/>
  <c r="D48" i="19" s="1"/>
  <c r="D47" i="19" s="1"/>
  <c r="D46" i="19" s="1"/>
  <c r="D45" i="19" s="1"/>
  <c r="D44" i="19" s="1"/>
  <c r="D43" i="19" s="1"/>
  <c r="D42" i="19" s="1"/>
  <c r="D41" i="19" s="1"/>
  <c r="D40" i="19" s="1"/>
  <c r="D39" i="19" s="1"/>
  <c r="D38" i="19" s="1"/>
  <c r="D37" i="19" s="1"/>
  <c r="D36" i="19" s="1"/>
  <c r="D35" i="19" s="1"/>
  <c r="D34" i="19" s="1"/>
  <c r="D33" i="19" s="1"/>
  <c r="D32" i="19" s="1"/>
  <c r="D31" i="19" s="1"/>
  <c r="D30" i="19" s="1"/>
  <c r="D29" i="19" s="1"/>
  <c r="D28" i="19" s="1"/>
  <c r="D27" i="19" s="1"/>
  <c r="D26" i="19" s="1"/>
  <c r="D25" i="19" s="1"/>
  <c r="D24" i="19" s="1"/>
  <c r="D23" i="19" s="1"/>
  <c r="D22" i="19" s="1"/>
  <c r="D21" i="19" s="1"/>
  <c r="D20" i="19" s="1"/>
  <c r="D19" i="19" s="1"/>
  <c r="D18" i="19" s="1"/>
  <c r="D17" i="19" s="1"/>
  <c r="D16" i="19" s="1"/>
  <c r="D15" i="19" s="1"/>
  <c r="D14" i="19" s="1"/>
  <c r="D13" i="19" s="1"/>
  <c r="D12" i="19" s="1"/>
  <c r="D11" i="19" s="1"/>
  <c r="D10" i="19" s="1"/>
  <c r="D9" i="19" s="1"/>
  <c r="D8" i="19" s="1"/>
  <c r="D7" i="19" s="1"/>
  <c r="D4" i="19" s="1"/>
  <c r="D52" i="18"/>
  <c r="D51" i="18" s="1"/>
  <c r="D50" i="18" s="1"/>
  <c r="D49" i="18" s="1"/>
  <c r="D48" i="18" s="1"/>
  <c r="D47" i="18" s="1"/>
  <c r="D46" i="18" s="1"/>
  <c r="D45" i="18" s="1"/>
  <c r="D44" i="18" s="1"/>
  <c r="D43" i="18" s="1"/>
  <c r="D42" i="18" s="1"/>
  <c r="D41" i="18" s="1"/>
  <c r="D40" i="18" s="1"/>
  <c r="D39" i="18" s="1"/>
  <c r="D38" i="18" s="1"/>
  <c r="D37" i="18" s="1"/>
  <c r="D36" i="18" s="1"/>
  <c r="D35" i="18" s="1"/>
  <c r="D34" i="18" s="1"/>
  <c r="D33" i="18" s="1"/>
  <c r="D32" i="18" s="1"/>
  <c r="D31" i="18" s="1"/>
  <c r="D30" i="18" s="1"/>
  <c r="D29" i="18" s="1"/>
  <c r="D28" i="18" s="1"/>
  <c r="D27" i="18" s="1"/>
  <c r="D26" i="18" s="1"/>
  <c r="D25" i="18" s="1"/>
  <c r="D24" i="18" s="1"/>
  <c r="D23" i="18" s="1"/>
  <c r="D22" i="18" s="1"/>
  <c r="D21" i="18" s="1"/>
  <c r="D20" i="18" s="1"/>
  <c r="D19" i="18" s="1"/>
  <c r="D18" i="18" s="1"/>
  <c r="D17" i="18" s="1"/>
  <c r="D16" i="18" s="1"/>
  <c r="D15" i="18" s="1"/>
  <c r="D14" i="18" s="1"/>
  <c r="D13" i="18" s="1"/>
  <c r="D12" i="18" s="1"/>
  <c r="D11" i="18" s="1"/>
  <c r="D10" i="18" s="1"/>
  <c r="D9" i="18" s="1"/>
  <c r="D8" i="18" s="1"/>
  <c r="D7" i="18" s="1"/>
  <c r="B56" i="18" s="1"/>
  <c r="I207" i="18"/>
  <c r="K207" i="18" s="1"/>
  <c r="K209" i="18"/>
  <c r="J209" i="18"/>
  <c r="J206" i="18"/>
  <c r="C69" i="18"/>
  <c r="C71" i="18"/>
  <c r="C73" i="18"/>
  <c r="I208" i="18"/>
  <c r="C68" i="18"/>
  <c r="C70" i="18"/>
  <c r="C72" i="18"/>
  <c r="D53" i="17"/>
  <c r="D52" i="17"/>
  <c r="D51" i="17" s="1"/>
  <c r="D50" i="17" s="1"/>
  <c r="D49" i="17" s="1"/>
  <c r="D48" i="17" s="1"/>
  <c r="D47" i="17" s="1"/>
  <c r="D46" i="17" s="1"/>
  <c r="D45" i="17" s="1"/>
  <c r="D44" i="17" s="1"/>
  <c r="D43" i="17" s="1"/>
  <c r="D42" i="17" s="1"/>
  <c r="D41" i="17" s="1"/>
  <c r="D40" i="17" s="1"/>
  <c r="D39" i="17" s="1"/>
  <c r="D38" i="17" s="1"/>
  <c r="D37" i="17" s="1"/>
  <c r="D36" i="17" s="1"/>
  <c r="D35" i="17" s="1"/>
  <c r="D34" i="17" s="1"/>
  <c r="D33" i="17" s="1"/>
  <c r="D32" i="17" s="1"/>
  <c r="D31" i="17" s="1"/>
  <c r="D30" i="17" s="1"/>
  <c r="D29" i="17" s="1"/>
  <c r="D28" i="17" s="1"/>
  <c r="D27" i="17" s="1"/>
  <c r="D26" i="17" s="1"/>
  <c r="D25" i="17" s="1"/>
  <c r="D24" i="17" s="1"/>
  <c r="D23" i="17" s="1"/>
  <c r="D22" i="17" s="1"/>
  <c r="D21" i="17" s="1"/>
  <c r="D20" i="17" s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D4" i="17" s="1"/>
  <c r="J206" i="16"/>
  <c r="K206" i="16"/>
  <c r="C69" i="16"/>
  <c r="C71" i="16"/>
  <c r="C73" i="16"/>
  <c r="I207" i="16"/>
  <c r="I208" i="16"/>
  <c r="C68" i="16"/>
  <c r="C70" i="16"/>
  <c r="C72" i="16"/>
  <c r="I209" i="16"/>
  <c r="D52" i="15"/>
  <c r="D51" i="15" s="1"/>
  <c r="D50" i="15" s="1"/>
  <c r="D49" i="15" s="1"/>
  <c r="D48" i="15" s="1"/>
  <c r="D47" i="15" s="1"/>
  <c r="D46" i="15" s="1"/>
  <c r="D45" i="15" s="1"/>
  <c r="D44" i="15" s="1"/>
  <c r="D43" i="15" s="1"/>
  <c r="D42" i="15" s="1"/>
  <c r="D41" i="15" s="1"/>
  <c r="D40" i="15" s="1"/>
  <c r="D39" i="15" s="1"/>
  <c r="D38" i="15" s="1"/>
  <c r="D37" i="15" s="1"/>
  <c r="D36" i="15" s="1"/>
  <c r="D35" i="15" s="1"/>
  <c r="D34" i="15" s="1"/>
  <c r="D33" i="15" s="1"/>
  <c r="D32" i="15" s="1"/>
  <c r="D31" i="15" s="1"/>
  <c r="D30" i="15" s="1"/>
  <c r="D29" i="15" s="1"/>
  <c r="D28" i="15" s="1"/>
  <c r="D27" i="15" s="1"/>
  <c r="D26" i="15" s="1"/>
  <c r="D25" i="15" s="1"/>
  <c r="D24" i="15" s="1"/>
  <c r="D23" i="15" s="1"/>
  <c r="D22" i="15" s="1"/>
  <c r="D21" i="15" s="1"/>
  <c r="D20" i="15" s="1"/>
  <c r="D19" i="15" s="1"/>
  <c r="D18" i="15" s="1"/>
  <c r="D17" i="15" s="1"/>
  <c r="D16" i="15" s="1"/>
  <c r="D15" i="15" s="1"/>
  <c r="D14" i="15" s="1"/>
  <c r="D13" i="15" s="1"/>
  <c r="D12" i="15" s="1"/>
  <c r="D11" i="15" s="1"/>
  <c r="D10" i="15" s="1"/>
  <c r="D9" i="15" s="1"/>
  <c r="D8" i="15" s="1"/>
  <c r="D7" i="15" s="1"/>
  <c r="D4" i="15" s="1"/>
  <c r="D51" i="14"/>
  <c r="D50" i="14" s="1"/>
  <c r="D49" i="14" s="1"/>
  <c r="D48" i="14" s="1"/>
  <c r="D47" i="14" s="1"/>
  <c r="D46" i="14" s="1"/>
  <c r="D45" i="14" s="1"/>
  <c r="D44" i="14" s="1"/>
  <c r="D43" i="14" s="1"/>
  <c r="D42" i="14" s="1"/>
  <c r="D41" i="14" s="1"/>
  <c r="D40" i="14" s="1"/>
  <c r="D39" i="14" s="1"/>
  <c r="D38" i="14" s="1"/>
  <c r="D37" i="14" s="1"/>
  <c r="D36" i="14" s="1"/>
  <c r="D35" i="14" s="1"/>
  <c r="D34" i="14" s="1"/>
  <c r="D33" i="14" s="1"/>
  <c r="D32" i="14" s="1"/>
  <c r="D31" i="14" s="1"/>
  <c r="D30" i="14" s="1"/>
  <c r="D29" i="14" s="1"/>
  <c r="D28" i="14" s="1"/>
  <c r="D27" i="14" s="1"/>
  <c r="D26" i="14" s="1"/>
  <c r="D25" i="14" s="1"/>
  <c r="D24" i="14" s="1"/>
  <c r="D23" i="14" s="1"/>
  <c r="D22" i="14" s="1"/>
  <c r="D21" i="14" s="1"/>
  <c r="D20" i="14" s="1"/>
  <c r="D19" i="14" s="1"/>
  <c r="D18" i="14" s="1"/>
  <c r="D17" i="14" s="1"/>
  <c r="D16" i="14" s="1"/>
  <c r="D15" i="14" s="1"/>
  <c r="D14" i="14" s="1"/>
  <c r="D13" i="14" s="1"/>
  <c r="D12" i="14" s="1"/>
  <c r="D11" i="14" s="1"/>
  <c r="D10" i="14" s="1"/>
  <c r="D9" i="14" s="1"/>
  <c r="D8" i="14" s="1"/>
  <c r="D7" i="14" s="1"/>
  <c r="B56" i="14" s="1"/>
  <c r="J206" i="14"/>
  <c r="K206" i="14"/>
  <c r="I207" i="14"/>
  <c r="C68" i="14"/>
  <c r="C70" i="14"/>
  <c r="C72" i="14"/>
  <c r="I209" i="14"/>
  <c r="D52" i="13"/>
  <c r="D51" i="13" s="1"/>
  <c r="D50" i="13" s="1"/>
  <c r="D49" i="13" s="1"/>
  <c r="D48" i="13" s="1"/>
  <c r="D47" i="13" s="1"/>
  <c r="D46" i="13" s="1"/>
  <c r="D45" i="13" s="1"/>
  <c r="D44" i="13" s="1"/>
  <c r="D43" i="13" s="1"/>
  <c r="D42" i="13" s="1"/>
  <c r="D41" i="13" s="1"/>
  <c r="D40" i="13" s="1"/>
  <c r="D39" i="13" s="1"/>
  <c r="D38" i="13" s="1"/>
  <c r="D37" i="13" s="1"/>
  <c r="D36" i="13" s="1"/>
  <c r="D35" i="13" s="1"/>
  <c r="D34" i="13" s="1"/>
  <c r="D33" i="13" s="1"/>
  <c r="D32" i="13" s="1"/>
  <c r="D31" i="13" s="1"/>
  <c r="D30" i="13" s="1"/>
  <c r="D29" i="13" s="1"/>
  <c r="D28" i="13" s="1"/>
  <c r="D27" i="13" s="1"/>
  <c r="D26" i="13" s="1"/>
  <c r="D25" i="13" s="1"/>
  <c r="D24" i="13" s="1"/>
  <c r="D23" i="13" s="1"/>
  <c r="D22" i="13" s="1"/>
  <c r="D21" i="13" s="1"/>
  <c r="D20" i="13" s="1"/>
  <c r="D19" i="13" s="1"/>
  <c r="D18" i="13" s="1"/>
  <c r="D17" i="13" s="1"/>
  <c r="D16" i="13" s="1"/>
  <c r="D15" i="13" s="1"/>
  <c r="D14" i="13" s="1"/>
  <c r="D13" i="13" s="1"/>
  <c r="D12" i="13" s="1"/>
  <c r="D11" i="13" s="1"/>
  <c r="D10" i="13" s="1"/>
  <c r="D9" i="13" s="1"/>
  <c r="D8" i="13" s="1"/>
  <c r="D7" i="13" s="1"/>
  <c r="D4" i="13" s="1"/>
  <c r="K209" i="12"/>
  <c r="J209" i="12"/>
  <c r="K206" i="12"/>
  <c r="C69" i="12"/>
  <c r="C71" i="12"/>
  <c r="C73" i="12"/>
  <c r="I207" i="12"/>
  <c r="J208" i="12"/>
  <c r="C68" i="12"/>
  <c r="C70" i="12"/>
  <c r="C72" i="12"/>
  <c r="D53" i="11"/>
  <c r="D52" i="11" s="1"/>
  <c r="D51" i="11" s="1"/>
  <c r="D50" i="11" s="1"/>
  <c r="D49" i="11" s="1"/>
  <c r="D48" i="11" s="1"/>
  <c r="D47" i="11" s="1"/>
  <c r="D46" i="11" s="1"/>
  <c r="D45" i="11" s="1"/>
  <c r="D44" i="11" s="1"/>
  <c r="D43" i="11" s="1"/>
  <c r="D42" i="11" s="1"/>
  <c r="D41" i="11" s="1"/>
  <c r="D40" i="11" s="1"/>
  <c r="D39" i="11" s="1"/>
  <c r="D38" i="11" s="1"/>
  <c r="D37" i="11" s="1"/>
  <c r="D36" i="11" s="1"/>
  <c r="D35" i="11" s="1"/>
  <c r="D34" i="11" s="1"/>
  <c r="D33" i="11" s="1"/>
  <c r="D32" i="11" s="1"/>
  <c r="D31" i="11" s="1"/>
  <c r="D30" i="11" s="1"/>
  <c r="D29" i="11" s="1"/>
  <c r="D28" i="11" s="1"/>
  <c r="D27" i="11" s="1"/>
  <c r="D26" i="11" s="1"/>
  <c r="D25" i="11" s="1"/>
  <c r="D24" i="11" s="1"/>
  <c r="D23" i="11" s="1"/>
  <c r="D22" i="11" s="1"/>
  <c r="D21" i="11" s="1"/>
  <c r="D20" i="11" s="1"/>
  <c r="D19" i="11" s="1"/>
  <c r="D18" i="11" s="1"/>
  <c r="D17" i="11" s="1"/>
  <c r="D16" i="11" s="1"/>
  <c r="D15" i="11" s="1"/>
  <c r="D14" i="11" s="1"/>
  <c r="D13" i="11" s="1"/>
  <c r="D12" i="11" s="1"/>
  <c r="D11" i="11" s="1"/>
  <c r="D10" i="11" s="1"/>
  <c r="D9" i="11" s="1"/>
  <c r="D8" i="11" s="1"/>
  <c r="D7" i="11" s="1"/>
  <c r="D4" i="11" s="1"/>
  <c r="K5" i="11" s="1"/>
  <c r="K209" i="10"/>
  <c r="J209" i="10"/>
  <c r="C69" i="10"/>
  <c r="C71" i="10"/>
  <c r="C73" i="10"/>
  <c r="J208" i="10"/>
  <c r="C68" i="10"/>
  <c r="C70" i="10"/>
  <c r="C72" i="10"/>
  <c r="D53" i="9"/>
  <c r="D52" i="9" s="1"/>
  <c r="D51" i="9" s="1"/>
  <c r="D50" i="9" s="1"/>
  <c r="D49" i="9" s="1"/>
  <c r="D48" i="9" s="1"/>
  <c r="D47" i="9" s="1"/>
  <c r="D46" i="9" s="1"/>
  <c r="D45" i="9" s="1"/>
  <c r="D44" i="9" s="1"/>
  <c r="D43" i="9" s="1"/>
  <c r="D42" i="9" s="1"/>
  <c r="D41" i="9" s="1"/>
  <c r="D40" i="9" s="1"/>
  <c r="D39" i="9" s="1"/>
  <c r="D38" i="9" s="1"/>
  <c r="D37" i="9" s="1"/>
  <c r="D36" i="9" s="1"/>
  <c r="D35" i="9" s="1"/>
  <c r="D34" i="9" s="1"/>
  <c r="D33" i="9" s="1"/>
  <c r="D32" i="9" s="1"/>
  <c r="D31" i="9" s="1"/>
  <c r="D30" i="9" s="1"/>
  <c r="D29" i="9" s="1"/>
  <c r="D28" i="9" s="1"/>
  <c r="D27" i="9" s="1"/>
  <c r="D26" i="9" s="1"/>
  <c r="D25" i="9" s="1"/>
  <c r="D24" i="9" s="1"/>
  <c r="D23" i="9" s="1"/>
  <c r="D22" i="9" s="1"/>
  <c r="D21" i="9" s="1"/>
  <c r="D20" i="9" s="1"/>
  <c r="D19" i="9" s="1"/>
  <c r="D18" i="9" s="1"/>
  <c r="D17" i="9" s="1"/>
  <c r="D16" i="9" s="1"/>
  <c r="D15" i="9" s="1"/>
  <c r="D14" i="9" s="1"/>
  <c r="D13" i="9" s="1"/>
  <c r="D12" i="9" s="1"/>
  <c r="D11" i="9" s="1"/>
  <c r="D10" i="9" s="1"/>
  <c r="D9" i="9" s="1"/>
  <c r="D8" i="9" s="1"/>
  <c r="I206" i="8"/>
  <c r="K206" i="8" s="1"/>
  <c r="I209" i="8"/>
  <c r="K209" i="8" s="1"/>
  <c r="D51" i="8"/>
  <c r="D50" i="8" s="1"/>
  <c r="D49" i="8" s="1"/>
  <c r="D48" i="8" s="1"/>
  <c r="D47" i="8" s="1"/>
  <c r="D46" i="8" s="1"/>
  <c r="D45" i="8" s="1"/>
  <c r="D44" i="8" s="1"/>
  <c r="D43" i="8" s="1"/>
  <c r="D42" i="8" s="1"/>
  <c r="D41" i="8" s="1"/>
  <c r="D40" i="8" s="1"/>
  <c r="D39" i="8" s="1"/>
  <c r="D38" i="8" s="1"/>
  <c r="D37" i="8" s="1"/>
  <c r="D36" i="8" s="1"/>
  <c r="D35" i="8" s="1"/>
  <c r="D34" i="8" s="1"/>
  <c r="D33" i="8" s="1"/>
  <c r="D32" i="8" s="1"/>
  <c r="D31" i="8" s="1"/>
  <c r="D30" i="8" s="1"/>
  <c r="D29" i="8" s="1"/>
  <c r="D28" i="8" s="1"/>
  <c r="D27" i="8" s="1"/>
  <c r="D26" i="8" s="1"/>
  <c r="D25" i="8" s="1"/>
  <c r="D24" i="8" s="1"/>
  <c r="D23" i="8" s="1"/>
  <c r="D22" i="8" s="1"/>
  <c r="D21" i="8" s="1"/>
  <c r="D20" i="8" s="1"/>
  <c r="D19" i="8" s="1"/>
  <c r="D18" i="8" s="1"/>
  <c r="D17" i="8" s="1"/>
  <c r="D16" i="8" s="1"/>
  <c r="D15" i="8" s="1"/>
  <c r="D14" i="8" s="1"/>
  <c r="D13" i="8" s="1"/>
  <c r="D12" i="8" s="1"/>
  <c r="D11" i="8" s="1"/>
  <c r="D10" i="8" s="1"/>
  <c r="D9" i="8" s="1"/>
  <c r="D8" i="8" s="1"/>
  <c r="D7" i="8" s="1"/>
  <c r="B56" i="8" s="1"/>
  <c r="B59" i="8" s="1"/>
  <c r="J207" i="8"/>
  <c r="J208" i="8"/>
  <c r="C68" i="8"/>
  <c r="C70" i="8"/>
  <c r="C72" i="8"/>
  <c r="C38" i="7"/>
  <c r="C26" i="7"/>
  <c r="C14" i="7"/>
  <c r="C47" i="7"/>
  <c r="C35" i="7"/>
  <c r="C23" i="7"/>
  <c r="C11" i="7"/>
  <c r="C33" i="7"/>
  <c r="C21" i="7"/>
  <c r="C9" i="7"/>
  <c r="C32" i="7"/>
  <c r="C20" i="7"/>
  <c r="C8" i="7"/>
  <c r="C43" i="7"/>
  <c r="C31" i="7"/>
  <c r="C19" i="7"/>
  <c r="J206" i="5"/>
  <c r="C68" i="5"/>
  <c r="C70" i="5"/>
  <c r="C72" i="5"/>
  <c r="J207" i="5"/>
  <c r="J208" i="5"/>
  <c r="D92" i="4"/>
  <c r="D91" i="4"/>
  <c r="D90" i="4" s="1"/>
  <c r="D89" i="4" s="1"/>
  <c r="D88" i="4" s="1"/>
  <c r="D87" i="4" s="1"/>
  <c r="D86" i="4" s="1"/>
  <c r="D85" i="4" s="1"/>
  <c r="D84" i="4" s="1"/>
  <c r="D83" i="4" s="1"/>
  <c r="D82" i="4" s="1"/>
  <c r="D81" i="4" s="1"/>
  <c r="D80" i="4" s="1"/>
  <c r="D79" i="4" s="1"/>
  <c r="D78" i="4" s="1"/>
  <c r="D77" i="4" s="1"/>
  <c r="D76" i="4" s="1"/>
  <c r="D75" i="4" s="1"/>
  <c r="D74" i="4" s="1"/>
  <c r="D73" i="4" s="1"/>
  <c r="D72" i="4" s="1"/>
  <c r="D71" i="4" s="1"/>
  <c r="D70" i="4" s="1"/>
  <c r="D69" i="4" s="1"/>
  <c r="D68" i="4" s="1"/>
  <c r="D67" i="4" s="1"/>
  <c r="D66" i="4" s="1"/>
  <c r="D65" i="4" s="1"/>
  <c r="D64" i="4" s="1"/>
  <c r="D63" i="4" s="1"/>
  <c r="D62" i="4" s="1"/>
  <c r="D61" i="4" s="1"/>
  <c r="D60" i="4" s="1"/>
  <c r="D59" i="4" s="1"/>
  <c r="D58" i="4" s="1"/>
  <c r="D57" i="4" s="1"/>
  <c r="D56" i="4" s="1"/>
  <c r="D55" i="4" s="1"/>
  <c r="D54" i="4" s="1"/>
  <c r="D53" i="4" s="1"/>
  <c r="D52" i="4" s="1"/>
  <c r="D51" i="4" s="1"/>
  <c r="D50" i="4" s="1"/>
  <c r="D49" i="4" s="1"/>
  <c r="D48" i="4" s="1"/>
  <c r="D47" i="4" s="1"/>
  <c r="D46" i="4" s="1"/>
  <c r="D45" i="4" s="1"/>
  <c r="D44" i="4" s="1"/>
  <c r="D43" i="4" s="1"/>
  <c r="D42" i="4" s="1"/>
  <c r="D41" i="4" s="1"/>
  <c r="D40" i="4" s="1"/>
  <c r="D39" i="4" s="1"/>
  <c r="D38" i="4" s="1"/>
  <c r="D37" i="4" s="1"/>
  <c r="D36" i="4" s="1"/>
  <c r="D35" i="4" s="1"/>
  <c r="D34" i="4" s="1"/>
  <c r="D33" i="4" s="1"/>
  <c r="D32" i="4" s="1"/>
  <c r="D31" i="4" s="1"/>
  <c r="D30" i="4" s="1"/>
  <c r="J297" i="4"/>
  <c r="J298" i="4"/>
  <c r="K300" i="4"/>
  <c r="J299" i="4"/>
  <c r="C162" i="4"/>
  <c r="D164" i="4"/>
  <c r="C130" i="4"/>
  <c r="C101" i="4"/>
  <c r="C128" i="4"/>
  <c r="C125" i="4"/>
  <c r="C121" i="4"/>
  <c r="C160" i="4"/>
  <c r="C119" i="4"/>
  <c r="C145" i="4"/>
  <c r="C118" i="4"/>
  <c r="C143" i="4"/>
  <c r="C116" i="4"/>
  <c r="C142" i="4"/>
  <c r="C113" i="4"/>
  <c r="D163" i="4"/>
  <c r="C140" i="4"/>
  <c r="C109" i="4"/>
  <c r="C137" i="4"/>
  <c r="C107" i="4"/>
  <c r="D161" i="4"/>
  <c r="C133" i="4"/>
  <c r="C106" i="4"/>
  <c r="C131" i="4"/>
  <c r="C104" i="4"/>
  <c r="D159" i="4"/>
  <c r="C141" i="4"/>
  <c r="C129" i="4"/>
  <c r="C117" i="4"/>
  <c r="C105" i="4"/>
  <c r="C139" i="4"/>
  <c r="C127" i="4"/>
  <c r="C115" i="4"/>
  <c r="C103" i="4"/>
  <c r="C138" i="4"/>
  <c r="C126" i="4"/>
  <c r="C114" i="4"/>
  <c r="C102" i="4"/>
  <c r="C136" i="4"/>
  <c r="C124" i="4"/>
  <c r="C112" i="4"/>
  <c r="C100" i="4"/>
  <c r="C135" i="4"/>
  <c r="C123" i="4"/>
  <c r="C111" i="4"/>
  <c r="C99" i="4"/>
  <c r="C98" i="4"/>
  <c r="C134" i="4"/>
  <c r="C122" i="4"/>
  <c r="C110" i="4"/>
  <c r="C144" i="4"/>
  <c r="C132" i="4"/>
  <c r="C120" i="4"/>
  <c r="D26" i="4"/>
  <c r="D25" i="4" s="1"/>
  <c r="D24" i="4" s="1"/>
  <c r="D23" i="4" s="1"/>
  <c r="D22" i="4" s="1"/>
  <c r="D21" i="4" s="1"/>
  <c r="D20" i="4" s="1"/>
  <c r="D19" i="4" s="1"/>
  <c r="D18" i="4" s="1"/>
  <c r="D17" i="4" s="1"/>
  <c r="D16" i="4" s="1"/>
  <c r="D15" i="4" s="1"/>
  <c r="D14" i="4" s="1"/>
  <c r="D13" i="4" s="1"/>
  <c r="D12" i="4" s="1"/>
  <c r="C44" i="2"/>
  <c r="C64" i="2"/>
  <c r="C52" i="2"/>
  <c r="C40" i="2"/>
  <c r="C28" i="2"/>
  <c r="C63" i="2"/>
  <c r="C51" i="2"/>
  <c r="C39" i="2"/>
  <c r="C27" i="2"/>
  <c r="C62" i="2"/>
  <c r="C50" i="2"/>
  <c r="C38" i="2"/>
  <c r="C26" i="2"/>
  <c r="C61" i="2"/>
  <c r="C49" i="2"/>
  <c r="C37" i="2"/>
  <c r="C25" i="2"/>
  <c r="C60" i="2"/>
  <c r="C48" i="2"/>
  <c r="C36" i="2"/>
  <c r="C24" i="2"/>
  <c r="C59" i="2"/>
  <c r="C47" i="2"/>
  <c r="C35" i="2"/>
  <c r="C23" i="2"/>
  <c r="C58" i="2"/>
  <c r="C46" i="2"/>
  <c r="C34" i="2"/>
  <c r="C22" i="2"/>
  <c r="C57" i="2"/>
  <c r="C45" i="2"/>
  <c r="C33" i="2"/>
  <c r="C21" i="2"/>
  <c r="C20" i="2"/>
  <c r="C56" i="2"/>
  <c r="C55" i="2"/>
  <c r="C43" i="2"/>
  <c r="C31" i="2"/>
  <c r="C66" i="2"/>
  <c r="C54" i="2"/>
  <c r="C42" i="2"/>
  <c r="C30" i="2"/>
  <c r="C32" i="2"/>
  <c r="C65" i="2"/>
  <c r="D65" i="2" s="1"/>
  <c r="C53" i="2"/>
  <c r="C41" i="2"/>
  <c r="D70" i="35" l="1"/>
  <c r="J205" i="5"/>
  <c r="J208" i="14"/>
  <c r="D69" i="35"/>
  <c r="D68" i="35" s="1"/>
  <c r="D67" i="35" s="1"/>
  <c r="D66" i="35" s="1"/>
  <c r="D65" i="35" s="1"/>
  <c r="D64" i="35" s="1"/>
  <c r="D63" i="35" s="1"/>
  <c r="D62" i="35" s="1"/>
  <c r="D61" i="35" s="1"/>
  <c r="D60" i="35" s="1"/>
  <c r="D59" i="35" s="1"/>
  <c r="D58" i="35" s="1"/>
  <c r="D57" i="35" s="1"/>
  <c r="D56" i="35" s="1"/>
  <c r="D55" i="35" s="1"/>
  <c r="D54" i="35" s="1"/>
  <c r="D53" i="35" s="1"/>
  <c r="D52" i="35" s="1"/>
  <c r="D51" i="35" s="1"/>
  <c r="D50" i="35" s="1"/>
  <c r="D49" i="35" s="1"/>
  <c r="D48" i="35" s="1"/>
  <c r="D47" i="35" s="1"/>
  <c r="D46" i="35" s="1"/>
  <c r="D45" i="35" s="1"/>
  <c r="D44" i="35" s="1"/>
  <c r="D43" i="35" s="1"/>
  <c r="D42" i="35" s="1"/>
  <c r="D41" i="35" s="1"/>
  <c r="D40" i="35" s="1"/>
  <c r="D39" i="35" s="1"/>
  <c r="D38" i="35" s="1"/>
  <c r="D37" i="35" s="1"/>
  <c r="D36" i="35" s="1"/>
  <c r="D35" i="35" s="1"/>
  <c r="D34" i="35" s="1"/>
  <c r="D33" i="35" s="1"/>
  <c r="D32" i="35" s="1"/>
  <c r="D31" i="35" s="1"/>
  <c r="D30" i="35" s="1"/>
  <c r="D29" i="35" s="1"/>
  <c r="D28" i="35" s="1"/>
  <c r="D27" i="35" s="1"/>
  <c r="D26" i="35" s="1"/>
  <c r="D25" i="35" s="1"/>
  <c r="D24" i="35" s="1"/>
  <c r="D23" i="35" s="1"/>
  <c r="D22" i="35" s="1"/>
  <c r="D21" i="35" s="1"/>
  <c r="D20" i="35" s="1"/>
  <c r="D19" i="35" s="1"/>
  <c r="D18" i="35" s="1"/>
  <c r="D17" i="35" s="1"/>
  <c r="D16" i="35" s="1"/>
  <c r="D15" i="35" s="1"/>
  <c r="D14" i="35" s="1"/>
  <c r="D13" i="35" s="1"/>
  <c r="D12" i="35" s="1"/>
  <c r="D11" i="35" s="1"/>
  <c r="D10" i="35" s="1"/>
  <c r="D9" i="35" s="1"/>
  <c r="D8" i="35" s="1"/>
  <c r="C73" i="35" s="1"/>
  <c r="J207" i="28"/>
  <c r="K208" i="24"/>
  <c r="J208" i="24"/>
  <c r="J207" i="24"/>
  <c r="J206" i="20"/>
  <c r="K206" i="20"/>
  <c r="B59" i="10"/>
  <c r="C59" i="10" s="1"/>
  <c r="H68" i="10"/>
  <c r="J206" i="10"/>
  <c r="K206" i="10"/>
  <c r="J207" i="10"/>
  <c r="J206" i="8"/>
  <c r="H69" i="8"/>
  <c r="B60" i="8"/>
  <c r="C60" i="8" s="1"/>
  <c r="H68" i="8"/>
  <c r="H70" i="8"/>
  <c r="B61" i="8"/>
  <c r="C61" i="8" s="1"/>
  <c r="C59" i="8"/>
  <c r="H71" i="8"/>
  <c r="B62" i="8"/>
  <c r="C62" i="8" s="1"/>
  <c r="H72" i="8"/>
  <c r="B63" i="8"/>
  <c r="C63" i="8" s="1"/>
  <c r="H73" i="8"/>
  <c r="B64" i="8"/>
  <c r="C64" i="8" s="1"/>
  <c r="D51" i="5"/>
  <c r="D50" i="5" s="1"/>
  <c r="D49" i="5" s="1"/>
  <c r="D48" i="5" s="1"/>
  <c r="D47" i="5" s="1"/>
  <c r="D46" i="5" s="1"/>
  <c r="D45" i="5" s="1"/>
  <c r="D44" i="5" s="1"/>
  <c r="D43" i="5" s="1"/>
  <c r="D42" i="5" s="1"/>
  <c r="D41" i="5" s="1"/>
  <c r="D40" i="5" s="1"/>
  <c r="D39" i="5" s="1"/>
  <c r="D38" i="5" s="1"/>
  <c r="D37" i="5" s="1"/>
  <c r="D36" i="5" s="1"/>
  <c r="D35" i="5" s="1"/>
  <c r="D34" i="5" s="1"/>
  <c r="D33" i="5" s="1"/>
  <c r="D32" i="5" s="1"/>
  <c r="D31" i="5" s="1"/>
  <c r="D30" i="5" s="1"/>
  <c r="D29" i="5" s="1"/>
  <c r="D28" i="5" s="1"/>
  <c r="D27" i="5" s="1"/>
  <c r="D26" i="5" s="1"/>
  <c r="D25" i="5" s="1"/>
  <c r="D24" i="5" s="1"/>
  <c r="D23" i="5" s="1"/>
  <c r="D22" i="5" s="1"/>
  <c r="D21" i="5" s="1"/>
  <c r="D20" i="5" s="1"/>
  <c r="D19" i="5" s="1"/>
  <c r="D18" i="5" s="1"/>
  <c r="D17" i="5" s="1"/>
  <c r="D16" i="5" s="1"/>
  <c r="D15" i="5" s="1"/>
  <c r="D14" i="5" s="1"/>
  <c r="D13" i="5" s="1"/>
  <c r="D12" i="5" s="1"/>
  <c r="D11" i="5" s="1"/>
  <c r="D10" i="5" s="1"/>
  <c r="D9" i="5" s="1"/>
  <c r="D8" i="5" s="1"/>
  <c r="D7" i="5" s="1"/>
  <c r="D6" i="5" s="1"/>
  <c r="B61" i="34"/>
  <c r="C61" i="34" s="1"/>
  <c r="B62" i="34"/>
  <c r="C62" i="34" s="1"/>
  <c r="H72" i="34"/>
  <c r="H70" i="34"/>
  <c r="H68" i="34"/>
  <c r="B60" i="34"/>
  <c r="C60" i="34" s="1"/>
  <c r="B59" i="34"/>
  <c r="C59" i="34" s="1"/>
  <c r="B64" i="34"/>
  <c r="C64" i="34" s="1"/>
  <c r="H73" i="34"/>
  <c r="H71" i="34"/>
  <c r="H69" i="34"/>
  <c r="B63" i="34"/>
  <c r="C63" i="34" s="1"/>
  <c r="K208" i="34"/>
  <c r="J208" i="34"/>
  <c r="K207" i="34"/>
  <c r="J207" i="34"/>
  <c r="K209" i="34"/>
  <c r="J209" i="34"/>
  <c r="K8" i="33"/>
  <c r="L8" i="33" s="1"/>
  <c r="K5" i="33"/>
  <c r="L5" i="33" s="1"/>
  <c r="K10" i="33"/>
  <c r="L10" i="33" s="1"/>
  <c r="K7" i="33"/>
  <c r="L7" i="33" s="1"/>
  <c r="K9" i="33"/>
  <c r="L9" i="33" s="1"/>
  <c r="K6" i="33"/>
  <c r="L6" i="33" s="1"/>
  <c r="B61" i="32"/>
  <c r="C61" i="32" s="1"/>
  <c r="H72" i="32"/>
  <c r="H70" i="32"/>
  <c r="B60" i="32"/>
  <c r="C60" i="32" s="1"/>
  <c r="C59" i="32"/>
  <c r="B62" i="32"/>
  <c r="C62" i="32" s="1"/>
  <c r="B64" i="32"/>
  <c r="C64" i="32" s="1"/>
  <c r="H73" i="32"/>
  <c r="H71" i="32"/>
  <c r="H69" i="32"/>
  <c r="B63" i="32"/>
  <c r="C63" i="32" s="1"/>
  <c r="K208" i="32"/>
  <c r="J208" i="32"/>
  <c r="K207" i="32"/>
  <c r="J207" i="32"/>
  <c r="K209" i="32"/>
  <c r="J209" i="32"/>
  <c r="K5" i="31"/>
  <c r="L5" i="31" s="1"/>
  <c r="K9" i="31"/>
  <c r="L9" i="31" s="1"/>
  <c r="K7" i="31"/>
  <c r="L7" i="31" s="1"/>
  <c r="K6" i="31"/>
  <c r="L6" i="31" s="1"/>
  <c r="K10" i="31"/>
  <c r="L10" i="31" s="1"/>
  <c r="B61" i="30"/>
  <c r="C61" i="30" s="1"/>
  <c r="H72" i="30"/>
  <c r="H70" i="30"/>
  <c r="H68" i="30"/>
  <c r="B60" i="30"/>
  <c r="C60" i="30" s="1"/>
  <c r="B59" i="30"/>
  <c r="C59" i="30" s="1"/>
  <c r="B64" i="30"/>
  <c r="C64" i="30" s="1"/>
  <c r="H73" i="30"/>
  <c r="H71" i="30"/>
  <c r="H69" i="30"/>
  <c r="B62" i="30"/>
  <c r="C62" i="30" s="1"/>
  <c r="B63" i="30"/>
  <c r="C63" i="30" s="1"/>
  <c r="K209" i="30"/>
  <c r="J209" i="30"/>
  <c r="K207" i="30"/>
  <c r="J207" i="30"/>
  <c r="K8" i="29"/>
  <c r="L8" i="29" s="1"/>
  <c r="K10" i="29"/>
  <c r="L10" i="29" s="1"/>
  <c r="K7" i="29"/>
  <c r="L7" i="29" s="1"/>
  <c r="K9" i="29"/>
  <c r="L9" i="29" s="1"/>
  <c r="K6" i="29"/>
  <c r="L6" i="29" s="1"/>
  <c r="L5" i="29"/>
  <c r="B61" i="28"/>
  <c r="C61" i="28" s="1"/>
  <c r="H72" i="28"/>
  <c r="H70" i="28"/>
  <c r="H68" i="28"/>
  <c r="B60" i="28"/>
  <c r="C60" i="28" s="1"/>
  <c r="B62" i="28"/>
  <c r="C62" i="28" s="1"/>
  <c r="B59" i="28"/>
  <c r="C59" i="28" s="1"/>
  <c r="B64" i="28"/>
  <c r="C64" i="28" s="1"/>
  <c r="H73" i="28"/>
  <c r="H71" i="28"/>
  <c r="H69" i="28"/>
  <c r="B63" i="28"/>
  <c r="C63" i="28" s="1"/>
  <c r="K209" i="28"/>
  <c r="J209" i="28"/>
  <c r="K208" i="28"/>
  <c r="J208" i="28"/>
  <c r="K8" i="27"/>
  <c r="L8" i="27" s="1"/>
  <c r="K10" i="27"/>
  <c r="L10" i="27" s="1"/>
  <c r="K7" i="27"/>
  <c r="L7" i="27" s="1"/>
  <c r="K9" i="27"/>
  <c r="L9" i="27" s="1"/>
  <c r="K6" i="27"/>
  <c r="L6" i="27" s="1"/>
  <c r="K5" i="27"/>
  <c r="L5" i="27" s="1"/>
  <c r="B61" i="26"/>
  <c r="C61" i="26" s="1"/>
  <c r="H72" i="26"/>
  <c r="H70" i="26"/>
  <c r="H68" i="26"/>
  <c r="B60" i="26"/>
  <c r="C60" i="26" s="1"/>
  <c r="B59" i="26"/>
  <c r="C59" i="26" s="1"/>
  <c r="B64" i="26"/>
  <c r="C64" i="26" s="1"/>
  <c r="H73" i="26"/>
  <c r="H71" i="26"/>
  <c r="H69" i="26"/>
  <c r="B62" i="26"/>
  <c r="C62" i="26" s="1"/>
  <c r="B63" i="26"/>
  <c r="C63" i="26" s="1"/>
  <c r="K209" i="26"/>
  <c r="J209" i="26"/>
  <c r="K8" i="25"/>
  <c r="L8" i="25" s="1"/>
  <c r="K5" i="25"/>
  <c r="L5" i="25" s="1"/>
  <c r="K10" i="25"/>
  <c r="L10" i="25" s="1"/>
  <c r="K7" i="25"/>
  <c r="L7" i="25" s="1"/>
  <c r="K9" i="25"/>
  <c r="L9" i="25" s="1"/>
  <c r="K6" i="25"/>
  <c r="L6" i="25" s="1"/>
  <c r="B61" i="24"/>
  <c r="C61" i="24" s="1"/>
  <c r="H72" i="24"/>
  <c r="H70" i="24"/>
  <c r="H68" i="24"/>
  <c r="B60" i="24"/>
  <c r="C60" i="24" s="1"/>
  <c r="B62" i="24"/>
  <c r="C62" i="24" s="1"/>
  <c r="B59" i="24"/>
  <c r="C59" i="24" s="1"/>
  <c r="B63" i="24"/>
  <c r="C63" i="24" s="1"/>
  <c r="B64" i="24"/>
  <c r="C64" i="24" s="1"/>
  <c r="H73" i="24"/>
  <c r="H71" i="24"/>
  <c r="H69" i="24"/>
  <c r="K209" i="24"/>
  <c r="J209" i="24"/>
  <c r="K8" i="23"/>
  <c r="L8" i="23" s="1"/>
  <c r="K10" i="23"/>
  <c r="L10" i="23" s="1"/>
  <c r="K7" i="23"/>
  <c r="L7" i="23" s="1"/>
  <c r="K9" i="23"/>
  <c r="L9" i="23" s="1"/>
  <c r="K6" i="23"/>
  <c r="L6" i="23" s="1"/>
  <c r="K5" i="23"/>
  <c r="L5" i="23" s="1"/>
  <c r="B61" i="22"/>
  <c r="C61" i="22" s="1"/>
  <c r="H72" i="22"/>
  <c r="H70" i="22"/>
  <c r="H68" i="22"/>
  <c r="B60" i="22"/>
  <c r="C60" i="22" s="1"/>
  <c r="B59" i="22"/>
  <c r="C59" i="22" s="1"/>
  <c r="B64" i="22"/>
  <c r="C64" i="22" s="1"/>
  <c r="H73" i="22"/>
  <c r="H71" i="22"/>
  <c r="H69" i="22"/>
  <c r="B63" i="22"/>
  <c r="C63" i="22" s="1"/>
  <c r="B62" i="22"/>
  <c r="C62" i="22" s="1"/>
  <c r="K207" i="22"/>
  <c r="J207" i="22"/>
  <c r="K209" i="22"/>
  <c r="J209" i="22"/>
  <c r="K208" i="22"/>
  <c r="J208" i="22"/>
  <c r="K8" i="21"/>
  <c r="L8" i="21" s="1"/>
  <c r="K10" i="21"/>
  <c r="L10" i="21" s="1"/>
  <c r="K7" i="21"/>
  <c r="L7" i="21" s="1"/>
  <c r="K9" i="21"/>
  <c r="L9" i="21" s="1"/>
  <c r="K6" i="21"/>
  <c r="L6" i="21" s="1"/>
  <c r="K5" i="21"/>
  <c r="L5" i="21" s="1"/>
  <c r="B61" i="20"/>
  <c r="C61" i="20" s="1"/>
  <c r="H72" i="20"/>
  <c r="H70" i="20"/>
  <c r="H68" i="20"/>
  <c r="B60" i="20"/>
  <c r="C60" i="20" s="1"/>
  <c r="B64" i="20"/>
  <c r="C64" i="20" s="1"/>
  <c r="B59" i="20"/>
  <c r="C59" i="20" s="1"/>
  <c r="H73" i="20"/>
  <c r="H71" i="20"/>
  <c r="H69" i="20"/>
  <c r="B63" i="20"/>
  <c r="C63" i="20" s="1"/>
  <c r="B62" i="20"/>
  <c r="C62" i="20" s="1"/>
  <c r="K207" i="20"/>
  <c r="J207" i="20"/>
  <c r="K8" i="19"/>
  <c r="L8" i="19" s="1"/>
  <c r="K10" i="19"/>
  <c r="L10" i="19" s="1"/>
  <c r="K7" i="19"/>
  <c r="L7" i="19" s="1"/>
  <c r="K9" i="19"/>
  <c r="L9" i="19" s="1"/>
  <c r="K6" i="19"/>
  <c r="L6" i="19" s="1"/>
  <c r="K5" i="19"/>
  <c r="L5" i="19" s="1"/>
  <c r="J207" i="18"/>
  <c r="H72" i="18"/>
  <c r="H70" i="18"/>
  <c r="H68" i="18"/>
  <c r="B60" i="18"/>
  <c r="C60" i="18" s="1"/>
  <c r="B62" i="18"/>
  <c r="C62" i="18" s="1"/>
  <c r="B59" i="18"/>
  <c r="C59" i="18" s="1"/>
  <c r="B64" i="18"/>
  <c r="C64" i="18" s="1"/>
  <c r="H73" i="18"/>
  <c r="H71" i="18"/>
  <c r="H69" i="18"/>
  <c r="B61" i="18"/>
  <c r="C61" i="18" s="1"/>
  <c r="B63" i="18"/>
  <c r="C63" i="18" s="1"/>
  <c r="K208" i="18"/>
  <c r="J208" i="18"/>
  <c r="K8" i="17"/>
  <c r="L8" i="17" s="1"/>
  <c r="K10" i="17"/>
  <c r="L10" i="17" s="1"/>
  <c r="K7" i="17"/>
  <c r="L7" i="17" s="1"/>
  <c r="K9" i="17"/>
  <c r="L9" i="17" s="1"/>
  <c r="K6" i="17"/>
  <c r="L6" i="17" s="1"/>
  <c r="K5" i="17"/>
  <c r="L5" i="17" s="1"/>
  <c r="B61" i="16"/>
  <c r="C61" i="16" s="1"/>
  <c r="B63" i="16"/>
  <c r="C63" i="16" s="1"/>
  <c r="H72" i="16"/>
  <c r="H70" i="16"/>
  <c r="H68" i="16"/>
  <c r="B60" i="16"/>
  <c r="C60" i="16" s="1"/>
  <c r="B62" i="16"/>
  <c r="C62" i="16" s="1"/>
  <c r="C59" i="16"/>
  <c r="B64" i="16"/>
  <c r="C64" i="16" s="1"/>
  <c r="H73" i="16"/>
  <c r="H71" i="16"/>
  <c r="H69" i="16"/>
  <c r="K208" i="16"/>
  <c r="J208" i="16"/>
  <c r="J207" i="16"/>
  <c r="K207" i="16"/>
  <c r="K209" i="16"/>
  <c r="J209" i="16"/>
  <c r="K8" i="15"/>
  <c r="L8" i="15" s="1"/>
  <c r="K9" i="15"/>
  <c r="L9" i="15" s="1"/>
  <c r="K6" i="15"/>
  <c r="L6" i="15" s="1"/>
  <c r="K10" i="15"/>
  <c r="L10" i="15" s="1"/>
  <c r="K7" i="15"/>
  <c r="L7" i="15" s="1"/>
  <c r="K5" i="15"/>
  <c r="L5" i="15" s="1"/>
  <c r="B61" i="14"/>
  <c r="C61" i="14" s="1"/>
  <c r="H72" i="14"/>
  <c r="H70" i="14"/>
  <c r="H68" i="14"/>
  <c r="B60" i="14"/>
  <c r="C60" i="14" s="1"/>
  <c r="B59" i="14"/>
  <c r="C59" i="14" s="1"/>
  <c r="B63" i="14"/>
  <c r="C63" i="14" s="1"/>
  <c r="B64" i="14"/>
  <c r="C64" i="14" s="1"/>
  <c r="H73" i="14"/>
  <c r="H71" i="14"/>
  <c r="H69" i="14"/>
  <c r="B62" i="14"/>
  <c r="C62" i="14" s="1"/>
  <c r="K209" i="14"/>
  <c r="J209" i="14"/>
  <c r="J207" i="14"/>
  <c r="K207" i="14"/>
  <c r="K8" i="13"/>
  <c r="L8" i="13" s="1"/>
  <c r="K10" i="13"/>
  <c r="L10" i="13" s="1"/>
  <c r="K7" i="13"/>
  <c r="L7" i="13" s="1"/>
  <c r="K9" i="13"/>
  <c r="L9" i="13" s="1"/>
  <c r="K6" i="13"/>
  <c r="L6" i="13" s="1"/>
  <c r="K5" i="13"/>
  <c r="L5" i="13" s="1"/>
  <c r="B61" i="12"/>
  <c r="C61" i="12" s="1"/>
  <c r="H72" i="12"/>
  <c r="H70" i="12"/>
  <c r="H68" i="12"/>
  <c r="B60" i="12"/>
  <c r="C60" i="12" s="1"/>
  <c r="B64" i="12"/>
  <c r="C64" i="12" s="1"/>
  <c r="B59" i="12"/>
  <c r="C59" i="12" s="1"/>
  <c r="H73" i="12"/>
  <c r="H71" i="12"/>
  <c r="H69" i="12"/>
  <c r="B63" i="12"/>
  <c r="C63" i="12" s="1"/>
  <c r="B62" i="12"/>
  <c r="C62" i="12" s="1"/>
  <c r="K207" i="12"/>
  <c r="J207" i="12"/>
  <c r="K8" i="11"/>
  <c r="L8" i="11" s="1"/>
  <c r="K10" i="11"/>
  <c r="L10" i="11" s="1"/>
  <c r="K7" i="11"/>
  <c r="L7" i="11" s="1"/>
  <c r="K9" i="11"/>
  <c r="L9" i="11" s="1"/>
  <c r="K6" i="11"/>
  <c r="L6" i="11" s="1"/>
  <c r="L5" i="11"/>
  <c r="B61" i="10"/>
  <c r="C61" i="10" s="1"/>
  <c r="H72" i="10"/>
  <c r="H70" i="10"/>
  <c r="B60" i="10"/>
  <c r="C60" i="10" s="1"/>
  <c r="B64" i="10"/>
  <c r="C64" i="10" s="1"/>
  <c r="H73" i="10"/>
  <c r="H71" i="10"/>
  <c r="H69" i="10"/>
  <c r="B63" i="10"/>
  <c r="C63" i="10" s="1"/>
  <c r="B62" i="10"/>
  <c r="C62" i="10" s="1"/>
  <c r="D7" i="9"/>
  <c r="D4" i="9" s="1"/>
  <c r="J209" i="8"/>
  <c r="D144" i="4"/>
  <c r="D143" i="4" s="1"/>
  <c r="D142" i="4" s="1"/>
  <c r="D141" i="4" s="1"/>
  <c r="D140" i="4" s="1"/>
  <c r="D139" i="4" s="1"/>
  <c r="D138" i="4" s="1"/>
  <c r="D137" i="4" s="1"/>
  <c r="D136" i="4" s="1"/>
  <c r="D135" i="4" s="1"/>
  <c r="D134" i="4" s="1"/>
  <c r="D133" i="4" s="1"/>
  <c r="D132" i="4" s="1"/>
  <c r="D131" i="4" s="1"/>
  <c r="D130" i="4" s="1"/>
  <c r="D129" i="4" s="1"/>
  <c r="D128" i="4" s="1"/>
  <c r="D127" i="4" s="1"/>
  <c r="D126" i="4" s="1"/>
  <c r="D125" i="4" s="1"/>
  <c r="D124" i="4" s="1"/>
  <c r="D123" i="4" s="1"/>
  <c r="D122" i="4" s="1"/>
  <c r="D121" i="4" s="1"/>
  <c r="D120" i="4" s="1"/>
  <c r="D119" i="4" s="1"/>
  <c r="D118" i="4" s="1"/>
  <c r="D117" i="4" s="1"/>
  <c r="D116" i="4" s="1"/>
  <c r="D115" i="4" s="1"/>
  <c r="D114" i="4" s="1"/>
  <c r="D113" i="4" s="1"/>
  <c r="D112" i="4" s="1"/>
  <c r="D111" i="4" s="1"/>
  <c r="D110" i="4" s="1"/>
  <c r="D109" i="4" s="1"/>
  <c r="D108" i="4" s="1"/>
  <c r="D107" i="4" s="1"/>
  <c r="D106" i="4" s="1"/>
  <c r="D105" i="4" s="1"/>
  <c r="D104" i="4" s="1"/>
  <c r="D103" i="4" s="1"/>
  <c r="D102" i="4" s="1"/>
  <c r="D101" i="4" s="1"/>
  <c r="D100" i="4" s="1"/>
  <c r="D99" i="4" s="1"/>
  <c r="D98" i="4" s="1"/>
  <c r="D64" i="2"/>
  <c r="D63" i="2" s="1"/>
  <c r="D62" i="2" s="1"/>
  <c r="D61" i="2" s="1"/>
  <c r="D60" i="2" s="1"/>
  <c r="D59" i="2" s="1"/>
  <c r="D58" i="2" s="1"/>
  <c r="D57" i="2" s="1"/>
  <c r="D56" i="2" s="1"/>
  <c r="D55" i="2" s="1"/>
  <c r="D54" i="2" s="1"/>
  <c r="D53" i="2" s="1"/>
  <c r="D52" i="2" s="1"/>
  <c r="D51" i="2" s="1"/>
  <c r="D50" i="2" s="1"/>
  <c r="D49" i="2" s="1"/>
  <c r="D48" i="2" s="1"/>
  <c r="D47" i="2" s="1"/>
  <c r="D46" i="2" s="1"/>
  <c r="D45" i="2" s="1"/>
  <c r="D44" i="2" s="1"/>
  <c r="D43" i="2" s="1"/>
  <c r="D42" i="2" s="1"/>
  <c r="D41" i="2" s="1"/>
  <c r="D40" i="2" s="1"/>
  <c r="D39" i="2" s="1"/>
  <c r="D38" i="2" s="1"/>
  <c r="D37" i="2" s="1"/>
  <c r="D36" i="2" s="1"/>
  <c r="D35" i="2" s="1"/>
  <c r="D34" i="2" s="1"/>
  <c r="D33" i="2" s="1"/>
  <c r="D32" i="2" s="1"/>
  <c r="D31" i="2" s="1"/>
  <c r="D30" i="2" s="1"/>
  <c r="D29" i="2" s="1"/>
  <c r="D28" i="2" s="1"/>
  <c r="D27" i="2" s="1"/>
  <c r="D26" i="2" s="1"/>
  <c r="D25" i="2" s="1"/>
  <c r="D24" i="2" s="1"/>
  <c r="D23" i="2" s="1"/>
  <c r="D22" i="2" s="1"/>
  <c r="D21" i="2" s="1"/>
  <c r="D20" i="2" s="1"/>
  <c r="D19" i="2" s="1"/>
  <c r="B55" i="5" l="1"/>
  <c r="C77" i="35"/>
  <c r="D77" i="35" s="1"/>
  <c r="C78" i="35"/>
  <c r="D78" i="35" s="1"/>
  <c r="C79" i="35"/>
  <c r="D79" i="35" s="1"/>
  <c r="C80" i="35"/>
  <c r="D80" i="35" s="1"/>
  <c r="C81" i="35"/>
  <c r="D81" i="35" s="1"/>
  <c r="C82" i="35"/>
  <c r="D82" i="35" s="1"/>
  <c r="C83" i="35"/>
  <c r="D83" i="35" s="1"/>
  <c r="C84" i="35"/>
  <c r="D84" i="35" s="1"/>
  <c r="K9" i="9"/>
  <c r="L9" i="9" s="1"/>
  <c r="K10" i="9"/>
  <c r="L10" i="9" s="1"/>
  <c r="K8" i="9"/>
  <c r="L8" i="9" s="1"/>
  <c r="K6" i="9"/>
  <c r="L6" i="9" s="1"/>
  <c r="K7" i="9"/>
  <c r="L7" i="9" s="1"/>
  <c r="K5" i="9"/>
  <c r="L5" i="9" s="1"/>
  <c r="I73" i="8"/>
  <c r="J73" i="8"/>
  <c r="B81" i="8" s="1"/>
  <c r="J69" i="8"/>
  <c r="B77" i="8" s="1"/>
  <c r="I69" i="8"/>
  <c r="J70" i="8"/>
  <c r="B78" i="8" s="1"/>
  <c r="I70" i="8"/>
  <c r="I71" i="8"/>
  <c r="J71" i="8"/>
  <c r="B79" i="8" s="1"/>
  <c r="J68" i="8"/>
  <c r="B76" i="8" s="1"/>
  <c r="I68" i="8"/>
  <c r="J72" i="8"/>
  <c r="B80" i="8" s="1"/>
  <c r="I72" i="8"/>
  <c r="B61" i="5"/>
  <c r="C61" i="5" s="1"/>
  <c r="B60" i="5"/>
  <c r="C60" i="5" s="1"/>
  <c r="B59" i="5"/>
  <c r="C59" i="5" s="1"/>
  <c r="B62" i="5"/>
  <c r="C62" i="5" s="1"/>
  <c r="J71" i="34"/>
  <c r="B79" i="34" s="1"/>
  <c r="I71" i="34"/>
  <c r="J73" i="34"/>
  <c r="B81" i="34" s="1"/>
  <c r="I73" i="34"/>
  <c r="J68" i="34"/>
  <c r="B76" i="34" s="1"/>
  <c r="I68" i="34"/>
  <c r="J70" i="34"/>
  <c r="B78" i="34" s="1"/>
  <c r="I70" i="34"/>
  <c r="J72" i="34"/>
  <c r="B80" i="34" s="1"/>
  <c r="I72" i="34"/>
  <c r="J69" i="34"/>
  <c r="B77" i="34" s="1"/>
  <c r="I69" i="34"/>
  <c r="J71" i="32"/>
  <c r="I71" i="32"/>
  <c r="J73" i="32"/>
  <c r="I73" i="32"/>
  <c r="J69" i="32"/>
  <c r="I69" i="32"/>
  <c r="J68" i="32"/>
  <c r="C76" i="32" s="1"/>
  <c r="I68" i="32"/>
  <c r="J70" i="32"/>
  <c r="I70" i="32"/>
  <c r="J72" i="32"/>
  <c r="I72" i="32"/>
  <c r="J69" i="30"/>
  <c r="B77" i="30" s="1"/>
  <c r="I69" i="30"/>
  <c r="J73" i="30"/>
  <c r="B81" i="30" s="1"/>
  <c r="I73" i="30"/>
  <c r="J68" i="30"/>
  <c r="B76" i="30" s="1"/>
  <c r="I68" i="30"/>
  <c r="J70" i="30"/>
  <c r="B78" i="30" s="1"/>
  <c r="I70" i="30"/>
  <c r="J71" i="30"/>
  <c r="B79" i="30" s="1"/>
  <c r="I71" i="30"/>
  <c r="J72" i="30"/>
  <c r="B80" i="30" s="1"/>
  <c r="I72" i="30"/>
  <c r="J69" i="28"/>
  <c r="B77" i="28" s="1"/>
  <c r="I69" i="28"/>
  <c r="J71" i="28"/>
  <c r="B79" i="28" s="1"/>
  <c r="I71" i="28"/>
  <c r="J68" i="28"/>
  <c r="B76" i="28" s="1"/>
  <c r="I68" i="28"/>
  <c r="J70" i="28"/>
  <c r="B78" i="28" s="1"/>
  <c r="I70" i="28"/>
  <c r="J72" i="28"/>
  <c r="B80" i="28" s="1"/>
  <c r="I72" i="28"/>
  <c r="J73" i="28"/>
  <c r="B81" i="28" s="1"/>
  <c r="I73" i="28"/>
  <c r="J71" i="26"/>
  <c r="B79" i="26" s="1"/>
  <c r="I71" i="26"/>
  <c r="J73" i="26"/>
  <c r="B81" i="26" s="1"/>
  <c r="I73" i="26"/>
  <c r="J68" i="26"/>
  <c r="B76" i="26" s="1"/>
  <c r="I68" i="26"/>
  <c r="J70" i="26"/>
  <c r="B78" i="26" s="1"/>
  <c r="I70" i="26"/>
  <c r="J69" i="26"/>
  <c r="B77" i="26" s="1"/>
  <c r="I69" i="26"/>
  <c r="J72" i="26"/>
  <c r="B80" i="26" s="1"/>
  <c r="I72" i="26"/>
  <c r="J71" i="24"/>
  <c r="B79" i="24" s="1"/>
  <c r="I71" i="24"/>
  <c r="J69" i="24"/>
  <c r="B77" i="24" s="1"/>
  <c r="I69" i="24"/>
  <c r="J73" i="24"/>
  <c r="B81" i="24" s="1"/>
  <c r="I73" i="24"/>
  <c r="J70" i="24"/>
  <c r="B78" i="24" s="1"/>
  <c r="I70" i="24"/>
  <c r="J68" i="24"/>
  <c r="B76" i="24" s="1"/>
  <c r="I68" i="24"/>
  <c r="J72" i="24"/>
  <c r="B80" i="24" s="1"/>
  <c r="I72" i="24"/>
  <c r="J69" i="22"/>
  <c r="B77" i="22" s="1"/>
  <c r="I69" i="22"/>
  <c r="J73" i="22"/>
  <c r="B81" i="22" s="1"/>
  <c r="I73" i="22"/>
  <c r="J68" i="22"/>
  <c r="B76" i="22" s="1"/>
  <c r="I68" i="22"/>
  <c r="J71" i="22"/>
  <c r="B79" i="22" s="1"/>
  <c r="I71" i="22"/>
  <c r="J70" i="22"/>
  <c r="B78" i="22" s="1"/>
  <c r="I70" i="22"/>
  <c r="J72" i="22"/>
  <c r="B80" i="22" s="1"/>
  <c r="I72" i="22"/>
  <c r="J73" i="20"/>
  <c r="B81" i="20" s="1"/>
  <c r="I73" i="20"/>
  <c r="J68" i="20"/>
  <c r="B76" i="20" s="1"/>
  <c r="I68" i="20"/>
  <c r="J70" i="20"/>
  <c r="B78" i="20" s="1"/>
  <c r="I70" i="20"/>
  <c r="I69" i="20"/>
  <c r="J69" i="20"/>
  <c r="B77" i="20" s="1"/>
  <c r="J72" i="20"/>
  <c r="B80" i="20" s="1"/>
  <c r="I72" i="20"/>
  <c r="I71" i="20"/>
  <c r="J71" i="20"/>
  <c r="B79" i="20" s="1"/>
  <c r="J71" i="18"/>
  <c r="B79" i="18" s="1"/>
  <c r="I71" i="18"/>
  <c r="J69" i="18"/>
  <c r="B77" i="18" s="1"/>
  <c r="I69" i="18"/>
  <c r="J68" i="18"/>
  <c r="B76" i="18" s="1"/>
  <c r="I68" i="18"/>
  <c r="I70" i="18"/>
  <c r="J70" i="18"/>
  <c r="B78" i="18" s="1"/>
  <c r="J73" i="18"/>
  <c r="B81" i="18" s="1"/>
  <c r="I73" i="18"/>
  <c r="I72" i="18"/>
  <c r="J72" i="18"/>
  <c r="B80" i="18" s="1"/>
  <c r="J69" i="16"/>
  <c r="B77" i="16" s="1"/>
  <c r="I69" i="16"/>
  <c r="J71" i="16"/>
  <c r="B79" i="16" s="1"/>
  <c r="I71" i="16"/>
  <c r="J73" i="16"/>
  <c r="B81" i="16" s="1"/>
  <c r="I73" i="16"/>
  <c r="J68" i="16"/>
  <c r="B76" i="16" s="1"/>
  <c r="I68" i="16"/>
  <c r="J70" i="16"/>
  <c r="B78" i="16" s="1"/>
  <c r="I70" i="16"/>
  <c r="J72" i="16"/>
  <c r="B80" i="16" s="1"/>
  <c r="I72" i="16"/>
  <c r="J71" i="14"/>
  <c r="B79" i="14" s="1"/>
  <c r="I71" i="14"/>
  <c r="J73" i="14"/>
  <c r="B81" i="14" s="1"/>
  <c r="I73" i="14"/>
  <c r="J69" i="14"/>
  <c r="B77" i="14" s="1"/>
  <c r="I69" i="14"/>
  <c r="J70" i="14"/>
  <c r="B78" i="14" s="1"/>
  <c r="I70" i="14"/>
  <c r="J68" i="14"/>
  <c r="B76" i="14" s="1"/>
  <c r="I68" i="14"/>
  <c r="J72" i="14"/>
  <c r="B80" i="14" s="1"/>
  <c r="I72" i="14"/>
  <c r="I71" i="12"/>
  <c r="J71" i="12"/>
  <c r="B79" i="12" s="1"/>
  <c r="I73" i="12"/>
  <c r="J73" i="12"/>
  <c r="B81" i="12" s="1"/>
  <c r="J68" i="12"/>
  <c r="B76" i="12" s="1"/>
  <c r="I68" i="12"/>
  <c r="J70" i="12"/>
  <c r="B78" i="12" s="1"/>
  <c r="I70" i="12"/>
  <c r="J72" i="12"/>
  <c r="B80" i="12" s="1"/>
  <c r="I72" i="12"/>
  <c r="I69" i="12"/>
  <c r="J69" i="12"/>
  <c r="B77" i="12" s="1"/>
  <c r="J69" i="10"/>
  <c r="B77" i="10" s="1"/>
  <c r="I69" i="10"/>
  <c r="J73" i="10"/>
  <c r="B81" i="10" s="1"/>
  <c r="I73" i="10"/>
  <c r="I68" i="10"/>
  <c r="J68" i="10"/>
  <c r="B76" i="10" s="1"/>
  <c r="I70" i="10"/>
  <c r="J70" i="10"/>
  <c r="B78" i="10" s="1"/>
  <c r="J71" i="10"/>
  <c r="B79" i="10" s="1"/>
  <c r="I71" i="10"/>
  <c r="I72" i="10"/>
  <c r="J72" i="10"/>
  <c r="B80" i="10" s="1"/>
  <c r="H160" i="4"/>
  <c r="H159" i="4"/>
  <c r="H164" i="4"/>
  <c r="H163" i="4"/>
  <c r="H162" i="4"/>
  <c r="H161" i="4"/>
  <c r="B151" i="4"/>
  <c r="C151" i="4" s="1"/>
  <c r="B152" i="4"/>
  <c r="C152" i="4" s="1"/>
  <c r="B153" i="4"/>
  <c r="C153" i="4" s="1"/>
  <c r="B154" i="4"/>
  <c r="C154" i="4" s="1"/>
  <c r="B150" i="4"/>
  <c r="C150" i="4" s="1"/>
  <c r="B155" i="4"/>
  <c r="C155" i="4" s="1"/>
  <c r="H68" i="5" l="1"/>
  <c r="I68" i="5" s="1"/>
  <c r="H69" i="5"/>
  <c r="I69" i="5" s="1"/>
  <c r="H70" i="5"/>
  <c r="H71" i="5"/>
  <c r="H72" i="5"/>
  <c r="I72" i="5" s="1"/>
  <c r="H67" i="5"/>
  <c r="I67" i="5" s="1"/>
  <c r="B58" i="5"/>
  <c r="C58" i="5" s="1"/>
  <c r="B63" i="5"/>
  <c r="C63" i="5" s="1"/>
  <c r="C78" i="8"/>
  <c r="D78" i="8"/>
  <c r="D79" i="8"/>
  <c r="C79" i="8"/>
  <c r="D77" i="8"/>
  <c r="C77" i="8"/>
  <c r="C80" i="8"/>
  <c r="D80" i="8"/>
  <c r="D81" i="8"/>
  <c r="C81" i="8"/>
  <c r="D76" i="8"/>
  <c r="C76" i="8"/>
  <c r="J72" i="5"/>
  <c r="B80" i="5" s="1"/>
  <c r="C80" i="5" s="1"/>
  <c r="J67" i="5"/>
  <c r="B75" i="5" s="1"/>
  <c r="C75" i="5" s="1"/>
  <c r="J68" i="5"/>
  <c r="B76" i="5" s="1"/>
  <c r="D76" i="5" s="1"/>
  <c r="J69" i="5"/>
  <c r="B77" i="5" s="1"/>
  <c r="C77" i="5" s="1"/>
  <c r="D77" i="34"/>
  <c r="C77" i="34"/>
  <c r="D76" i="34"/>
  <c r="C76" i="34"/>
  <c r="D80" i="34"/>
  <c r="C80" i="34"/>
  <c r="D81" i="34"/>
  <c r="C81" i="34"/>
  <c r="D78" i="34"/>
  <c r="C78" i="34"/>
  <c r="D79" i="34"/>
  <c r="C79" i="34"/>
  <c r="D78" i="32"/>
  <c r="C78" i="32"/>
  <c r="D77" i="32"/>
  <c r="C77" i="32"/>
  <c r="D80" i="32"/>
  <c r="C80" i="32"/>
  <c r="D81" i="32"/>
  <c r="C81" i="32"/>
  <c r="D76" i="32"/>
  <c r="D79" i="32"/>
  <c r="C79" i="32"/>
  <c r="D80" i="30"/>
  <c r="C80" i="30"/>
  <c r="D79" i="30"/>
  <c r="C79" i="30"/>
  <c r="D77" i="30"/>
  <c r="C77" i="30"/>
  <c r="D78" i="30"/>
  <c r="C78" i="30"/>
  <c r="D81" i="30"/>
  <c r="C81" i="30"/>
  <c r="D76" i="30"/>
  <c r="C76" i="30"/>
  <c r="D81" i="28"/>
  <c r="C81" i="28"/>
  <c r="C78" i="28"/>
  <c r="D78" i="28"/>
  <c r="D76" i="28"/>
  <c r="C76" i="28"/>
  <c r="D79" i="28"/>
  <c r="C79" i="28"/>
  <c r="D80" i="28"/>
  <c r="C80" i="28"/>
  <c r="D77" i="28"/>
  <c r="C77" i="28"/>
  <c r="D80" i="26"/>
  <c r="C80" i="26"/>
  <c r="D76" i="26"/>
  <c r="C76" i="26"/>
  <c r="D77" i="26"/>
  <c r="C77" i="26"/>
  <c r="D81" i="26"/>
  <c r="C81" i="26"/>
  <c r="C78" i="26"/>
  <c r="D78" i="26"/>
  <c r="D79" i="26"/>
  <c r="C79" i="26"/>
  <c r="D78" i="24"/>
  <c r="C78" i="24"/>
  <c r="D76" i="24"/>
  <c r="C76" i="24"/>
  <c r="D80" i="24"/>
  <c r="C80" i="24"/>
  <c r="D77" i="24"/>
  <c r="C77" i="24"/>
  <c r="D81" i="24"/>
  <c r="C81" i="24"/>
  <c r="D79" i="24"/>
  <c r="C79" i="24"/>
  <c r="D80" i="22"/>
  <c r="C80" i="22"/>
  <c r="D78" i="22"/>
  <c r="C78" i="22"/>
  <c r="D76" i="22"/>
  <c r="C76" i="22"/>
  <c r="D81" i="22"/>
  <c r="C81" i="22"/>
  <c r="D79" i="22"/>
  <c r="C79" i="22"/>
  <c r="D77" i="22"/>
  <c r="C77" i="22"/>
  <c r="D80" i="20"/>
  <c r="C80" i="20"/>
  <c r="D78" i="20"/>
  <c r="C78" i="20"/>
  <c r="D77" i="20"/>
  <c r="C77" i="20"/>
  <c r="D76" i="20"/>
  <c r="C76" i="20"/>
  <c r="C79" i="20"/>
  <c r="D79" i="20"/>
  <c r="D81" i="20"/>
  <c r="C81" i="20"/>
  <c r="D80" i="18"/>
  <c r="C80" i="18"/>
  <c r="D76" i="18"/>
  <c r="C76" i="18"/>
  <c r="D81" i="18"/>
  <c r="C81" i="18"/>
  <c r="D78" i="18"/>
  <c r="C78" i="18"/>
  <c r="D77" i="18"/>
  <c r="C77" i="18"/>
  <c r="D79" i="18"/>
  <c r="C79" i="18"/>
  <c r="D76" i="16"/>
  <c r="C76" i="16"/>
  <c r="D81" i="16"/>
  <c r="C81" i="16"/>
  <c r="D80" i="16"/>
  <c r="C80" i="16"/>
  <c r="D79" i="16"/>
  <c r="C79" i="16"/>
  <c r="D78" i="16"/>
  <c r="C78" i="16"/>
  <c r="D77" i="16"/>
  <c r="C77" i="16"/>
  <c r="D80" i="14"/>
  <c r="C80" i="14"/>
  <c r="D76" i="14"/>
  <c r="C76" i="14"/>
  <c r="D79" i="14"/>
  <c r="C79" i="14"/>
  <c r="D77" i="14"/>
  <c r="C77" i="14"/>
  <c r="D81" i="14"/>
  <c r="C81" i="14"/>
  <c r="C78" i="14"/>
  <c r="D78" i="14"/>
  <c r="D77" i="12"/>
  <c r="C77" i="12"/>
  <c r="D76" i="12"/>
  <c r="C76" i="12"/>
  <c r="C79" i="12"/>
  <c r="D79" i="12"/>
  <c r="D80" i="12"/>
  <c r="C80" i="12"/>
  <c r="D78" i="12"/>
  <c r="C78" i="12"/>
  <c r="D81" i="12"/>
  <c r="C81" i="12"/>
  <c r="D76" i="10"/>
  <c r="C76" i="10"/>
  <c r="D78" i="10"/>
  <c r="C78" i="10"/>
  <c r="C81" i="10"/>
  <c r="D81" i="10"/>
  <c r="D80" i="10"/>
  <c r="C80" i="10"/>
  <c r="D79" i="10"/>
  <c r="C79" i="10"/>
  <c r="C77" i="10"/>
  <c r="D77" i="10"/>
  <c r="I159" i="4"/>
  <c r="J159" i="4"/>
  <c r="B167" i="4" s="1"/>
  <c r="I161" i="4"/>
  <c r="J161" i="4"/>
  <c r="B169" i="4" s="1"/>
  <c r="J162" i="4"/>
  <c r="B170" i="4" s="1"/>
  <c r="I162" i="4"/>
  <c r="I163" i="4"/>
  <c r="J163" i="4"/>
  <c r="B171" i="4" s="1"/>
  <c r="I164" i="4"/>
  <c r="J164" i="4"/>
  <c r="B172" i="4" s="1"/>
  <c r="J160" i="4"/>
  <c r="B168" i="4" s="1"/>
  <c r="I160" i="4"/>
  <c r="D83" i="8" l="1"/>
  <c r="B86" i="8" s="1"/>
  <c r="D77" i="5"/>
  <c r="J71" i="5"/>
  <c r="B79" i="5" s="1"/>
  <c r="I71" i="5"/>
  <c r="I70" i="5"/>
  <c r="J70" i="5"/>
  <c r="B78" i="5" s="1"/>
  <c r="C76" i="5"/>
  <c r="D83" i="30"/>
  <c r="B89" i="30" s="1"/>
  <c r="D83" i="16"/>
  <c r="B87" i="8"/>
  <c r="D87" i="8" s="1"/>
  <c r="D80" i="5"/>
  <c r="D75" i="5"/>
  <c r="D83" i="34"/>
  <c r="D83" i="28"/>
  <c r="D83" i="26"/>
  <c r="D83" i="24"/>
  <c r="D83" i="22"/>
  <c r="D83" i="20"/>
  <c r="D83" i="18"/>
  <c r="D83" i="14"/>
  <c r="D83" i="12"/>
  <c r="D83" i="10"/>
  <c r="B86" i="10" s="1"/>
  <c r="D168" i="4"/>
  <c r="C168" i="4"/>
  <c r="D171" i="4"/>
  <c r="C171" i="4"/>
  <c r="D169" i="4"/>
  <c r="C169" i="4"/>
  <c r="D172" i="4"/>
  <c r="C172" i="4"/>
  <c r="C167" i="4"/>
  <c r="D167" i="4"/>
  <c r="D170" i="4"/>
  <c r="C170" i="4"/>
  <c r="B92" i="30" l="1"/>
  <c r="B86" i="30"/>
  <c r="B91" i="30"/>
  <c r="B88" i="30"/>
  <c r="C88" i="30" s="1"/>
  <c r="B87" i="30"/>
  <c r="B90" i="30"/>
  <c r="D90" i="30" s="1"/>
  <c r="B93" i="30"/>
  <c r="D93" i="30" s="1"/>
  <c r="C78" i="5"/>
  <c r="D82" i="5" s="1"/>
  <c r="D78" i="5"/>
  <c r="C79" i="5"/>
  <c r="D79" i="5"/>
  <c r="B88" i="8"/>
  <c r="D88" i="8" s="1"/>
  <c r="B91" i="8"/>
  <c r="B89" i="8"/>
  <c r="C89" i="8" s="1"/>
  <c r="C86" i="8"/>
  <c r="B90" i="8"/>
  <c r="D90" i="8" s="1"/>
  <c r="B92" i="8"/>
  <c r="D92" i="8" s="1"/>
  <c r="B93" i="8"/>
  <c r="C87" i="8"/>
  <c r="E87" i="8" s="1"/>
  <c r="F87" i="8" s="1"/>
  <c r="D86" i="8"/>
  <c r="B93" i="34"/>
  <c r="B90" i="34"/>
  <c r="B87" i="34"/>
  <c r="B91" i="34"/>
  <c r="B88" i="34"/>
  <c r="B92" i="34"/>
  <c r="B89" i="34"/>
  <c r="B86" i="34"/>
  <c r="B93" i="32"/>
  <c r="B90" i="32"/>
  <c r="B87" i="32"/>
  <c r="B91" i="32"/>
  <c r="B88" i="32"/>
  <c r="B92" i="32"/>
  <c r="B89" i="32"/>
  <c r="B86" i="32"/>
  <c r="D92" i="30"/>
  <c r="C92" i="30"/>
  <c r="E92" i="30" s="1"/>
  <c r="F92" i="30" s="1"/>
  <c r="D86" i="30"/>
  <c r="C86" i="30"/>
  <c r="E86" i="30" s="1"/>
  <c r="F86" i="30" s="1"/>
  <c r="I86" i="30" s="1"/>
  <c r="D89" i="30"/>
  <c r="C89" i="30"/>
  <c r="D91" i="30"/>
  <c r="C91" i="30"/>
  <c r="D87" i="30"/>
  <c r="C87" i="30"/>
  <c r="B89" i="28"/>
  <c r="B86" i="28"/>
  <c r="B93" i="28"/>
  <c r="B90" i="28"/>
  <c r="B87" i="28"/>
  <c r="B91" i="28"/>
  <c r="B88" i="28"/>
  <c r="B92" i="28"/>
  <c r="B92" i="26"/>
  <c r="B93" i="26"/>
  <c r="B90" i="26"/>
  <c r="B87" i="26"/>
  <c r="B86" i="26"/>
  <c r="B91" i="26"/>
  <c r="B88" i="26"/>
  <c r="B89" i="26"/>
  <c r="B93" i="24"/>
  <c r="B90" i="24"/>
  <c r="B87" i="24"/>
  <c r="B91" i="24"/>
  <c r="B88" i="24"/>
  <c r="B92" i="24"/>
  <c r="B89" i="24"/>
  <c r="B86" i="24"/>
  <c r="B93" i="22"/>
  <c r="B90" i="22"/>
  <c r="B87" i="22"/>
  <c r="B91" i="22"/>
  <c r="B88" i="22"/>
  <c r="B92" i="22"/>
  <c r="B89" i="22"/>
  <c r="B86" i="22"/>
  <c r="B93" i="20"/>
  <c r="B90" i="20"/>
  <c r="B87" i="20"/>
  <c r="B91" i="20"/>
  <c r="B88" i="20"/>
  <c r="B92" i="20"/>
  <c r="B89" i="20"/>
  <c r="B86" i="20"/>
  <c r="B93" i="18"/>
  <c r="B90" i="18"/>
  <c r="B87" i="18"/>
  <c r="B91" i="18"/>
  <c r="B88" i="18"/>
  <c r="B92" i="18"/>
  <c r="B89" i="18"/>
  <c r="B86" i="18"/>
  <c r="B93" i="16"/>
  <c r="B90" i="16"/>
  <c r="B87" i="16"/>
  <c r="B91" i="16"/>
  <c r="B88" i="16"/>
  <c r="B92" i="16"/>
  <c r="B89" i="16"/>
  <c r="B86" i="16"/>
  <c r="B93" i="14"/>
  <c r="B90" i="14"/>
  <c r="B87" i="14"/>
  <c r="B91" i="14"/>
  <c r="B88" i="14"/>
  <c r="B92" i="14"/>
  <c r="B89" i="14"/>
  <c r="B86" i="14"/>
  <c r="B93" i="12"/>
  <c r="B90" i="12"/>
  <c r="B87" i="12"/>
  <c r="B91" i="12"/>
  <c r="B88" i="12"/>
  <c r="B92" i="12"/>
  <c r="B89" i="12"/>
  <c r="B86" i="12"/>
  <c r="B93" i="10"/>
  <c r="B90" i="10"/>
  <c r="B87" i="10"/>
  <c r="B91" i="10"/>
  <c r="B88" i="10"/>
  <c r="B92" i="10"/>
  <c r="B89" i="10"/>
  <c r="D174" i="4"/>
  <c r="D88" i="30" l="1"/>
  <c r="C93" i="30"/>
  <c r="E93" i="30" s="1"/>
  <c r="F93" i="30" s="1"/>
  <c r="E88" i="30"/>
  <c r="F88" i="30" s="1"/>
  <c r="C90" i="30"/>
  <c r="E90" i="30" s="1"/>
  <c r="F90" i="30" s="1"/>
  <c r="I90" i="30" s="1"/>
  <c r="C90" i="8"/>
  <c r="E90" i="8" s="1"/>
  <c r="F90" i="8" s="1"/>
  <c r="D89" i="8"/>
  <c r="E89" i="8" s="1"/>
  <c r="F89" i="8" s="1"/>
  <c r="E86" i="8"/>
  <c r="F86" i="8" s="1"/>
  <c r="H86" i="8" s="1"/>
  <c r="I86" i="8" s="1"/>
  <c r="B91" i="5"/>
  <c r="B85" i="5"/>
  <c r="B86" i="5"/>
  <c r="B87" i="5"/>
  <c r="C87" i="5" s="1"/>
  <c r="B88" i="5"/>
  <c r="B92" i="5"/>
  <c r="D92" i="5" s="1"/>
  <c r="B89" i="5"/>
  <c r="D89" i="5" s="1"/>
  <c r="B90" i="5"/>
  <c r="C90" i="5" s="1"/>
  <c r="H88" i="30"/>
  <c r="I88" i="30" s="1"/>
  <c r="H92" i="30"/>
  <c r="I92" i="30" s="1"/>
  <c r="H93" i="30"/>
  <c r="I93" i="30" s="1"/>
  <c r="E89" i="30"/>
  <c r="F89" i="30" s="1"/>
  <c r="E87" i="30"/>
  <c r="F87" i="30" s="1"/>
  <c r="E91" i="30"/>
  <c r="F91" i="30" s="1"/>
  <c r="C88" i="8"/>
  <c r="E88" i="8" s="1"/>
  <c r="F88" i="8" s="1"/>
  <c r="H88" i="8" s="1"/>
  <c r="I88" i="8" s="1"/>
  <c r="D93" i="8"/>
  <c r="C93" i="8"/>
  <c r="C92" i="8"/>
  <c r="E92" i="8" s="1"/>
  <c r="F92" i="8" s="1"/>
  <c r="H92" i="8" s="1"/>
  <c r="I92" i="8" s="1"/>
  <c r="C91" i="8"/>
  <c r="D91" i="8"/>
  <c r="H90" i="8"/>
  <c r="I90" i="8" s="1"/>
  <c r="H87" i="8"/>
  <c r="I87" i="8" s="1"/>
  <c r="H89" i="8"/>
  <c r="I89" i="8" s="1"/>
  <c r="D88" i="34"/>
  <c r="C88" i="34"/>
  <c r="D92" i="34"/>
  <c r="C92" i="34"/>
  <c r="E92" i="34" s="1"/>
  <c r="F92" i="34" s="1"/>
  <c r="D91" i="34"/>
  <c r="C91" i="34"/>
  <c r="D89" i="34"/>
  <c r="C89" i="34"/>
  <c r="D87" i="34"/>
  <c r="C87" i="34"/>
  <c r="D90" i="34"/>
  <c r="C90" i="34"/>
  <c r="D86" i="34"/>
  <c r="C86" i="34"/>
  <c r="D93" i="34"/>
  <c r="C93" i="34"/>
  <c r="E93" i="34" s="1"/>
  <c r="F93" i="34" s="1"/>
  <c r="D91" i="32"/>
  <c r="C91" i="32"/>
  <c r="D89" i="32"/>
  <c r="C89" i="32"/>
  <c r="D88" i="32"/>
  <c r="C88" i="32"/>
  <c r="D87" i="32"/>
  <c r="C87" i="32"/>
  <c r="D92" i="32"/>
  <c r="C92" i="32"/>
  <c r="D90" i="32"/>
  <c r="C90" i="32"/>
  <c r="D86" i="32"/>
  <c r="C86" i="32"/>
  <c r="D93" i="32"/>
  <c r="C93" i="32"/>
  <c r="D87" i="28"/>
  <c r="C87" i="28"/>
  <c r="D90" i="28"/>
  <c r="C90" i="28"/>
  <c r="D88" i="28"/>
  <c r="C88" i="28"/>
  <c r="D93" i="28"/>
  <c r="C93" i="28"/>
  <c r="E93" i="28" s="1"/>
  <c r="F93" i="28" s="1"/>
  <c r="D91" i="28"/>
  <c r="C91" i="28"/>
  <c r="E91" i="28" s="1"/>
  <c r="F91" i="28" s="1"/>
  <c r="D86" i="28"/>
  <c r="C86" i="28"/>
  <c r="E86" i="28" s="1"/>
  <c r="F86" i="28" s="1"/>
  <c r="H86" i="28" s="1"/>
  <c r="I86" i="28" s="1"/>
  <c r="D92" i="28"/>
  <c r="C92" i="28"/>
  <c r="D89" i="28"/>
  <c r="C89" i="28"/>
  <c r="D88" i="26"/>
  <c r="C88" i="26"/>
  <c r="D87" i="26"/>
  <c r="C87" i="26"/>
  <c r="E87" i="26" s="1"/>
  <c r="F87" i="26" s="1"/>
  <c r="D90" i="26"/>
  <c r="C90" i="26"/>
  <c r="E90" i="26" s="1"/>
  <c r="F90" i="26" s="1"/>
  <c r="D89" i="26"/>
  <c r="C89" i="26"/>
  <c r="E89" i="26" s="1"/>
  <c r="F89" i="26" s="1"/>
  <c r="D91" i="26"/>
  <c r="C91" i="26"/>
  <c r="D93" i="26"/>
  <c r="C93" i="26"/>
  <c r="D86" i="26"/>
  <c r="C86" i="26"/>
  <c r="D92" i="26"/>
  <c r="C92" i="26"/>
  <c r="E92" i="26" s="1"/>
  <c r="F92" i="26" s="1"/>
  <c r="C89" i="24"/>
  <c r="D89" i="24"/>
  <c r="D91" i="24"/>
  <c r="C91" i="24"/>
  <c r="E91" i="24" s="1"/>
  <c r="F91" i="24" s="1"/>
  <c r="D87" i="24"/>
  <c r="C87" i="24"/>
  <c r="C86" i="24"/>
  <c r="D86" i="24"/>
  <c r="C92" i="24"/>
  <c r="D92" i="24"/>
  <c r="D90" i="24"/>
  <c r="C90" i="24"/>
  <c r="E90" i="24" s="1"/>
  <c r="F90" i="24" s="1"/>
  <c r="D88" i="24"/>
  <c r="C88" i="24"/>
  <c r="E88" i="24" s="1"/>
  <c r="F88" i="24" s="1"/>
  <c r="D93" i="24"/>
  <c r="C93" i="24"/>
  <c r="E93" i="24" s="1"/>
  <c r="F93" i="24" s="1"/>
  <c r="D91" i="22"/>
  <c r="C91" i="22"/>
  <c r="D89" i="22"/>
  <c r="C89" i="22"/>
  <c r="D87" i="22"/>
  <c r="C87" i="22"/>
  <c r="D86" i="22"/>
  <c r="C86" i="22"/>
  <c r="E86" i="22" s="1"/>
  <c r="F86" i="22" s="1"/>
  <c r="H86" i="22" s="1"/>
  <c r="I86" i="22" s="1"/>
  <c r="D88" i="22"/>
  <c r="C88" i="22"/>
  <c r="D90" i="22"/>
  <c r="C90" i="22"/>
  <c r="D92" i="22"/>
  <c r="C92" i="22"/>
  <c r="D93" i="22"/>
  <c r="C93" i="22"/>
  <c r="E93" i="22" s="1"/>
  <c r="F93" i="22" s="1"/>
  <c r="D91" i="20"/>
  <c r="C91" i="20"/>
  <c r="D87" i="20"/>
  <c r="C87" i="20"/>
  <c r="E87" i="20" s="1"/>
  <c r="F87" i="20" s="1"/>
  <c r="D86" i="20"/>
  <c r="C86" i="20"/>
  <c r="E86" i="20" s="1"/>
  <c r="F86" i="20" s="1"/>
  <c r="H86" i="20" s="1"/>
  <c r="I86" i="20" s="1"/>
  <c r="D92" i="20"/>
  <c r="C92" i="20"/>
  <c r="E92" i="20" s="1"/>
  <c r="F92" i="20" s="1"/>
  <c r="D90" i="20"/>
  <c r="C90" i="20"/>
  <c r="E90" i="20" s="1"/>
  <c r="F90" i="20" s="1"/>
  <c r="D89" i="20"/>
  <c r="C89" i="20"/>
  <c r="E89" i="20" s="1"/>
  <c r="F89" i="20" s="1"/>
  <c r="D88" i="20"/>
  <c r="C88" i="20"/>
  <c r="D93" i="20"/>
  <c r="C93" i="20"/>
  <c r="E93" i="20" s="1"/>
  <c r="F93" i="20" s="1"/>
  <c r="D86" i="18"/>
  <c r="C86" i="18"/>
  <c r="E86" i="18" s="1"/>
  <c r="F86" i="18" s="1"/>
  <c r="H86" i="18" s="1"/>
  <c r="I86" i="18" s="1"/>
  <c r="D88" i="18"/>
  <c r="C88" i="18"/>
  <c r="D89" i="18"/>
  <c r="C89" i="18"/>
  <c r="C90" i="18"/>
  <c r="D90" i="18"/>
  <c r="D92" i="18"/>
  <c r="C92" i="18"/>
  <c r="D91" i="18"/>
  <c r="C91" i="18"/>
  <c r="D87" i="18"/>
  <c r="C87" i="18"/>
  <c r="E87" i="18" s="1"/>
  <c r="F87" i="18" s="1"/>
  <c r="D93" i="18"/>
  <c r="C93" i="18"/>
  <c r="E93" i="18" s="1"/>
  <c r="F93" i="18" s="1"/>
  <c r="D91" i="16"/>
  <c r="C91" i="16"/>
  <c r="C86" i="16"/>
  <c r="D86" i="16"/>
  <c r="D87" i="16"/>
  <c r="C87" i="16"/>
  <c r="C89" i="16"/>
  <c r="D89" i="16"/>
  <c r="C92" i="16"/>
  <c r="D92" i="16"/>
  <c r="D88" i="16"/>
  <c r="C88" i="16"/>
  <c r="D90" i="16"/>
  <c r="C90" i="16"/>
  <c r="D93" i="16"/>
  <c r="C93" i="16"/>
  <c r="D89" i="14"/>
  <c r="C89" i="14"/>
  <c r="D92" i="14"/>
  <c r="C92" i="14"/>
  <c r="D90" i="14"/>
  <c r="C90" i="14"/>
  <c r="C86" i="14"/>
  <c r="D86" i="14"/>
  <c r="D88" i="14"/>
  <c r="C88" i="14"/>
  <c r="D91" i="14"/>
  <c r="C91" i="14"/>
  <c r="E91" i="14" s="1"/>
  <c r="F91" i="14" s="1"/>
  <c r="D87" i="14"/>
  <c r="C87" i="14"/>
  <c r="D93" i="14"/>
  <c r="C93" i="14"/>
  <c r="E93" i="14" s="1"/>
  <c r="F93" i="14" s="1"/>
  <c r="D92" i="12"/>
  <c r="C92" i="12"/>
  <c r="E92" i="12" s="1"/>
  <c r="F92" i="12" s="1"/>
  <c r="D89" i="12"/>
  <c r="C89" i="12"/>
  <c r="D90" i="12"/>
  <c r="C90" i="12"/>
  <c r="D86" i="12"/>
  <c r="C86" i="12"/>
  <c r="D88" i="12"/>
  <c r="C88" i="12"/>
  <c r="D91" i="12"/>
  <c r="C91" i="12"/>
  <c r="E91" i="12" s="1"/>
  <c r="F91" i="12" s="1"/>
  <c r="D87" i="12"/>
  <c r="C87" i="12"/>
  <c r="D93" i="12"/>
  <c r="C93" i="12"/>
  <c r="C87" i="10"/>
  <c r="D87" i="10"/>
  <c r="D86" i="10"/>
  <c r="C86" i="10"/>
  <c r="D89" i="10"/>
  <c r="C89" i="10"/>
  <c r="D92" i="10"/>
  <c r="C92" i="10"/>
  <c r="D88" i="10"/>
  <c r="C88" i="10"/>
  <c r="D91" i="10"/>
  <c r="C91" i="10"/>
  <c r="E91" i="10" s="1"/>
  <c r="F91" i="10" s="1"/>
  <c r="C90" i="10"/>
  <c r="D90" i="10"/>
  <c r="C93" i="10"/>
  <c r="D93" i="10"/>
  <c r="D91" i="5"/>
  <c r="C91" i="5"/>
  <c r="D88" i="5"/>
  <c r="C88" i="5"/>
  <c r="D86" i="5"/>
  <c r="C86" i="5"/>
  <c r="D85" i="5"/>
  <c r="C85" i="5"/>
  <c r="B181" i="4"/>
  <c r="B182" i="4"/>
  <c r="B183" i="4"/>
  <c r="B184" i="4"/>
  <c r="B177" i="4"/>
  <c r="B178" i="4"/>
  <c r="B179" i="4"/>
  <c r="B180" i="4"/>
  <c r="E86" i="32" l="1"/>
  <c r="F86" i="32" s="1"/>
  <c r="I86" i="32" s="1"/>
  <c r="E90" i="32"/>
  <c r="F90" i="32" s="1"/>
  <c r="H90" i="32" s="1"/>
  <c r="I90" i="32" s="1"/>
  <c r="E91" i="32"/>
  <c r="F91" i="32" s="1"/>
  <c r="H91" i="32" s="1"/>
  <c r="I91" i="32" s="1"/>
  <c r="E88" i="32"/>
  <c r="F88" i="32" s="1"/>
  <c r="I88" i="32" s="1"/>
  <c r="E92" i="28"/>
  <c r="F92" i="28" s="1"/>
  <c r="E87" i="28"/>
  <c r="F87" i="28" s="1"/>
  <c r="E90" i="22"/>
  <c r="F90" i="22" s="1"/>
  <c r="E92" i="22"/>
  <c r="F92" i="22" s="1"/>
  <c r="E91" i="22"/>
  <c r="F91" i="22" s="1"/>
  <c r="E92" i="16"/>
  <c r="F92" i="16" s="1"/>
  <c r="E91" i="16"/>
  <c r="F91" i="16" s="1"/>
  <c r="H91" i="16" s="1"/>
  <c r="I91" i="16" s="1"/>
  <c r="H91" i="12"/>
  <c r="I91" i="12" s="1"/>
  <c r="H92" i="12"/>
  <c r="I92" i="12" s="1"/>
  <c r="C92" i="5"/>
  <c r="E92" i="5" s="1"/>
  <c r="F92" i="5" s="1"/>
  <c r="H92" i="5" s="1"/>
  <c r="D90" i="5"/>
  <c r="C89" i="5"/>
  <c r="D87" i="5"/>
  <c r="E88" i="5"/>
  <c r="F88" i="5" s="1"/>
  <c r="H88" i="5" s="1"/>
  <c r="I88" i="5" s="1"/>
  <c r="E85" i="5"/>
  <c r="F85" i="5" s="1"/>
  <c r="H92" i="34"/>
  <c r="I92" i="34" s="1"/>
  <c r="H93" i="34"/>
  <c r="I93" i="34" s="1"/>
  <c r="E93" i="32"/>
  <c r="F93" i="32" s="1"/>
  <c r="E89" i="32"/>
  <c r="F89" i="32" s="1"/>
  <c r="J92" i="30"/>
  <c r="H91" i="30"/>
  <c r="I91" i="30" s="1"/>
  <c r="H89" i="30"/>
  <c r="I89" i="30" s="1"/>
  <c r="H87" i="30"/>
  <c r="I87" i="30" s="1"/>
  <c r="H92" i="28"/>
  <c r="I92" i="28" s="1"/>
  <c r="J92" i="28" s="1"/>
  <c r="H93" i="28"/>
  <c r="I93" i="28" s="1"/>
  <c r="H91" i="28"/>
  <c r="I91" i="28" s="1"/>
  <c r="H87" i="28"/>
  <c r="I87" i="28" s="1"/>
  <c r="H89" i="26"/>
  <c r="I89" i="26" s="1"/>
  <c r="H92" i="26"/>
  <c r="I92" i="26" s="1"/>
  <c r="H90" i="26"/>
  <c r="I90" i="26" s="1"/>
  <c r="H87" i="26"/>
  <c r="I87" i="26" s="1"/>
  <c r="H91" i="24"/>
  <c r="I91" i="24" s="1"/>
  <c r="H93" i="24"/>
  <c r="I93" i="24" s="1"/>
  <c r="H90" i="24"/>
  <c r="I90" i="24" s="1"/>
  <c r="E92" i="24"/>
  <c r="F92" i="24" s="1"/>
  <c r="H88" i="24"/>
  <c r="I88" i="24" s="1"/>
  <c r="H90" i="22"/>
  <c r="I90" i="22" s="1"/>
  <c r="H92" i="22"/>
  <c r="I92" i="22" s="1"/>
  <c r="H93" i="22"/>
  <c r="I93" i="22" s="1"/>
  <c r="H91" i="22"/>
  <c r="I91" i="22" s="1"/>
  <c r="H92" i="20"/>
  <c r="I92" i="20" s="1"/>
  <c r="H90" i="20"/>
  <c r="I90" i="20" s="1"/>
  <c r="H93" i="20"/>
  <c r="I93" i="20" s="1"/>
  <c r="H89" i="20"/>
  <c r="I89" i="20" s="1"/>
  <c r="H87" i="20"/>
  <c r="I87" i="20" s="1"/>
  <c r="H93" i="18"/>
  <c r="I93" i="18" s="1"/>
  <c r="H87" i="18"/>
  <c r="I87" i="18" s="1"/>
  <c r="H92" i="16"/>
  <c r="I92" i="16" s="1"/>
  <c r="E90" i="16"/>
  <c r="F90" i="16" s="1"/>
  <c r="H93" i="14"/>
  <c r="I93" i="14" s="1"/>
  <c r="H91" i="14"/>
  <c r="I91" i="14" s="1"/>
  <c r="E87" i="34"/>
  <c r="F87" i="34" s="1"/>
  <c r="E89" i="34"/>
  <c r="F89" i="34" s="1"/>
  <c r="E91" i="34"/>
  <c r="F91" i="34" s="1"/>
  <c r="E86" i="34"/>
  <c r="F86" i="34" s="1"/>
  <c r="H86" i="34" s="1"/>
  <c r="I86" i="34" s="1"/>
  <c r="E88" i="34"/>
  <c r="F88" i="34" s="1"/>
  <c r="E90" i="34"/>
  <c r="F90" i="34" s="1"/>
  <c r="E92" i="32"/>
  <c r="F92" i="32" s="1"/>
  <c r="E87" i="32"/>
  <c r="F87" i="32" s="1"/>
  <c r="E89" i="28"/>
  <c r="F89" i="28" s="1"/>
  <c r="E90" i="28"/>
  <c r="F90" i="28" s="1"/>
  <c r="E88" i="28"/>
  <c r="F88" i="28" s="1"/>
  <c r="E93" i="26"/>
  <c r="F93" i="26" s="1"/>
  <c r="E91" i="26"/>
  <c r="F91" i="26" s="1"/>
  <c r="E86" i="26"/>
  <c r="F86" i="26" s="1"/>
  <c r="H86" i="26" s="1"/>
  <c r="I86" i="26" s="1"/>
  <c r="E88" i="26"/>
  <c r="F88" i="26" s="1"/>
  <c r="E88" i="22"/>
  <c r="F88" i="22" s="1"/>
  <c r="E89" i="22"/>
  <c r="F89" i="22" s="1"/>
  <c r="E87" i="22"/>
  <c r="F87" i="22" s="1"/>
  <c r="E88" i="18"/>
  <c r="F88" i="18" s="1"/>
  <c r="E92" i="18"/>
  <c r="F92" i="18" s="1"/>
  <c r="E89" i="16"/>
  <c r="F89" i="16" s="1"/>
  <c r="E87" i="16"/>
  <c r="F87" i="16" s="1"/>
  <c r="E92" i="14"/>
  <c r="F92" i="14" s="1"/>
  <c r="E88" i="14"/>
  <c r="F88" i="14" s="1"/>
  <c r="E87" i="14"/>
  <c r="F87" i="14" s="1"/>
  <c r="E89" i="14"/>
  <c r="F89" i="14" s="1"/>
  <c r="E86" i="12"/>
  <c r="F86" i="12" s="1"/>
  <c r="H86" i="12" s="1"/>
  <c r="I86" i="12" s="1"/>
  <c r="H91" i="10"/>
  <c r="I91" i="10" s="1"/>
  <c r="E91" i="8"/>
  <c r="F91" i="8" s="1"/>
  <c r="H91" i="8" s="1"/>
  <c r="I91" i="8" s="1"/>
  <c r="E93" i="8"/>
  <c r="F93" i="8" s="1"/>
  <c r="H93" i="8" s="1"/>
  <c r="I93" i="8" s="1"/>
  <c r="J92" i="8" s="1"/>
  <c r="E93" i="12"/>
  <c r="F93" i="12" s="1"/>
  <c r="E87" i="12"/>
  <c r="F87" i="12" s="1"/>
  <c r="E89" i="12"/>
  <c r="F89" i="12" s="1"/>
  <c r="E86" i="5"/>
  <c r="F86" i="5" s="1"/>
  <c r="E87" i="5"/>
  <c r="F87" i="5" s="1"/>
  <c r="H87" i="5" s="1"/>
  <c r="I87" i="5" s="1"/>
  <c r="E91" i="5"/>
  <c r="F91" i="5" s="1"/>
  <c r="H91" i="5" s="1"/>
  <c r="I91" i="5" s="1"/>
  <c r="E90" i="5"/>
  <c r="F90" i="5" s="1"/>
  <c r="E86" i="24"/>
  <c r="F86" i="24" s="1"/>
  <c r="H86" i="24" s="1"/>
  <c r="I86" i="24" s="1"/>
  <c r="E87" i="24"/>
  <c r="F87" i="24" s="1"/>
  <c r="E89" i="24"/>
  <c r="F89" i="24" s="1"/>
  <c r="E88" i="20"/>
  <c r="F88" i="20" s="1"/>
  <c r="E91" i="20"/>
  <c r="F91" i="20" s="1"/>
  <c r="E91" i="18"/>
  <c r="F91" i="18" s="1"/>
  <c r="E89" i="18"/>
  <c r="F89" i="18" s="1"/>
  <c r="E90" i="18"/>
  <c r="F90" i="18" s="1"/>
  <c r="E88" i="16"/>
  <c r="F88" i="16" s="1"/>
  <c r="E86" i="16"/>
  <c r="F86" i="16" s="1"/>
  <c r="H86" i="16" s="1"/>
  <c r="I86" i="16" s="1"/>
  <c r="E93" i="16"/>
  <c r="F93" i="16" s="1"/>
  <c r="E86" i="14"/>
  <c r="F86" i="14" s="1"/>
  <c r="H86" i="14" s="1"/>
  <c r="I86" i="14" s="1"/>
  <c r="E90" i="14"/>
  <c r="F90" i="14" s="1"/>
  <c r="E90" i="12"/>
  <c r="F90" i="12" s="1"/>
  <c r="E88" i="12"/>
  <c r="F88" i="12" s="1"/>
  <c r="E86" i="10"/>
  <c r="F86" i="10" s="1"/>
  <c r="E88" i="10"/>
  <c r="F88" i="10" s="1"/>
  <c r="E92" i="10"/>
  <c r="F92" i="10" s="1"/>
  <c r="E89" i="10"/>
  <c r="F89" i="10" s="1"/>
  <c r="E93" i="10"/>
  <c r="F93" i="10" s="1"/>
  <c r="E90" i="10"/>
  <c r="F90" i="10" s="1"/>
  <c r="E87" i="10"/>
  <c r="F87" i="10" s="1"/>
  <c r="E89" i="5"/>
  <c r="F89" i="5" s="1"/>
  <c r="H89" i="5" s="1"/>
  <c r="H85" i="5"/>
  <c r="I85" i="5" s="1"/>
  <c r="D178" i="4"/>
  <c r="C178" i="4"/>
  <c r="E178" i="4" s="1"/>
  <c r="C184" i="4"/>
  <c r="D184" i="4"/>
  <c r="C179" i="4"/>
  <c r="E179" i="4" s="1"/>
  <c r="F179" i="4" s="1"/>
  <c r="D179" i="4"/>
  <c r="D177" i="4"/>
  <c r="C177" i="4"/>
  <c r="E177" i="4" s="1"/>
  <c r="F177" i="4" s="1"/>
  <c r="C182" i="4"/>
  <c r="D182" i="4"/>
  <c r="C180" i="4"/>
  <c r="D180" i="4"/>
  <c r="C183" i="4"/>
  <c r="D183" i="4"/>
  <c r="C181" i="4"/>
  <c r="D181" i="4"/>
  <c r="J91" i="30" l="1"/>
  <c r="J90" i="30" s="1"/>
  <c r="J89" i="30" s="1"/>
  <c r="J88" i="30" s="1"/>
  <c r="J87" i="30" s="1"/>
  <c r="J86" i="30" s="1"/>
  <c r="C162" i="30" s="1"/>
  <c r="C174" i="30" s="1"/>
  <c r="J91" i="28"/>
  <c r="H87" i="12"/>
  <c r="I87" i="12" s="1"/>
  <c r="H93" i="12"/>
  <c r="I93" i="12" s="1"/>
  <c r="J92" i="12" s="1"/>
  <c r="J91" i="12" s="1"/>
  <c r="H90" i="12"/>
  <c r="I90" i="12" s="1"/>
  <c r="J90" i="12" s="1"/>
  <c r="J89" i="12" s="1"/>
  <c r="J88" i="12" s="1"/>
  <c r="J87" i="12" s="1"/>
  <c r="J86" i="12" s="1"/>
  <c r="C162" i="12" s="1"/>
  <c r="H89" i="12"/>
  <c r="I89" i="12" s="1"/>
  <c r="H88" i="12"/>
  <c r="I88" i="12" s="1"/>
  <c r="H86" i="5"/>
  <c r="I86" i="5" s="1"/>
  <c r="J92" i="34"/>
  <c r="H91" i="34"/>
  <c r="I91" i="34" s="1"/>
  <c r="J91" i="34" s="1"/>
  <c r="H89" i="34"/>
  <c r="I89" i="34" s="1"/>
  <c r="H88" i="34"/>
  <c r="I88" i="34" s="1"/>
  <c r="H90" i="34"/>
  <c r="I90" i="34" s="1"/>
  <c r="H87" i="34"/>
  <c r="I87" i="34" s="1"/>
  <c r="H92" i="32"/>
  <c r="I92" i="32" s="1"/>
  <c r="H89" i="32"/>
  <c r="I89" i="32" s="1"/>
  <c r="H93" i="32"/>
  <c r="I93" i="32" s="1"/>
  <c r="I87" i="32"/>
  <c r="H88" i="28"/>
  <c r="I88" i="28" s="1"/>
  <c r="H89" i="28"/>
  <c r="I89" i="28" s="1"/>
  <c r="H90" i="28"/>
  <c r="I90" i="28" s="1"/>
  <c r="J90" i="28" s="1"/>
  <c r="H88" i="26"/>
  <c r="I88" i="26" s="1"/>
  <c r="H93" i="26"/>
  <c r="I93" i="26" s="1"/>
  <c r="J92" i="26" s="1"/>
  <c r="H91" i="26"/>
  <c r="I91" i="26" s="1"/>
  <c r="H92" i="24"/>
  <c r="I92" i="24" s="1"/>
  <c r="J92" i="24" s="1"/>
  <c r="J91" i="24" s="1"/>
  <c r="J90" i="24" s="1"/>
  <c r="H89" i="24"/>
  <c r="I89" i="24" s="1"/>
  <c r="H87" i="24"/>
  <c r="I87" i="24" s="1"/>
  <c r="J92" i="22"/>
  <c r="J91" i="22" s="1"/>
  <c r="J90" i="22" s="1"/>
  <c r="H89" i="22"/>
  <c r="I89" i="22" s="1"/>
  <c r="H87" i="22"/>
  <c r="I87" i="22" s="1"/>
  <c r="H88" i="22"/>
  <c r="I88" i="22" s="1"/>
  <c r="J92" i="20"/>
  <c r="H91" i="20"/>
  <c r="I91" i="20" s="1"/>
  <c r="J91" i="20" s="1"/>
  <c r="J90" i="20" s="1"/>
  <c r="J89" i="20" s="1"/>
  <c r="H88" i="20"/>
  <c r="I88" i="20" s="1"/>
  <c r="H90" i="18"/>
  <c r="I90" i="18" s="1"/>
  <c r="H89" i="18"/>
  <c r="I89" i="18" s="1"/>
  <c r="H88" i="18"/>
  <c r="I88" i="18" s="1"/>
  <c r="H91" i="18"/>
  <c r="I91" i="18" s="1"/>
  <c r="H92" i="18"/>
  <c r="I92" i="18" s="1"/>
  <c r="J92" i="18" s="1"/>
  <c r="H87" i="16"/>
  <c r="I87" i="16" s="1"/>
  <c r="H89" i="16"/>
  <c r="I89" i="16" s="1"/>
  <c r="H88" i="16"/>
  <c r="I88" i="16" s="1"/>
  <c r="H93" i="16"/>
  <c r="I93" i="16" s="1"/>
  <c r="J92" i="16" s="1"/>
  <c r="J91" i="16" s="1"/>
  <c r="H90" i="16"/>
  <c r="I90" i="16" s="1"/>
  <c r="H90" i="14"/>
  <c r="I90" i="14" s="1"/>
  <c r="H92" i="14"/>
  <c r="I92" i="14" s="1"/>
  <c r="J92" i="14" s="1"/>
  <c r="J91" i="14" s="1"/>
  <c r="H89" i="14"/>
  <c r="I89" i="14" s="1"/>
  <c r="H88" i="14"/>
  <c r="I88" i="14" s="1"/>
  <c r="H87" i="14"/>
  <c r="I87" i="14" s="1"/>
  <c r="H89" i="10"/>
  <c r="I89" i="10" s="1"/>
  <c r="H86" i="10"/>
  <c r="I86" i="10" s="1"/>
  <c r="H88" i="10"/>
  <c r="I88" i="10" s="1"/>
  <c r="H93" i="10"/>
  <c r="I93" i="10" s="1"/>
  <c r="H92" i="10"/>
  <c r="I92" i="10" s="1"/>
  <c r="H87" i="10"/>
  <c r="I87" i="10" s="1"/>
  <c r="H90" i="10"/>
  <c r="I90" i="10" s="1"/>
  <c r="J91" i="8"/>
  <c r="J90" i="8" s="1"/>
  <c r="J89" i="8" s="1"/>
  <c r="J88" i="8" s="1"/>
  <c r="J87" i="8" s="1"/>
  <c r="J86" i="8" s="1"/>
  <c r="C162" i="8" s="1"/>
  <c r="C177" i="8" s="1"/>
  <c r="H177" i="4"/>
  <c r="I177" i="4" s="1"/>
  <c r="F178" i="4"/>
  <c r="H178" i="4" s="1"/>
  <c r="I178" i="4" s="1"/>
  <c r="H179" i="4"/>
  <c r="I179" i="4" s="1"/>
  <c r="H90" i="5"/>
  <c r="I90" i="5" s="1"/>
  <c r="I92" i="5"/>
  <c r="J91" i="5" s="1"/>
  <c r="I89" i="5"/>
  <c r="E182" i="4"/>
  <c r="F182" i="4" s="1"/>
  <c r="E180" i="4"/>
  <c r="F180" i="4" s="1"/>
  <c r="E181" i="4"/>
  <c r="F181" i="4" s="1"/>
  <c r="E184" i="4"/>
  <c r="F184" i="4" s="1"/>
  <c r="E183" i="4"/>
  <c r="F183" i="4" s="1"/>
  <c r="C187" i="30" l="1"/>
  <c r="C173" i="30"/>
  <c r="C190" i="30"/>
  <c r="C182" i="30"/>
  <c r="C184" i="30"/>
  <c r="C170" i="30"/>
  <c r="C193" i="30"/>
  <c r="C195" i="30"/>
  <c r="C194" i="30"/>
  <c r="C189" i="30"/>
  <c r="C165" i="30"/>
  <c r="C176" i="30"/>
  <c r="C181" i="30"/>
  <c r="C180" i="30"/>
  <c r="C196" i="30"/>
  <c r="C171" i="30"/>
  <c r="C188" i="30"/>
  <c r="C167" i="30"/>
  <c r="C178" i="30"/>
  <c r="C191" i="30"/>
  <c r="C185" i="30"/>
  <c r="C183" i="30"/>
  <c r="C186" i="30"/>
  <c r="C175" i="30"/>
  <c r="C179" i="30"/>
  <c r="C169" i="30"/>
  <c r="C177" i="30"/>
  <c r="C172" i="30"/>
  <c r="C166" i="30"/>
  <c r="C168" i="30"/>
  <c r="C192" i="30"/>
  <c r="J91" i="26"/>
  <c r="J90" i="26" s="1"/>
  <c r="J89" i="26" s="1"/>
  <c r="J88" i="26" s="1"/>
  <c r="J87" i="26" s="1"/>
  <c r="J86" i="26" s="1"/>
  <c r="C162" i="26" s="1"/>
  <c r="C179" i="26" s="1"/>
  <c r="J89" i="24"/>
  <c r="J88" i="24" s="1"/>
  <c r="J87" i="24" s="1"/>
  <c r="J86" i="24" s="1"/>
  <c r="C162" i="24" s="1"/>
  <c r="J89" i="22"/>
  <c r="J90" i="16"/>
  <c r="J90" i="34"/>
  <c r="J89" i="34" s="1"/>
  <c r="J88" i="34" s="1"/>
  <c r="J87" i="34" s="1"/>
  <c r="J86" i="34" s="1"/>
  <c r="C162" i="34" s="1"/>
  <c r="C179" i="34" s="1"/>
  <c r="J92" i="32"/>
  <c r="J91" i="32" s="1"/>
  <c r="J90" i="32" s="1"/>
  <c r="J89" i="32" s="1"/>
  <c r="J88" i="32" s="1"/>
  <c r="J87" i="32" s="1"/>
  <c r="J86" i="32" s="1"/>
  <c r="C162" i="32" s="1"/>
  <c r="J89" i="28"/>
  <c r="J88" i="28" s="1"/>
  <c r="J87" i="28" s="1"/>
  <c r="J86" i="28" s="1"/>
  <c r="C162" i="28" s="1"/>
  <c r="C180" i="28" s="1"/>
  <c r="C185" i="26"/>
  <c r="C182" i="26"/>
  <c r="J88" i="22"/>
  <c r="J87" i="22" s="1"/>
  <c r="J86" i="22" s="1"/>
  <c r="C162" i="22" s="1"/>
  <c r="C174" i="22" s="1"/>
  <c r="J88" i="20"/>
  <c r="J87" i="20" s="1"/>
  <c r="J86" i="20" s="1"/>
  <c r="C162" i="20" s="1"/>
  <c r="C174" i="20" s="1"/>
  <c r="J91" i="18"/>
  <c r="J90" i="18" s="1"/>
  <c r="J89" i="18" s="1"/>
  <c r="J88" i="18" s="1"/>
  <c r="J87" i="18" s="1"/>
  <c r="J86" i="18" s="1"/>
  <c r="C162" i="18" s="1"/>
  <c r="J89" i="16"/>
  <c r="J88" i="16" s="1"/>
  <c r="J87" i="16" s="1"/>
  <c r="J86" i="16" s="1"/>
  <c r="C162" i="16" s="1"/>
  <c r="C186" i="16" s="1"/>
  <c r="J90" i="14"/>
  <c r="J89" i="14" s="1"/>
  <c r="J88" i="14" s="1"/>
  <c r="J87" i="14" s="1"/>
  <c r="J86" i="14" s="1"/>
  <c r="C162" i="14" s="1"/>
  <c r="C186" i="14" s="1"/>
  <c r="C166" i="26"/>
  <c r="C194" i="26"/>
  <c r="C193" i="26"/>
  <c r="C181" i="26"/>
  <c r="C174" i="26"/>
  <c r="C169" i="26"/>
  <c r="C188" i="26"/>
  <c r="C180" i="26"/>
  <c r="C186" i="26"/>
  <c r="C177" i="26"/>
  <c r="C183" i="26"/>
  <c r="C167" i="26"/>
  <c r="C168" i="26"/>
  <c r="C187" i="26"/>
  <c r="C190" i="26"/>
  <c r="C171" i="26"/>
  <c r="C189" i="26"/>
  <c r="C173" i="26"/>
  <c r="C191" i="26"/>
  <c r="C172" i="26"/>
  <c r="C184" i="26"/>
  <c r="C192" i="26"/>
  <c r="C196" i="26"/>
  <c r="C170" i="26"/>
  <c r="C195" i="26"/>
  <c r="J92" i="10"/>
  <c r="J91" i="10" s="1"/>
  <c r="J90" i="10" s="1"/>
  <c r="J89" i="10" s="1"/>
  <c r="J88" i="10" s="1"/>
  <c r="J87" i="10" s="1"/>
  <c r="J86" i="10" s="1"/>
  <c r="C162" i="10" s="1"/>
  <c r="C186" i="10" s="1"/>
  <c r="C191" i="8"/>
  <c r="C175" i="8"/>
  <c r="C190" i="8"/>
  <c r="C171" i="8"/>
  <c r="C173" i="8"/>
  <c r="C189" i="8"/>
  <c r="C187" i="8"/>
  <c r="C166" i="8"/>
  <c r="C172" i="8"/>
  <c r="C181" i="8"/>
  <c r="C168" i="8"/>
  <c r="C174" i="8"/>
  <c r="C184" i="8"/>
  <c r="C192" i="8"/>
  <c r="C180" i="8"/>
  <c r="C185" i="8"/>
  <c r="C196" i="8"/>
  <c r="C182" i="8"/>
  <c r="C170" i="8"/>
  <c r="C194" i="8"/>
  <c r="C169" i="8"/>
  <c r="C183" i="8"/>
  <c r="C188" i="8"/>
  <c r="C178" i="8"/>
  <c r="C167" i="8"/>
  <c r="C176" i="8"/>
  <c r="C193" i="8"/>
  <c r="C195" i="8"/>
  <c r="C165" i="8"/>
  <c r="C186" i="8"/>
  <c r="C179" i="8"/>
  <c r="H183" i="4"/>
  <c r="I183" i="4" s="1"/>
  <c r="H184" i="4"/>
  <c r="I184" i="4" s="1"/>
  <c r="H180" i="4"/>
  <c r="I180" i="4" s="1"/>
  <c r="H182" i="4"/>
  <c r="I182" i="4" s="1"/>
  <c r="H181" i="4"/>
  <c r="I181" i="4" s="1"/>
  <c r="J90" i="5"/>
  <c r="J89" i="5" s="1"/>
  <c r="J88" i="5" s="1"/>
  <c r="J87" i="5" s="1"/>
  <c r="J86" i="5" s="1"/>
  <c r="J85" i="5" s="1"/>
  <c r="C161" i="5" s="1"/>
  <c r="D195" i="26"/>
  <c r="D194" i="26" s="1"/>
  <c r="D193" i="26" s="1"/>
  <c r="C192" i="24"/>
  <c r="C186" i="24"/>
  <c r="C180" i="24"/>
  <c r="C174" i="24"/>
  <c r="C168" i="24"/>
  <c r="C191" i="24"/>
  <c r="C185" i="24"/>
  <c r="C179" i="24"/>
  <c r="C173" i="24"/>
  <c r="C167" i="24"/>
  <c r="C196" i="24"/>
  <c r="C190" i="24"/>
  <c r="C184" i="24"/>
  <c r="C178" i="24"/>
  <c r="C172" i="24"/>
  <c r="C166" i="24"/>
  <c r="C195" i="24"/>
  <c r="C189" i="24"/>
  <c r="C183" i="24"/>
  <c r="C177" i="24"/>
  <c r="C171" i="24"/>
  <c r="C165" i="24"/>
  <c r="C194" i="24"/>
  <c r="C188" i="24"/>
  <c r="C182" i="24"/>
  <c r="C176" i="24"/>
  <c r="C170" i="24"/>
  <c r="C193" i="24"/>
  <c r="C187" i="24"/>
  <c r="C181" i="24"/>
  <c r="C175" i="24"/>
  <c r="C169" i="24"/>
  <c r="C180" i="20"/>
  <c r="C172" i="20"/>
  <c r="C170" i="20"/>
  <c r="C192" i="12"/>
  <c r="C186" i="12"/>
  <c r="C180" i="12"/>
  <c r="C174" i="12"/>
  <c r="C168" i="12"/>
  <c r="C191" i="12"/>
  <c r="C185" i="12"/>
  <c r="C179" i="12"/>
  <c r="C173" i="12"/>
  <c r="C167" i="12"/>
  <c r="C196" i="12"/>
  <c r="C190" i="12"/>
  <c r="C184" i="12"/>
  <c r="C178" i="12"/>
  <c r="C172" i="12"/>
  <c r="C166" i="12"/>
  <c r="C195" i="12"/>
  <c r="C189" i="12"/>
  <c r="C183" i="12"/>
  <c r="C177" i="12"/>
  <c r="C171" i="12"/>
  <c r="C165" i="12"/>
  <c r="C194" i="12"/>
  <c r="C188" i="12"/>
  <c r="C182" i="12"/>
  <c r="C176" i="12"/>
  <c r="C170" i="12"/>
  <c r="C193" i="12"/>
  <c r="C187" i="12"/>
  <c r="C181" i="12"/>
  <c r="C175" i="12"/>
  <c r="C169" i="12"/>
  <c r="D57" i="6"/>
  <c r="D56" i="6" s="1"/>
  <c r="D55" i="6" s="1"/>
  <c r="D54" i="6" s="1"/>
  <c r="D53" i="6" s="1"/>
  <c r="D52" i="6" s="1"/>
  <c r="D51" i="6" s="1"/>
  <c r="D50" i="6" s="1"/>
  <c r="D49" i="6" s="1"/>
  <c r="D48" i="6" s="1"/>
  <c r="D47" i="6" s="1"/>
  <c r="D46" i="6" s="1"/>
  <c r="D45" i="6" s="1"/>
  <c r="D44" i="6" s="1"/>
  <c r="D43" i="6" s="1"/>
  <c r="D42" i="6" s="1"/>
  <c r="D41" i="6" s="1"/>
  <c r="D40" i="6" s="1"/>
  <c r="D39" i="6" s="1"/>
  <c r="D38" i="6" s="1"/>
  <c r="D37" i="6" s="1"/>
  <c r="D36" i="6" s="1"/>
  <c r="D35" i="6" s="1"/>
  <c r="D34" i="6" s="1"/>
  <c r="D33" i="6" s="1"/>
  <c r="D32" i="6" s="1"/>
  <c r="D31" i="6" s="1"/>
  <c r="D30" i="6" s="1"/>
  <c r="D29" i="6" s="1"/>
  <c r="D28" i="6" s="1"/>
  <c r="D27" i="6" s="1"/>
  <c r="D26" i="6" s="1"/>
  <c r="D25" i="6" s="1"/>
  <c r="D24" i="6" s="1"/>
  <c r="D23" i="6" s="1"/>
  <c r="D22" i="6" s="1"/>
  <c r="D21" i="6" s="1"/>
  <c r="D20" i="6" s="1"/>
  <c r="D19" i="6" s="1"/>
  <c r="D18" i="6" s="1"/>
  <c r="D17" i="6" s="1"/>
  <c r="D16" i="6" s="1"/>
  <c r="D195" i="30" l="1"/>
  <c r="D194" i="30" s="1"/>
  <c r="D193" i="30" s="1"/>
  <c r="D192" i="30" s="1"/>
  <c r="D191" i="30" s="1"/>
  <c r="D190" i="30" s="1"/>
  <c r="D189" i="30" s="1"/>
  <c r="D188" i="30" s="1"/>
  <c r="D187" i="30" s="1"/>
  <c r="D186" i="30" s="1"/>
  <c r="D185" i="30" s="1"/>
  <c r="D184" i="30" s="1"/>
  <c r="D183" i="30" s="1"/>
  <c r="D182" i="30" s="1"/>
  <c r="D181" i="30" s="1"/>
  <c r="D180" i="30" s="1"/>
  <c r="D179" i="30" s="1"/>
  <c r="D178" i="30" s="1"/>
  <c r="D177" i="30" s="1"/>
  <c r="D176" i="30" s="1"/>
  <c r="D175" i="30" s="1"/>
  <c r="D174" i="30" s="1"/>
  <c r="D173" i="30" s="1"/>
  <c r="D172" i="30" s="1"/>
  <c r="D171" i="30" s="1"/>
  <c r="D170" i="30" s="1"/>
  <c r="D169" i="30" s="1"/>
  <c r="D168" i="30" s="1"/>
  <c r="D167" i="30" s="1"/>
  <c r="D166" i="30" s="1"/>
  <c r="D165" i="30" s="1"/>
  <c r="B198" i="30" s="1"/>
  <c r="I199" i="30" s="1"/>
  <c r="K199" i="30" s="1"/>
  <c r="C213" i="30" s="1"/>
  <c r="C174" i="32"/>
  <c r="C186" i="32"/>
  <c r="C175" i="32"/>
  <c r="C187" i="32"/>
  <c r="C176" i="32"/>
  <c r="C188" i="32"/>
  <c r="C177" i="32"/>
  <c r="C189" i="32"/>
  <c r="C170" i="32"/>
  <c r="C166" i="32"/>
  <c r="C178" i="32"/>
  <c r="C190" i="32"/>
  <c r="C167" i="32"/>
  <c r="C179" i="32"/>
  <c r="C191" i="32"/>
  <c r="C168" i="32"/>
  <c r="C180" i="32"/>
  <c r="C192" i="32"/>
  <c r="C194" i="32"/>
  <c r="C169" i="32"/>
  <c r="C181" i="32"/>
  <c r="C193" i="32"/>
  <c r="C182" i="32"/>
  <c r="C171" i="32"/>
  <c r="C183" i="32"/>
  <c r="C195" i="32"/>
  <c r="C172" i="32"/>
  <c r="C184" i="32"/>
  <c r="C196" i="32"/>
  <c r="C173" i="32"/>
  <c r="C185" i="32"/>
  <c r="C165" i="32"/>
  <c r="C189" i="34"/>
  <c r="C180" i="34"/>
  <c r="C192" i="34"/>
  <c r="C178" i="34"/>
  <c r="C168" i="34"/>
  <c r="C190" i="34"/>
  <c r="C185" i="34"/>
  <c r="C174" i="34"/>
  <c r="C176" i="34"/>
  <c r="C172" i="34"/>
  <c r="C186" i="34"/>
  <c r="C191" i="34"/>
  <c r="C194" i="34"/>
  <c r="C184" i="34"/>
  <c r="C169" i="34"/>
  <c r="C171" i="34"/>
  <c r="C170" i="34"/>
  <c r="C181" i="34"/>
  <c r="C166" i="34"/>
  <c r="C177" i="34"/>
  <c r="C183" i="34"/>
  <c r="C182" i="34"/>
  <c r="C196" i="34"/>
  <c r="C188" i="34"/>
  <c r="C195" i="34"/>
  <c r="C173" i="34"/>
  <c r="C187" i="34"/>
  <c r="C165" i="34"/>
  <c r="C171" i="28"/>
  <c r="C192" i="28"/>
  <c r="C165" i="28"/>
  <c r="C191" i="28"/>
  <c r="C187" i="28"/>
  <c r="C166" i="28"/>
  <c r="C181" i="28"/>
  <c r="C196" i="28"/>
  <c r="D195" i="28" s="1"/>
  <c r="C194" i="28"/>
  <c r="D194" i="28" s="1"/>
  <c r="D193" i="28" s="1"/>
  <c r="D192" i="28" s="1"/>
  <c r="D191" i="28" s="1"/>
  <c r="D190" i="28" s="1"/>
  <c r="D189" i="28" s="1"/>
  <c r="D188" i="28" s="1"/>
  <c r="D187" i="28" s="1"/>
  <c r="D186" i="28" s="1"/>
  <c r="D185" i="28" s="1"/>
  <c r="D184" i="28" s="1"/>
  <c r="D183" i="28" s="1"/>
  <c r="D182" i="28" s="1"/>
  <c r="D181" i="28" s="1"/>
  <c r="D180" i="28" s="1"/>
  <c r="D179" i="28" s="1"/>
  <c r="D178" i="28" s="1"/>
  <c r="D177" i="28" s="1"/>
  <c r="D176" i="28" s="1"/>
  <c r="D175" i="28" s="1"/>
  <c r="D174" i="28" s="1"/>
  <c r="D173" i="28" s="1"/>
  <c r="D172" i="28" s="1"/>
  <c r="D171" i="28" s="1"/>
  <c r="D170" i="28" s="1"/>
  <c r="D169" i="28" s="1"/>
  <c r="D168" i="28" s="1"/>
  <c r="D167" i="28" s="1"/>
  <c r="D166" i="28" s="1"/>
  <c r="D165" i="28" s="1"/>
  <c r="B198" i="28" s="1"/>
  <c r="I199" i="28" s="1"/>
  <c r="C190" i="28"/>
  <c r="C169" i="28"/>
  <c r="C178" i="28"/>
  <c r="C179" i="28"/>
  <c r="C168" i="28"/>
  <c r="C186" i="28"/>
  <c r="C167" i="28"/>
  <c r="C177" i="28"/>
  <c r="C175" i="28"/>
  <c r="C193" i="28"/>
  <c r="C195" i="28"/>
  <c r="C184" i="28"/>
  <c r="C172" i="28"/>
  <c r="C185" i="28"/>
  <c r="C189" i="28"/>
  <c r="C174" i="28"/>
  <c r="C170" i="28"/>
  <c r="C182" i="28"/>
  <c r="C183" i="28"/>
  <c r="C188" i="28"/>
  <c r="C176" i="28"/>
  <c r="C173" i="28"/>
  <c r="C175" i="26"/>
  <c r="C178" i="26"/>
  <c r="C165" i="26"/>
  <c r="C176" i="26"/>
  <c r="C169" i="22"/>
  <c r="C165" i="22"/>
  <c r="C173" i="22"/>
  <c r="C182" i="22"/>
  <c r="C190" i="22"/>
  <c r="C193" i="22"/>
  <c r="C184" i="22"/>
  <c r="C192" i="22"/>
  <c r="C196" i="22"/>
  <c r="C187" i="22"/>
  <c r="C176" i="22"/>
  <c r="C180" i="22"/>
  <c r="C175" i="22"/>
  <c r="C191" i="22"/>
  <c r="C188" i="22"/>
  <c r="C179" i="22"/>
  <c r="C189" i="22"/>
  <c r="C167" i="22"/>
  <c r="C194" i="22"/>
  <c r="C166" i="22"/>
  <c r="C186" i="22"/>
  <c r="C181" i="22"/>
  <c r="C178" i="22"/>
  <c r="C185" i="22"/>
  <c r="C183" i="22"/>
  <c r="C168" i="22"/>
  <c r="C177" i="22"/>
  <c r="C170" i="22"/>
  <c r="C195" i="22"/>
  <c r="C171" i="22"/>
  <c r="C176" i="20"/>
  <c r="C178" i="20"/>
  <c r="C186" i="20"/>
  <c r="C171" i="20"/>
  <c r="C182" i="20"/>
  <c r="C165" i="20"/>
  <c r="C173" i="20"/>
  <c r="C169" i="20"/>
  <c r="C177" i="20"/>
  <c r="C179" i="20"/>
  <c r="C175" i="20"/>
  <c r="C183" i="20"/>
  <c r="C185" i="20"/>
  <c r="C188" i="20"/>
  <c r="C194" i="20"/>
  <c r="C181" i="20"/>
  <c r="C189" i="20"/>
  <c r="C191" i="20"/>
  <c r="C192" i="20"/>
  <c r="C190" i="20"/>
  <c r="C196" i="20"/>
  <c r="C167" i="20"/>
  <c r="C187" i="20"/>
  <c r="C195" i="20"/>
  <c r="C168" i="20"/>
  <c r="C184" i="20"/>
  <c r="C193" i="20"/>
  <c r="C166" i="20"/>
  <c r="C167" i="16"/>
  <c r="C172" i="16"/>
  <c r="C190" i="16"/>
  <c r="C181" i="16"/>
  <c r="C176" i="16"/>
  <c r="C170" i="16"/>
  <c r="C174" i="16"/>
  <c r="C184" i="16"/>
  <c r="C193" i="16"/>
  <c r="C180" i="16"/>
  <c r="C182" i="16"/>
  <c r="C173" i="16"/>
  <c r="C168" i="16"/>
  <c r="C187" i="16"/>
  <c r="C188" i="16"/>
  <c r="C191" i="16"/>
  <c r="C183" i="16"/>
  <c r="C169" i="16"/>
  <c r="C171" i="16"/>
  <c r="C194" i="16"/>
  <c r="C166" i="16"/>
  <c r="C189" i="16"/>
  <c r="C185" i="16"/>
  <c r="C175" i="16"/>
  <c r="C178" i="16"/>
  <c r="C165" i="16"/>
  <c r="C196" i="16"/>
  <c r="C192" i="16"/>
  <c r="C195" i="16"/>
  <c r="D195" i="16" s="1"/>
  <c r="C179" i="16"/>
  <c r="C177" i="16"/>
  <c r="C182" i="14"/>
  <c r="C196" i="14"/>
  <c r="C177" i="14"/>
  <c r="C175" i="14"/>
  <c r="C183" i="14"/>
  <c r="C185" i="14"/>
  <c r="C194" i="14"/>
  <c r="C173" i="14"/>
  <c r="C181" i="14"/>
  <c r="C189" i="14"/>
  <c r="C191" i="14"/>
  <c r="C192" i="14"/>
  <c r="C190" i="14"/>
  <c r="C165" i="14"/>
  <c r="C171" i="14"/>
  <c r="C179" i="14"/>
  <c r="C187" i="14"/>
  <c r="C195" i="14"/>
  <c r="C168" i="14"/>
  <c r="C184" i="14"/>
  <c r="C188" i="14"/>
  <c r="C169" i="14"/>
  <c r="C193" i="14"/>
  <c r="C166" i="14"/>
  <c r="C174" i="14"/>
  <c r="C170" i="14"/>
  <c r="C172" i="14"/>
  <c r="C180" i="14"/>
  <c r="C167" i="14"/>
  <c r="C176" i="14"/>
  <c r="C178" i="14"/>
  <c r="C182" i="10"/>
  <c r="C190" i="10"/>
  <c r="C187" i="10"/>
  <c r="C192" i="10"/>
  <c r="C191" i="10"/>
  <c r="C175" i="10"/>
  <c r="C196" i="10"/>
  <c r="D195" i="10" s="1"/>
  <c r="D194" i="10" s="1"/>
  <c r="D193" i="10" s="1"/>
  <c r="D192" i="10" s="1"/>
  <c r="D191" i="10" s="1"/>
  <c r="D190" i="10" s="1"/>
  <c r="D189" i="10" s="1"/>
  <c r="D188" i="10" s="1"/>
  <c r="D187" i="10" s="1"/>
  <c r="D186" i="10" s="1"/>
  <c r="D185" i="10" s="1"/>
  <c r="D184" i="10" s="1"/>
  <c r="D183" i="10" s="1"/>
  <c r="D182" i="10" s="1"/>
  <c r="D181" i="10" s="1"/>
  <c r="D180" i="10" s="1"/>
  <c r="D179" i="10" s="1"/>
  <c r="D178" i="10" s="1"/>
  <c r="D177" i="10" s="1"/>
  <c r="D176" i="10" s="1"/>
  <c r="D175" i="10" s="1"/>
  <c r="D174" i="10" s="1"/>
  <c r="D173" i="10" s="1"/>
  <c r="D172" i="10" s="1"/>
  <c r="D171" i="10" s="1"/>
  <c r="D170" i="10" s="1"/>
  <c r="D169" i="10" s="1"/>
  <c r="D168" i="10" s="1"/>
  <c r="D167" i="10" s="1"/>
  <c r="D166" i="10" s="1"/>
  <c r="D165" i="10" s="1"/>
  <c r="B198" i="10" s="1"/>
  <c r="C180" i="10"/>
  <c r="C169" i="10"/>
  <c r="C167" i="10"/>
  <c r="C185" i="10"/>
  <c r="C168" i="10"/>
  <c r="C193" i="10"/>
  <c r="C166" i="10"/>
  <c r="C189" i="10"/>
  <c r="C173" i="10"/>
  <c r="C184" i="10"/>
  <c r="C171" i="10"/>
  <c r="C176" i="10"/>
  <c r="C194" i="10"/>
  <c r="C170" i="10"/>
  <c r="C188" i="10"/>
  <c r="C183" i="10"/>
  <c r="C172" i="10"/>
  <c r="C181" i="10"/>
  <c r="C195" i="10"/>
  <c r="C171" i="5"/>
  <c r="C183" i="5"/>
  <c r="C195" i="5"/>
  <c r="C172" i="5"/>
  <c r="C184" i="5"/>
  <c r="C164" i="5"/>
  <c r="C173" i="5"/>
  <c r="C185" i="5"/>
  <c r="C188" i="5"/>
  <c r="C165" i="5"/>
  <c r="C178" i="5"/>
  <c r="C167" i="5"/>
  <c r="C168" i="5"/>
  <c r="C181" i="5"/>
  <c r="C174" i="5"/>
  <c r="C186" i="5"/>
  <c r="C177" i="5"/>
  <c r="C166" i="5"/>
  <c r="C179" i="5"/>
  <c r="C180" i="5"/>
  <c r="C193" i="5"/>
  <c r="C175" i="5"/>
  <c r="C187" i="5"/>
  <c r="C176" i="5"/>
  <c r="C189" i="5"/>
  <c r="C190" i="5"/>
  <c r="C191" i="5"/>
  <c r="C192" i="5"/>
  <c r="C169" i="5"/>
  <c r="C170" i="5"/>
  <c r="C182" i="5"/>
  <c r="C194" i="5"/>
  <c r="D194" i="5" s="1"/>
  <c r="C193" i="34"/>
  <c r="C175" i="34"/>
  <c r="C167" i="34"/>
  <c r="C172" i="22"/>
  <c r="C191" i="18"/>
  <c r="C170" i="18"/>
  <c r="C183" i="18"/>
  <c r="C189" i="18"/>
  <c r="C194" i="18"/>
  <c r="C176" i="18"/>
  <c r="C166" i="18"/>
  <c r="C173" i="18"/>
  <c r="C192" i="18"/>
  <c r="C182" i="18"/>
  <c r="C178" i="18"/>
  <c r="C167" i="18"/>
  <c r="C195" i="18"/>
  <c r="C174" i="18"/>
  <c r="C184" i="18"/>
  <c r="C175" i="18"/>
  <c r="C185" i="18"/>
  <c r="C177" i="18"/>
  <c r="C188" i="18"/>
  <c r="C186" i="18"/>
  <c r="C187" i="18"/>
  <c r="C190" i="18"/>
  <c r="C169" i="18"/>
  <c r="C196" i="18"/>
  <c r="C165" i="18"/>
  <c r="C171" i="18"/>
  <c r="C193" i="18"/>
  <c r="C179" i="18"/>
  <c r="C181" i="18"/>
  <c r="C180" i="18"/>
  <c r="C172" i="18"/>
  <c r="C168" i="18"/>
  <c r="D192" i="26"/>
  <c r="D191" i="26" s="1"/>
  <c r="D190" i="26" s="1"/>
  <c r="D189" i="26" s="1"/>
  <c r="D188" i="26" s="1"/>
  <c r="D187" i="26" s="1"/>
  <c r="D186" i="26" s="1"/>
  <c r="D185" i="26" s="1"/>
  <c r="D184" i="26" s="1"/>
  <c r="D183" i="26" s="1"/>
  <c r="D182" i="26" s="1"/>
  <c r="D181" i="26" s="1"/>
  <c r="D180" i="26" s="1"/>
  <c r="D179" i="26" s="1"/>
  <c r="D178" i="26" s="1"/>
  <c r="D177" i="26" s="1"/>
  <c r="D176" i="26" s="1"/>
  <c r="D175" i="26" s="1"/>
  <c r="D174" i="26" s="1"/>
  <c r="D173" i="26" s="1"/>
  <c r="D172" i="26" s="1"/>
  <c r="D171" i="26" s="1"/>
  <c r="D170" i="26" s="1"/>
  <c r="D169" i="26" s="1"/>
  <c r="D168" i="26" s="1"/>
  <c r="D167" i="26" s="1"/>
  <c r="D166" i="26" s="1"/>
  <c r="D165" i="26" s="1"/>
  <c r="B198" i="26" s="1"/>
  <c r="I199" i="26" s="1"/>
  <c r="C179" i="10"/>
  <c r="C178" i="10"/>
  <c r="C165" i="10"/>
  <c r="C174" i="10"/>
  <c r="C177" i="10"/>
  <c r="D195" i="8"/>
  <c r="D194" i="8" s="1"/>
  <c r="D193" i="8" s="1"/>
  <c r="D192" i="8" s="1"/>
  <c r="D191" i="8" s="1"/>
  <c r="D190" i="8" s="1"/>
  <c r="D189" i="8" s="1"/>
  <c r="D188" i="8" s="1"/>
  <c r="D187" i="8" s="1"/>
  <c r="D186" i="8" s="1"/>
  <c r="D185" i="8" s="1"/>
  <c r="D184" i="8" s="1"/>
  <c r="D183" i="8" s="1"/>
  <c r="D182" i="8" s="1"/>
  <c r="D181" i="8" s="1"/>
  <c r="D180" i="8" s="1"/>
  <c r="D179" i="8" s="1"/>
  <c r="D178" i="8" s="1"/>
  <c r="D177" i="8" s="1"/>
  <c r="D176" i="8" s="1"/>
  <c r="D175" i="8" s="1"/>
  <c r="D174" i="8" s="1"/>
  <c r="D173" i="8" s="1"/>
  <c r="D172" i="8" s="1"/>
  <c r="D171" i="8" s="1"/>
  <c r="D170" i="8" s="1"/>
  <c r="D169" i="8" s="1"/>
  <c r="D168" i="8" s="1"/>
  <c r="D167" i="8" s="1"/>
  <c r="D166" i="8" s="1"/>
  <c r="D165" i="8" s="1"/>
  <c r="B198" i="8" s="1"/>
  <c r="I201" i="8" s="1"/>
  <c r="J183" i="4"/>
  <c r="J182" i="4" s="1"/>
  <c r="J181" i="4" s="1"/>
  <c r="J180" i="4" s="1"/>
  <c r="J179" i="4" s="1"/>
  <c r="J178" i="4" s="1"/>
  <c r="J177" i="4" s="1"/>
  <c r="C253" i="4" s="1"/>
  <c r="C286" i="4" s="1"/>
  <c r="D286" i="4" s="1"/>
  <c r="C263" i="4"/>
  <c r="C275" i="4"/>
  <c r="C287" i="4"/>
  <c r="C269" i="4"/>
  <c r="C276" i="4"/>
  <c r="C281" i="4"/>
  <c r="C262" i="4"/>
  <c r="C265" i="4"/>
  <c r="C277" i="4"/>
  <c r="C278" i="4"/>
  <c r="C266" i="4"/>
  <c r="C267" i="4"/>
  <c r="C279" i="4"/>
  <c r="C258" i="4"/>
  <c r="C270" i="4"/>
  <c r="C282" i="4"/>
  <c r="C259" i="4"/>
  <c r="C271" i="4"/>
  <c r="C283" i="4"/>
  <c r="C260" i="4"/>
  <c r="C272" i="4"/>
  <c r="C284" i="4"/>
  <c r="C274" i="4"/>
  <c r="J199" i="30"/>
  <c r="D195" i="24"/>
  <c r="D194" i="24" s="1"/>
  <c r="D193" i="24" s="1"/>
  <c r="D192" i="24" s="1"/>
  <c r="D191" i="24" s="1"/>
  <c r="D190" i="24" s="1"/>
  <c r="D189" i="24" s="1"/>
  <c r="D188" i="24" s="1"/>
  <c r="D187" i="24" s="1"/>
  <c r="D186" i="24" s="1"/>
  <c r="D185" i="24" s="1"/>
  <c r="D184" i="24" s="1"/>
  <c r="D183" i="24" s="1"/>
  <c r="D182" i="24" s="1"/>
  <c r="D181" i="24" s="1"/>
  <c r="D180" i="24" s="1"/>
  <c r="D179" i="24" s="1"/>
  <c r="D178" i="24" s="1"/>
  <c r="D177" i="24" s="1"/>
  <c r="D176" i="24" s="1"/>
  <c r="D175" i="24" s="1"/>
  <c r="D174" i="24" s="1"/>
  <c r="D173" i="24" s="1"/>
  <c r="D172" i="24" s="1"/>
  <c r="D171" i="24" s="1"/>
  <c r="D170" i="24" s="1"/>
  <c r="D169" i="24" s="1"/>
  <c r="D168" i="24" s="1"/>
  <c r="D167" i="24" s="1"/>
  <c r="D166" i="24" s="1"/>
  <c r="D165" i="24" s="1"/>
  <c r="B198" i="24" s="1"/>
  <c r="D195" i="20"/>
  <c r="D194" i="20" s="1"/>
  <c r="D193" i="20" s="1"/>
  <c r="D192" i="20" s="1"/>
  <c r="D191" i="20" s="1"/>
  <c r="D190" i="20" s="1"/>
  <c r="D189" i="20" s="1"/>
  <c r="D188" i="20" s="1"/>
  <c r="D187" i="20" s="1"/>
  <c r="D186" i="20" s="1"/>
  <c r="D185" i="20" s="1"/>
  <c r="D184" i="20" s="1"/>
  <c r="D183" i="20" s="1"/>
  <c r="D182" i="20" s="1"/>
  <c r="D181" i="20" s="1"/>
  <c r="D180" i="20" s="1"/>
  <c r="D179" i="20" s="1"/>
  <c r="D178" i="20" s="1"/>
  <c r="D177" i="20" s="1"/>
  <c r="D176" i="20" s="1"/>
  <c r="D175" i="20" s="1"/>
  <c r="D174" i="20" s="1"/>
  <c r="D173" i="20" s="1"/>
  <c r="D172" i="20" s="1"/>
  <c r="D171" i="20" s="1"/>
  <c r="D170" i="20" s="1"/>
  <c r="D169" i="20" s="1"/>
  <c r="D168" i="20" s="1"/>
  <c r="D167" i="20" s="1"/>
  <c r="D166" i="20" s="1"/>
  <c r="D165" i="20" s="1"/>
  <c r="B198" i="20" s="1"/>
  <c r="D195" i="14"/>
  <c r="D195" i="12"/>
  <c r="D194" i="12" s="1"/>
  <c r="D193" i="12" s="1"/>
  <c r="D192" i="12" s="1"/>
  <c r="D191" i="12" s="1"/>
  <c r="D190" i="12" s="1"/>
  <c r="D189" i="12" s="1"/>
  <c r="D188" i="12" s="1"/>
  <c r="D187" i="12" s="1"/>
  <c r="D186" i="12" s="1"/>
  <c r="D185" i="12" s="1"/>
  <c r="D184" i="12" s="1"/>
  <c r="D183" i="12" s="1"/>
  <c r="D182" i="12" s="1"/>
  <c r="D181" i="12" s="1"/>
  <c r="D180" i="12" s="1"/>
  <c r="D179" i="12" s="1"/>
  <c r="D178" i="12" s="1"/>
  <c r="D177" i="12" s="1"/>
  <c r="D176" i="12" s="1"/>
  <c r="D175" i="12" s="1"/>
  <c r="D174" i="12" s="1"/>
  <c r="D173" i="12" s="1"/>
  <c r="D172" i="12" s="1"/>
  <c r="D171" i="12" s="1"/>
  <c r="D170" i="12" s="1"/>
  <c r="D169" i="12" s="1"/>
  <c r="D168" i="12" s="1"/>
  <c r="D167" i="12" s="1"/>
  <c r="D166" i="12" s="1"/>
  <c r="D165" i="12" s="1"/>
  <c r="B198" i="12" s="1"/>
  <c r="L11" i="6"/>
  <c r="L14" i="6"/>
  <c r="D15" i="6"/>
  <c r="D14" i="6" s="1"/>
  <c r="D13" i="6" s="1"/>
  <c r="D12" i="6" s="1"/>
  <c r="D11" i="6" s="1"/>
  <c r="L12" i="6"/>
  <c r="L10" i="6"/>
  <c r="L13" i="6"/>
  <c r="L9" i="6"/>
  <c r="D52" i="7"/>
  <c r="D51" i="7" s="1"/>
  <c r="D50" i="7" s="1"/>
  <c r="D49" i="7" s="1"/>
  <c r="D48" i="7" s="1"/>
  <c r="D47" i="7" s="1"/>
  <c r="D46" i="7" s="1"/>
  <c r="D45" i="7" s="1"/>
  <c r="D44" i="7" s="1"/>
  <c r="D43" i="7" s="1"/>
  <c r="D42" i="7" s="1"/>
  <c r="D41" i="7" s="1"/>
  <c r="D40" i="7" s="1"/>
  <c r="D39" i="7" s="1"/>
  <c r="D38" i="7" s="1"/>
  <c r="D37" i="7" s="1"/>
  <c r="D36" i="7" s="1"/>
  <c r="D35" i="7" s="1"/>
  <c r="D34" i="7" s="1"/>
  <c r="D33" i="7" s="1"/>
  <c r="D32" i="7" s="1"/>
  <c r="D31" i="7" s="1"/>
  <c r="D30" i="7" s="1"/>
  <c r="D29" i="7" s="1"/>
  <c r="D28" i="7" s="1"/>
  <c r="D27" i="7" s="1"/>
  <c r="D26" i="7" s="1"/>
  <c r="D25" i="7" s="1"/>
  <c r="D24" i="7" s="1"/>
  <c r="D23" i="7" s="1"/>
  <c r="D22" i="7" s="1"/>
  <c r="D21" i="7" s="1"/>
  <c r="D20" i="7" s="1"/>
  <c r="D19" i="7" s="1"/>
  <c r="D18" i="7" s="1"/>
  <c r="D17" i="7" s="1"/>
  <c r="D16" i="7" s="1"/>
  <c r="D15" i="7" s="1"/>
  <c r="D14" i="7" s="1"/>
  <c r="D13" i="7" s="1"/>
  <c r="D12" i="7" s="1"/>
  <c r="D11" i="7" s="1"/>
  <c r="D10" i="7" s="1"/>
  <c r="D9" i="7" s="1"/>
  <c r="D8" i="7" s="1"/>
  <c r="D195" i="34" l="1"/>
  <c r="D194" i="34" s="1"/>
  <c r="D193" i="34" s="1"/>
  <c r="D192" i="34" s="1"/>
  <c r="D191" i="34" s="1"/>
  <c r="D190" i="34" s="1"/>
  <c r="D189" i="34" s="1"/>
  <c r="D188" i="34" s="1"/>
  <c r="D187" i="34" s="1"/>
  <c r="D186" i="34" s="1"/>
  <c r="D185" i="34" s="1"/>
  <c r="D184" i="34" s="1"/>
  <c r="D183" i="34" s="1"/>
  <c r="D182" i="34" s="1"/>
  <c r="D181" i="34" s="1"/>
  <c r="D180" i="34" s="1"/>
  <c r="D179" i="34" s="1"/>
  <c r="D178" i="34" s="1"/>
  <c r="D177" i="34" s="1"/>
  <c r="D176" i="34" s="1"/>
  <c r="D175" i="34" s="1"/>
  <c r="D174" i="34" s="1"/>
  <c r="D173" i="34" s="1"/>
  <c r="D172" i="34" s="1"/>
  <c r="D171" i="34" s="1"/>
  <c r="D170" i="34" s="1"/>
  <c r="D169" i="34" s="1"/>
  <c r="D168" i="34" s="1"/>
  <c r="D167" i="34" s="1"/>
  <c r="D166" i="34" s="1"/>
  <c r="D165" i="34" s="1"/>
  <c r="B198" i="34" s="1"/>
  <c r="I199" i="34" s="1"/>
  <c r="K199" i="34" s="1"/>
  <c r="C213" i="34" s="1"/>
  <c r="I201" i="30"/>
  <c r="K201" i="30" s="1"/>
  <c r="C215" i="30" s="1"/>
  <c r="D215" i="30" s="1"/>
  <c r="I202" i="30"/>
  <c r="J202" i="30" s="1"/>
  <c r="I200" i="30"/>
  <c r="K200" i="30" s="1"/>
  <c r="C214" i="30" s="1"/>
  <c r="D214" i="30" s="1"/>
  <c r="D195" i="32"/>
  <c r="D194" i="32" s="1"/>
  <c r="D193" i="32" s="1"/>
  <c r="D192" i="32" s="1"/>
  <c r="D191" i="32" s="1"/>
  <c r="D190" i="32" s="1"/>
  <c r="D189" i="32" s="1"/>
  <c r="D188" i="32" s="1"/>
  <c r="D187" i="32" s="1"/>
  <c r="D186" i="32" s="1"/>
  <c r="D185" i="32" s="1"/>
  <c r="D184" i="32" s="1"/>
  <c r="D183" i="32" s="1"/>
  <c r="D182" i="32" s="1"/>
  <c r="D181" i="32" s="1"/>
  <c r="D180" i="32" s="1"/>
  <c r="D179" i="32" s="1"/>
  <c r="D178" i="32" s="1"/>
  <c r="D177" i="32" s="1"/>
  <c r="D176" i="32" s="1"/>
  <c r="D175" i="32" s="1"/>
  <c r="D174" i="32" s="1"/>
  <c r="D173" i="32" s="1"/>
  <c r="D172" i="32" s="1"/>
  <c r="D171" i="32" s="1"/>
  <c r="D170" i="32" s="1"/>
  <c r="D169" i="32" s="1"/>
  <c r="D168" i="32" s="1"/>
  <c r="D167" i="32" s="1"/>
  <c r="D166" i="32" s="1"/>
  <c r="D165" i="32" s="1"/>
  <c r="B198" i="32" s="1"/>
  <c r="J201" i="30"/>
  <c r="J200" i="30"/>
  <c r="K202" i="30"/>
  <c r="C216" i="30" s="1"/>
  <c r="D216" i="30" s="1"/>
  <c r="D195" i="22"/>
  <c r="D194" i="22" s="1"/>
  <c r="D193" i="22" s="1"/>
  <c r="D192" i="22" s="1"/>
  <c r="D191" i="22" s="1"/>
  <c r="D190" i="22" s="1"/>
  <c r="D189" i="22" s="1"/>
  <c r="D188" i="22" s="1"/>
  <c r="D187" i="22" s="1"/>
  <c r="D186" i="22" s="1"/>
  <c r="D185" i="22" s="1"/>
  <c r="D184" i="22" s="1"/>
  <c r="D183" i="22" s="1"/>
  <c r="D182" i="22" s="1"/>
  <c r="D181" i="22" s="1"/>
  <c r="D180" i="22" s="1"/>
  <c r="D179" i="22" s="1"/>
  <c r="D178" i="22" s="1"/>
  <c r="D177" i="22" s="1"/>
  <c r="D176" i="22" s="1"/>
  <c r="D175" i="22" s="1"/>
  <c r="D174" i="22" s="1"/>
  <c r="D173" i="22" s="1"/>
  <c r="D172" i="22" s="1"/>
  <c r="D171" i="22" s="1"/>
  <c r="D170" i="22" s="1"/>
  <c r="D169" i="22" s="1"/>
  <c r="D168" i="22" s="1"/>
  <c r="D167" i="22" s="1"/>
  <c r="D166" i="22" s="1"/>
  <c r="D165" i="22" s="1"/>
  <c r="B198" i="22" s="1"/>
  <c r="D194" i="16"/>
  <c r="D193" i="16" s="1"/>
  <c r="D192" i="16" s="1"/>
  <c r="D191" i="16" s="1"/>
  <c r="D190" i="16" s="1"/>
  <c r="D189" i="16" s="1"/>
  <c r="D188" i="16" s="1"/>
  <c r="D187" i="16" s="1"/>
  <c r="D186" i="16" s="1"/>
  <c r="D185" i="16" s="1"/>
  <c r="D184" i="16" s="1"/>
  <c r="D183" i="16" s="1"/>
  <c r="D182" i="16" s="1"/>
  <c r="D181" i="16" s="1"/>
  <c r="D180" i="16" s="1"/>
  <c r="D179" i="16" s="1"/>
  <c r="D178" i="16" s="1"/>
  <c r="D177" i="16" s="1"/>
  <c r="D176" i="16" s="1"/>
  <c r="D175" i="16" s="1"/>
  <c r="D174" i="16" s="1"/>
  <c r="D173" i="16" s="1"/>
  <c r="D172" i="16" s="1"/>
  <c r="D171" i="16" s="1"/>
  <c r="D170" i="16" s="1"/>
  <c r="D169" i="16" s="1"/>
  <c r="D168" i="16" s="1"/>
  <c r="D167" i="16" s="1"/>
  <c r="D166" i="16" s="1"/>
  <c r="D165" i="16" s="1"/>
  <c r="B198" i="16" s="1"/>
  <c r="D194" i="14"/>
  <c r="D193" i="14" s="1"/>
  <c r="D192" i="14" s="1"/>
  <c r="D191" i="14" s="1"/>
  <c r="D190" i="14" s="1"/>
  <c r="D189" i="14" s="1"/>
  <c r="D188" i="14" s="1"/>
  <c r="D187" i="14" s="1"/>
  <c r="D186" i="14" s="1"/>
  <c r="D185" i="14" s="1"/>
  <c r="D184" i="14" s="1"/>
  <c r="D183" i="14" s="1"/>
  <c r="D182" i="14" s="1"/>
  <c r="D181" i="14" s="1"/>
  <c r="D180" i="14" s="1"/>
  <c r="D179" i="14" s="1"/>
  <c r="D178" i="14" s="1"/>
  <c r="D177" i="14" s="1"/>
  <c r="D176" i="14" s="1"/>
  <c r="D175" i="14" s="1"/>
  <c r="D174" i="14" s="1"/>
  <c r="D173" i="14" s="1"/>
  <c r="D172" i="14" s="1"/>
  <c r="D171" i="14" s="1"/>
  <c r="D170" i="14" s="1"/>
  <c r="D169" i="14" s="1"/>
  <c r="D168" i="14" s="1"/>
  <c r="D167" i="14" s="1"/>
  <c r="D166" i="14" s="1"/>
  <c r="D165" i="14" s="1"/>
  <c r="B198" i="14" s="1"/>
  <c r="I201" i="14" s="1"/>
  <c r="D193" i="5"/>
  <c r="D192" i="5" s="1"/>
  <c r="D191" i="5" s="1"/>
  <c r="D190" i="5" s="1"/>
  <c r="D189" i="5" s="1"/>
  <c r="D188" i="5" s="1"/>
  <c r="D187" i="5" s="1"/>
  <c r="D186" i="5" s="1"/>
  <c r="D185" i="5" s="1"/>
  <c r="D184" i="5" s="1"/>
  <c r="D183" i="5" s="1"/>
  <c r="D182" i="5" s="1"/>
  <c r="D181" i="5" s="1"/>
  <c r="D180" i="5" s="1"/>
  <c r="D179" i="5" s="1"/>
  <c r="D178" i="5" s="1"/>
  <c r="D177" i="5" s="1"/>
  <c r="D176" i="5" s="1"/>
  <c r="D175" i="5" s="1"/>
  <c r="D174" i="5" s="1"/>
  <c r="D173" i="5" s="1"/>
  <c r="D172" i="5" s="1"/>
  <c r="D171" i="5" s="1"/>
  <c r="D170" i="5" s="1"/>
  <c r="D169" i="5" s="1"/>
  <c r="D168" i="5" s="1"/>
  <c r="D167" i="5" s="1"/>
  <c r="D166" i="5" s="1"/>
  <c r="D165" i="5" s="1"/>
  <c r="D164" i="5" s="1"/>
  <c r="B197" i="5" s="1"/>
  <c r="I202" i="28"/>
  <c r="K202" i="28" s="1"/>
  <c r="C216" i="28" s="1"/>
  <c r="I201" i="28"/>
  <c r="K201" i="28" s="1"/>
  <c r="C215" i="28" s="1"/>
  <c r="I200" i="28"/>
  <c r="J200" i="28" s="1"/>
  <c r="D195" i="18"/>
  <c r="D194" i="18" s="1"/>
  <c r="D193" i="18" s="1"/>
  <c r="D192" i="18" s="1"/>
  <c r="D191" i="18" s="1"/>
  <c r="D190" i="18" s="1"/>
  <c r="D189" i="18" s="1"/>
  <c r="D188" i="18" s="1"/>
  <c r="D187" i="18" s="1"/>
  <c r="D186" i="18" s="1"/>
  <c r="D185" i="18" s="1"/>
  <c r="D184" i="18" s="1"/>
  <c r="D183" i="18" s="1"/>
  <c r="D182" i="18" s="1"/>
  <c r="D181" i="18" s="1"/>
  <c r="D180" i="18" s="1"/>
  <c r="D179" i="18" s="1"/>
  <c r="D178" i="18" s="1"/>
  <c r="D177" i="18" s="1"/>
  <c r="D176" i="18" s="1"/>
  <c r="D175" i="18" s="1"/>
  <c r="D174" i="18" s="1"/>
  <c r="D173" i="18" s="1"/>
  <c r="D172" i="18" s="1"/>
  <c r="D171" i="18" s="1"/>
  <c r="D170" i="18" s="1"/>
  <c r="D169" i="18" s="1"/>
  <c r="D168" i="18" s="1"/>
  <c r="D167" i="18" s="1"/>
  <c r="D166" i="18" s="1"/>
  <c r="D165" i="18" s="1"/>
  <c r="B198" i="18" s="1"/>
  <c r="I200" i="18" s="1"/>
  <c r="K200" i="18" s="1"/>
  <c r="C214" i="18" s="1"/>
  <c r="I202" i="26"/>
  <c r="K202" i="26" s="1"/>
  <c r="C216" i="26" s="1"/>
  <c r="I201" i="26"/>
  <c r="K201" i="26" s="1"/>
  <c r="C215" i="26" s="1"/>
  <c r="I200" i="26"/>
  <c r="K200" i="26" s="1"/>
  <c r="C214" i="26" s="1"/>
  <c r="I202" i="8"/>
  <c r="K202" i="8" s="1"/>
  <c r="C216" i="8" s="1"/>
  <c r="I200" i="8"/>
  <c r="J200" i="8" s="1"/>
  <c r="I199" i="8"/>
  <c r="J199" i="8" s="1"/>
  <c r="K199" i="8"/>
  <c r="C213" i="8" s="1"/>
  <c r="J201" i="8"/>
  <c r="K201" i="8"/>
  <c r="C215" i="8" s="1"/>
  <c r="C264" i="4"/>
  <c r="C256" i="4"/>
  <c r="C285" i="4"/>
  <c r="D285" i="4" s="1"/>
  <c r="D284" i="4" s="1"/>
  <c r="D283" i="4" s="1"/>
  <c r="D282" i="4" s="1"/>
  <c r="D281" i="4" s="1"/>
  <c r="D280" i="4" s="1"/>
  <c r="D279" i="4" s="1"/>
  <c r="D278" i="4" s="1"/>
  <c r="D277" i="4" s="1"/>
  <c r="D276" i="4" s="1"/>
  <c r="D275" i="4" s="1"/>
  <c r="D274" i="4" s="1"/>
  <c r="D273" i="4" s="1"/>
  <c r="D272" i="4" s="1"/>
  <c r="D271" i="4" s="1"/>
  <c r="D270" i="4" s="1"/>
  <c r="D269" i="4" s="1"/>
  <c r="D268" i="4" s="1"/>
  <c r="D267" i="4" s="1"/>
  <c r="D266" i="4" s="1"/>
  <c r="D265" i="4" s="1"/>
  <c r="D264" i="4" s="1"/>
  <c r="D263" i="4" s="1"/>
  <c r="D262" i="4" s="1"/>
  <c r="D261" i="4" s="1"/>
  <c r="D260" i="4" s="1"/>
  <c r="D259" i="4" s="1"/>
  <c r="D258" i="4" s="1"/>
  <c r="D257" i="4" s="1"/>
  <c r="D256" i="4" s="1"/>
  <c r="C257" i="4"/>
  <c r="C273" i="4"/>
  <c r="C280" i="4"/>
  <c r="C261" i="4"/>
  <c r="C268" i="4"/>
  <c r="I200" i="10"/>
  <c r="I201" i="10"/>
  <c r="I199" i="10"/>
  <c r="I202" i="10"/>
  <c r="D213" i="30"/>
  <c r="E213" i="30"/>
  <c r="E215" i="30"/>
  <c r="E214" i="30"/>
  <c r="K199" i="28"/>
  <c r="C213" i="28" s="1"/>
  <c r="J199" i="28"/>
  <c r="K199" i="26"/>
  <c r="C213" i="26" s="1"/>
  <c r="J199" i="26"/>
  <c r="I199" i="24"/>
  <c r="I202" i="24"/>
  <c r="I201" i="24"/>
  <c r="I200" i="24"/>
  <c r="I199" i="20"/>
  <c r="I202" i="20"/>
  <c r="I201" i="20"/>
  <c r="I200" i="20"/>
  <c r="I199" i="12"/>
  <c r="I202" i="12"/>
  <c r="I201" i="12"/>
  <c r="I200" i="12"/>
  <c r="L9" i="7"/>
  <c r="L6" i="7"/>
  <c r="L8" i="7"/>
  <c r="L7" i="7"/>
  <c r="D7" i="7"/>
  <c r="D6" i="7" s="1"/>
  <c r="L5" i="7"/>
  <c r="I200" i="34" l="1"/>
  <c r="K200" i="34" s="1"/>
  <c r="C214" i="34" s="1"/>
  <c r="J199" i="34"/>
  <c r="I201" i="34"/>
  <c r="K201" i="34" s="1"/>
  <c r="C215" i="34" s="1"/>
  <c r="I202" i="34"/>
  <c r="K202" i="34" s="1"/>
  <c r="C216" i="34" s="1"/>
  <c r="E216" i="34" s="1"/>
  <c r="E216" i="30"/>
  <c r="B219" i="30" s="1"/>
  <c r="J201" i="34"/>
  <c r="J200" i="34"/>
  <c r="J202" i="34"/>
  <c r="J202" i="28"/>
  <c r="K200" i="28"/>
  <c r="C214" i="28" s="1"/>
  <c r="J201" i="28"/>
  <c r="I200" i="22"/>
  <c r="I199" i="22"/>
  <c r="I202" i="22"/>
  <c r="I201" i="22"/>
  <c r="I200" i="16"/>
  <c r="I201" i="16"/>
  <c r="K201" i="16" s="1"/>
  <c r="C215" i="16" s="1"/>
  <c r="I199" i="16"/>
  <c r="K199" i="16" s="1"/>
  <c r="C213" i="16" s="1"/>
  <c r="D213" i="16" s="1"/>
  <c r="I202" i="16"/>
  <c r="I199" i="14"/>
  <c r="I202" i="14"/>
  <c r="I200" i="14"/>
  <c r="K200" i="14" s="1"/>
  <c r="C214" i="14" s="1"/>
  <c r="I199" i="32"/>
  <c r="I202" i="32"/>
  <c r="I201" i="32"/>
  <c r="I200" i="32"/>
  <c r="J202" i="26"/>
  <c r="J200" i="26"/>
  <c r="J201" i="26"/>
  <c r="I202" i="18"/>
  <c r="K202" i="18" s="1"/>
  <c r="C216" i="18" s="1"/>
  <c r="I201" i="18"/>
  <c r="J201" i="18" s="1"/>
  <c r="J200" i="18"/>
  <c r="I199" i="18"/>
  <c r="J199" i="18" s="1"/>
  <c r="J202" i="18"/>
  <c r="K201" i="18"/>
  <c r="C215" i="18" s="1"/>
  <c r="E215" i="18" s="1"/>
  <c r="J201" i="16"/>
  <c r="J199" i="16"/>
  <c r="K200" i="8"/>
  <c r="C214" i="8" s="1"/>
  <c r="E214" i="8" s="1"/>
  <c r="J202" i="8"/>
  <c r="D214" i="8"/>
  <c r="D215" i="8"/>
  <c r="E215" i="8"/>
  <c r="D213" i="8"/>
  <c r="E213" i="8"/>
  <c r="E216" i="8"/>
  <c r="D216" i="8"/>
  <c r="K199" i="10"/>
  <c r="C213" i="10" s="1"/>
  <c r="J199" i="10"/>
  <c r="K201" i="10"/>
  <c r="C215" i="10" s="1"/>
  <c r="J201" i="10"/>
  <c r="J202" i="10"/>
  <c r="K202" i="10"/>
  <c r="C216" i="10" s="1"/>
  <c r="K200" i="10"/>
  <c r="C214" i="10" s="1"/>
  <c r="J200" i="10"/>
  <c r="I291" i="4"/>
  <c r="I292" i="4"/>
  <c r="I293" i="4"/>
  <c r="E215" i="34"/>
  <c r="D215" i="34"/>
  <c r="E214" i="34"/>
  <c r="D214" i="34"/>
  <c r="D213" i="34"/>
  <c r="E213" i="34"/>
  <c r="D216" i="34"/>
  <c r="E214" i="28"/>
  <c r="D214" i="28"/>
  <c r="E215" i="28"/>
  <c r="D215" i="28"/>
  <c r="D213" i="28"/>
  <c r="E213" i="28"/>
  <c r="E216" i="28"/>
  <c r="D216" i="28"/>
  <c r="E214" i="26"/>
  <c r="D214" i="26"/>
  <c r="E216" i="26"/>
  <c r="D216" i="26"/>
  <c r="D213" i="26"/>
  <c r="E213" i="26"/>
  <c r="E215" i="26"/>
  <c r="D215" i="26"/>
  <c r="K202" i="24"/>
  <c r="C216" i="24" s="1"/>
  <c r="J202" i="24"/>
  <c r="K200" i="24"/>
  <c r="C214" i="24" s="1"/>
  <c r="J200" i="24"/>
  <c r="K201" i="24"/>
  <c r="C215" i="24" s="1"/>
  <c r="J201" i="24"/>
  <c r="K199" i="24"/>
  <c r="C213" i="24" s="1"/>
  <c r="J199" i="24"/>
  <c r="K202" i="20"/>
  <c r="C216" i="20" s="1"/>
  <c r="J202" i="20"/>
  <c r="K200" i="20"/>
  <c r="C214" i="20" s="1"/>
  <c r="J200" i="20"/>
  <c r="J201" i="20"/>
  <c r="K201" i="20"/>
  <c r="C215" i="20" s="1"/>
  <c r="K199" i="20"/>
  <c r="C213" i="20" s="1"/>
  <c r="J199" i="20"/>
  <c r="E216" i="18"/>
  <c r="D216" i="18"/>
  <c r="E214" i="18"/>
  <c r="D214" i="18"/>
  <c r="E215" i="16"/>
  <c r="D215" i="16"/>
  <c r="J200" i="14"/>
  <c r="K202" i="14"/>
  <c r="C216" i="14" s="1"/>
  <c r="J202" i="14"/>
  <c r="K201" i="14"/>
  <c r="C215" i="14" s="1"/>
  <c r="J201" i="14"/>
  <c r="K199" i="14"/>
  <c r="C213" i="14" s="1"/>
  <c r="J199" i="14"/>
  <c r="J201" i="12"/>
  <c r="K201" i="12"/>
  <c r="C215" i="12" s="1"/>
  <c r="K200" i="12"/>
  <c r="C214" i="12" s="1"/>
  <c r="J200" i="12"/>
  <c r="K202" i="12"/>
  <c r="C216" i="12" s="1"/>
  <c r="J202" i="12"/>
  <c r="K199" i="12"/>
  <c r="C213" i="12" s="1"/>
  <c r="J199" i="12"/>
  <c r="J222" i="30" l="1"/>
  <c r="K222" i="30" s="1"/>
  <c r="J223" i="30"/>
  <c r="K223" i="30" s="1"/>
  <c r="J224" i="30"/>
  <c r="K224" i="30" s="1"/>
  <c r="J221" i="30"/>
  <c r="K221" i="30" s="1"/>
  <c r="J201" i="22"/>
  <c r="K201" i="22"/>
  <c r="C215" i="22" s="1"/>
  <c r="K202" i="22"/>
  <c r="C216" i="22" s="1"/>
  <c r="J202" i="22"/>
  <c r="K199" i="22"/>
  <c r="C213" i="22" s="1"/>
  <c r="J199" i="22"/>
  <c r="K200" i="22"/>
  <c r="C214" i="22" s="1"/>
  <c r="J200" i="22"/>
  <c r="J202" i="16"/>
  <c r="K202" i="16"/>
  <c r="C216" i="16" s="1"/>
  <c r="E213" i="16"/>
  <c r="K200" i="16"/>
  <c r="C214" i="16" s="1"/>
  <c r="J200" i="16"/>
  <c r="I201" i="5"/>
  <c r="I200" i="5"/>
  <c r="I199" i="5"/>
  <c r="I198" i="5"/>
  <c r="K201" i="32"/>
  <c r="C215" i="32" s="1"/>
  <c r="J201" i="32"/>
  <c r="K202" i="32"/>
  <c r="C216" i="32" s="1"/>
  <c r="J202" i="32"/>
  <c r="K200" i="32"/>
  <c r="C214" i="32" s="1"/>
  <c r="J200" i="32"/>
  <c r="K199" i="32"/>
  <c r="C213" i="32" s="1"/>
  <c r="J199" i="32"/>
  <c r="K199" i="18"/>
  <c r="C213" i="18" s="1"/>
  <c r="D215" i="18"/>
  <c r="B219" i="34"/>
  <c r="B219" i="8"/>
  <c r="K201" i="5"/>
  <c r="C215" i="5" s="1"/>
  <c r="J201" i="5"/>
  <c r="K198" i="5"/>
  <c r="C212" i="5" s="1"/>
  <c r="J198" i="5"/>
  <c r="K200" i="5"/>
  <c r="C214" i="5" s="1"/>
  <c r="J200" i="5"/>
  <c r="K199" i="5"/>
  <c r="C213" i="5" s="1"/>
  <c r="J199" i="5"/>
  <c r="D215" i="10"/>
  <c r="E215" i="10"/>
  <c r="E214" i="10"/>
  <c r="D214" i="10"/>
  <c r="E216" i="10"/>
  <c r="D216" i="10"/>
  <c r="E213" i="10"/>
  <c r="D213" i="10"/>
  <c r="J293" i="4"/>
  <c r="K293" i="4"/>
  <c r="C307" i="4" s="1"/>
  <c r="J292" i="4"/>
  <c r="K292" i="4"/>
  <c r="C306" i="4" s="1"/>
  <c r="J290" i="4"/>
  <c r="K290" i="4"/>
  <c r="K291" i="4"/>
  <c r="C305" i="4" s="1"/>
  <c r="J291" i="4"/>
  <c r="B219" i="28"/>
  <c r="B219" i="26"/>
  <c r="D213" i="24"/>
  <c r="E213" i="24"/>
  <c r="E215" i="24"/>
  <c r="D215" i="24"/>
  <c r="D214" i="24"/>
  <c r="E214" i="24"/>
  <c r="E216" i="24"/>
  <c r="D216" i="24"/>
  <c r="D213" i="20"/>
  <c r="E213" i="20"/>
  <c r="E214" i="20"/>
  <c r="D214" i="20"/>
  <c r="E215" i="20"/>
  <c r="D215" i="20"/>
  <c r="E216" i="20"/>
  <c r="D216" i="20"/>
  <c r="E215" i="14"/>
  <c r="D215" i="14"/>
  <c r="D213" i="14"/>
  <c r="E213" i="14"/>
  <c r="E216" i="14"/>
  <c r="D216" i="14"/>
  <c r="E214" i="14"/>
  <c r="D214" i="14"/>
  <c r="D213" i="12"/>
  <c r="E213" i="12"/>
  <c r="E216" i="12"/>
  <c r="D216" i="12"/>
  <c r="E215" i="12"/>
  <c r="D215" i="12"/>
  <c r="E214" i="12"/>
  <c r="D214" i="12"/>
  <c r="E213" i="22" l="1"/>
  <c r="D213" i="22"/>
  <c r="E216" i="22"/>
  <c r="D216" i="22"/>
  <c r="E214" i="22"/>
  <c r="D214" i="22"/>
  <c r="D215" i="22"/>
  <c r="E215" i="22"/>
  <c r="E214" i="16"/>
  <c r="D214" i="16"/>
  <c r="D216" i="16"/>
  <c r="E216" i="16"/>
  <c r="D213" i="32"/>
  <c r="E213" i="32"/>
  <c r="E214" i="32"/>
  <c r="D214" i="32"/>
  <c r="E216" i="32"/>
  <c r="D216" i="32"/>
  <c r="D215" i="32"/>
  <c r="E215" i="32"/>
  <c r="E213" i="18"/>
  <c r="B219" i="18" s="1"/>
  <c r="D213" i="18"/>
  <c r="B219" i="20"/>
  <c r="B219" i="14"/>
  <c r="E214" i="5"/>
  <c r="D214" i="5"/>
  <c r="D212" i="5"/>
  <c r="E212" i="5"/>
  <c r="E213" i="5"/>
  <c r="D213" i="5"/>
  <c r="E215" i="5"/>
  <c r="D215" i="5"/>
  <c r="B219" i="10"/>
  <c r="C304" i="4"/>
  <c r="D304" i="4" s="1"/>
  <c r="E307" i="4"/>
  <c r="D307" i="4"/>
  <c r="E305" i="4"/>
  <c r="D305" i="4"/>
  <c r="E306" i="4"/>
  <c r="D306" i="4"/>
  <c r="B219" i="24"/>
  <c r="B219" i="12"/>
  <c r="B219" i="22" l="1"/>
  <c r="B219" i="16"/>
  <c r="B219" i="32"/>
  <c r="B218" i="5"/>
  <c r="E304" i="4"/>
  <c r="H302" i="4" s="1"/>
</calcChain>
</file>

<file path=xl/sharedStrings.xml><?xml version="1.0" encoding="utf-8"?>
<sst xmlns="http://schemas.openxmlformats.org/spreadsheetml/2006/main" count="1350" uniqueCount="334">
  <si>
    <t>Khóa K</t>
  </si>
  <si>
    <t>0133457799BBCDFF</t>
  </si>
  <si>
    <t>Vị trí</t>
  </si>
  <si>
    <t>Kí tự hex</t>
  </si>
  <si>
    <t>Binary</t>
  </si>
  <si>
    <t>stt</t>
  </si>
  <si>
    <t>PC1=</t>
  </si>
  <si>
    <t>byte</t>
  </si>
  <si>
    <t>hex</t>
  </si>
  <si>
    <t>11110000110011001010101010111010101011001100111100001010</t>
  </si>
  <si>
    <t>PC1</t>
  </si>
  <si>
    <t>C0=</t>
  </si>
  <si>
    <t>D0=</t>
  </si>
  <si>
    <t>C1=</t>
  </si>
  <si>
    <t>D1=</t>
  </si>
  <si>
    <t>1110000110011001010101010111</t>
  </si>
  <si>
    <t>0101010110011001111000010101</t>
  </si>
  <si>
    <t>C1D1=</t>
  </si>
  <si>
    <t>bit</t>
  </si>
  <si>
    <t>pc2</t>
  </si>
  <si>
    <t>Tính khóa K1 = PC2(C1D1)=</t>
  </si>
  <si>
    <t>000110110000001011101111110110110100100110100101</t>
  </si>
  <si>
    <t>M=</t>
  </si>
  <si>
    <t>00123456789ABCDE</t>
  </si>
  <si>
    <t>0000000000010010001101000101011001111000100110101011110011011110</t>
  </si>
  <si>
    <t>IP</t>
  </si>
  <si>
    <t>IP=</t>
  </si>
  <si>
    <t>1001100011111110110011000000000011100000010101001111000010101010</t>
  </si>
  <si>
    <t>L1=</t>
  </si>
  <si>
    <t>R1=</t>
  </si>
  <si>
    <t>E</t>
  </si>
  <si>
    <t>E(R0)=</t>
  </si>
  <si>
    <t>011100000000001010101001011110100001010101010101</t>
  </si>
  <si>
    <t>Phép XOR K1 và E(R0)</t>
  </si>
  <si>
    <t>XOR</t>
  </si>
  <si>
    <t>binary</t>
  </si>
  <si>
    <t>Phép thế</t>
  </si>
  <si>
    <t>Hàng</t>
  </si>
  <si>
    <t>Cột</t>
  </si>
  <si>
    <t>Chỉ số mảng</t>
  </si>
  <si>
    <t>Chỉ số</t>
  </si>
  <si>
    <t>s1</t>
  </si>
  <si>
    <t>s2</t>
  </si>
  <si>
    <t>s3</t>
  </si>
  <si>
    <t>s4</t>
  </si>
  <si>
    <t>s5</t>
  </si>
  <si>
    <t>s6</t>
  </si>
  <si>
    <t>s7</t>
  </si>
  <si>
    <t>s8</t>
  </si>
  <si>
    <t>tra bảng S</t>
  </si>
  <si>
    <t>B=</t>
  </si>
  <si>
    <t>Hoán Vị P</t>
  </si>
  <si>
    <t>P</t>
  </si>
  <si>
    <t>dec</t>
  </si>
  <si>
    <t>L1=R0</t>
  </si>
  <si>
    <t>R0=</t>
  </si>
  <si>
    <t>L0=</t>
  </si>
  <si>
    <t>11100000010101001111000010101010</t>
  </si>
  <si>
    <t>E(R1)=</t>
  </si>
  <si>
    <t>C2=</t>
  </si>
  <si>
    <t>1100001100110010101010101111</t>
  </si>
  <si>
    <t>D2=</t>
  </si>
  <si>
    <t>1010101100110011110000101010</t>
  </si>
  <si>
    <t>11000011001100101010101011111010101100110011110000101010</t>
  </si>
  <si>
    <t>011010011010111011011001001001011110101001100110</t>
  </si>
  <si>
    <t>L1</t>
  </si>
  <si>
    <t>R2=</t>
  </si>
  <si>
    <t>L2=R1</t>
  </si>
  <si>
    <t>L2=</t>
  </si>
  <si>
    <t>Tính khóa K2 = PC2(C2D2)=</t>
  </si>
  <si>
    <t>D9</t>
  </si>
  <si>
    <t>C3=</t>
  </si>
  <si>
    <t>D3</t>
  </si>
  <si>
    <t>Tính khóa K3= PC2(C3D3)=</t>
  </si>
  <si>
    <t>L2</t>
  </si>
  <si>
    <t>C4=</t>
  </si>
  <si>
    <t>0000110011001010101010111111</t>
  </si>
  <si>
    <t>D4</t>
  </si>
  <si>
    <t>1010110011001111000010101010</t>
  </si>
  <si>
    <t>Tính khóa K4= PC2(C4D4)=</t>
  </si>
  <si>
    <t>C4D4=</t>
  </si>
  <si>
    <t>C3D3=</t>
  </si>
  <si>
    <t>C2D2=</t>
  </si>
  <si>
    <t>00001100110010101010101111111010110011001111000010101010</t>
  </si>
  <si>
    <t>010101011111110010001010101101001010110011010010</t>
  </si>
  <si>
    <t>R3=</t>
  </si>
  <si>
    <t>R4=</t>
  </si>
  <si>
    <t>L4=R3</t>
  </si>
  <si>
    <t>L4=</t>
  </si>
  <si>
    <t>L3=R2</t>
  </si>
  <si>
    <t>L3=</t>
  </si>
  <si>
    <t>C5=</t>
  </si>
  <si>
    <t>D5</t>
  </si>
  <si>
    <t>L4</t>
  </si>
  <si>
    <t>R5=</t>
  </si>
  <si>
    <t>L5=R4</t>
  </si>
  <si>
    <t>L5=</t>
  </si>
  <si>
    <t>C6=</t>
  </si>
  <si>
    <t>0011001100101010101011111100</t>
  </si>
  <si>
    <t>1011001100111100001010101010</t>
  </si>
  <si>
    <t>00110011001010101010111111001011001100111100001010101010</t>
  </si>
  <si>
    <t>011100101010110111010010101011011000011001010111</t>
  </si>
  <si>
    <t>L5</t>
  </si>
  <si>
    <t>R6=</t>
  </si>
  <si>
    <t>L6=R5</t>
  </si>
  <si>
    <t>L6=</t>
  </si>
  <si>
    <t>C7=</t>
  </si>
  <si>
    <t>D7</t>
  </si>
  <si>
    <t>L6</t>
  </si>
  <si>
    <t>R7=</t>
  </si>
  <si>
    <t>L7=R6</t>
  </si>
  <si>
    <t>L7=</t>
  </si>
  <si>
    <t>C8=</t>
  </si>
  <si>
    <t>1100110010101010101111110000</t>
  </si>
  <si>
    <t>D8</t>
  </si>
  <si>
    <t>1100110011110000101010101010</t>
  </si>
  <si>
    <t>11001100101010101011111100001100110011110000101010101010</t>
  </si>
  <si>
    <t>011111001110110000000111000111111110011011000010</t>
  </si>
  <si>
    <t>L7</t>
  </si>
  <si>
    <t>R8=</t>
  </si>
  <si>
    <t>L8=R7</t>
  </si>
  <si>
    <t>L8=</t>
  </si>
  <si>
    <t>C9</t>
  </si>
  <si>
    <t>L8</t>
  </si>
  <si>
    <t>R9=</t>
  </si>
  <si>
    <t>L9=R8</t>
  </si>
  <si>
    <t>L9=</t>
  </si>
  <si>
    <t>C10</t>
  </si>
  <si>
    <t>0011001010101010111111000011</t>
  </si>
  <si>
    <t>D10</t>
  </si>
  <si>
    <t>0011001111000010101010101011</t>
  </si>
  <si>
    <t>00110010101010101111110000110011001111000010101010101011</t>
  </si>
  <si>
    <t>011000111010010100011110001111001100010101000101</t>
  </si>
  <si>
    <t>L9</t>
  </si>
  <si>
    <t>R10=</t>
  </si>
  <si>
    <t>L10=R9</t>
  </si>
  <si>
    <t>L10=</t>
  </si>
  <si>
    <t>C11</t>
  </si>
  <si>
    <t>D11</t>
  </si>
  <si>
    <t>L10</t>
  </si>
  <si>
    <t>R11=</t>
  </si>
  <si>
    <t>L11=R10</t>
  </si>
  <si>
    <t>L11=</t>
  </si>
  <si>
    <t>C12</t>
  </si>
  <si>
    <t>D12</t>
  </si>
  <si>
    <t>1100111100001010101010101100</t>
  </si>
  <si>
    <t>L11</t>
  </si>
  <si>
    <t>R12=</t>
  </si>
  <si>
    <t>L12=R11</t>
  </si>
  <si>
    <t>L12=</t>
  </si>
  <si>
    <t>C13</t>
  </si>
  <si>
    <t>D13</t>
  </si>
  <si>
    <t>L12</t>
  </si>
  <si>
    <t>R13=</t>
  </si>
  <si>
    <t>L13=R12</t>
  </si>
  <si>
    <t>L13=</t>
  </si>
  <si>
    <t>C14</t>
  </si>
  <si>
    <t>D14</t>
  </si>
  <si>
    <t>0011110000101010101010110011</t>
  </si>
  <si>
    <t>L13</t>
  </si>
  <si>
    <t>R14=</t>
  </si>
  <si>
    <t>L14=R13</t>
  </si>
  <si>
    <t>L14=</t>
  </si>
  <si>
    <t>C15</t>
  </si>
  <si>
    <t>D15</t>
  </si>
  <si>
    <t>0111100001010101010101100110</t>
  </si>
  <si>
    <t>110000001101101111101011001001111011100000111001</t>
  </si>
  <si>
    <t>L14</t>
  </si>
  <si>
    <t>R15=</t>
  </si>
  <si>
    <t>L15=R14</t>
  </si>
  <si>
    <t>L15=</t>
  </si>
  <si>
    <t>C16</t>
  </si>
  <si>
    <t>D16</t>
  </si>
  <si>
    <t>L15</t>
  </si>
  <si>
    <t>R16=</t>
  </si>
  <si>
    <t>L16=R15</t>
  </si>
  <si>
    <t>L16=</t>
  </si>
  <si>
    <t>R16L16=</t>
  </si>
  <si>
    <t>IP-1</t>
  </si>
  <si>
    <t>IP-1=</t>
  </si>
  <si>
    <t>D6</t>
  </si>
  <si>
    <t>1100101010101011111100001100</t>
  </si>
  <si>
    <t>11001010101010111111000011001100111100001010101010101100</t>
  </si>
  <si>
    <t>011011001000010010110111100010101110010011000110</t>
  </si>
  <si>
    <t>0010101010101111110000110011</t>
  </si>
  <si>
    <t>00101010101011111100001100110011110000101010101010110011</t>
  </si>
  <si>
    <t>111101111000100000111010111011001110011110000001</t>
  </si>
  <si>
    <t>0101010101011111100001100110</t>
  </si>
  <si>
    <t>01010101010111111000011001100111100001010101010101100110</t>
  </si>
  <si>
    <t>0101010101111110000110011001</t>
  </si>
  <si>
    <t>1110000101010101010110011001</t>
  </si>
  <si>
    <t>01010101011111100001100110011110000101010101010110011001</t>
  </si>
  <si>
    <t>101100011111001101000111011000110001110101110110</t>
  </si>
  <si>
    <t>0101010111111000011001100101</t>
  </si>
  <si>
    <t>1000010101010101011001100111</t>
  </si>
  <si>
    <t>01010101111110000110011001011000010101010101011001100111</t>
  </si>
  <si>
    <t>001000010101111111000011000011011000100110111110</t>
  </si>
  <si>
    <t>0101011111100001100110010101</t>
  </si>
  <si>
    <t>0001010101010101100110011110</t>
  </si>
  <si>
    <t>01010111111000011001100101010001010101010101100110011110</t>
  </si>
  <si>
    <t>011100010111000111110101010001010101110011010101</t>
  </si>
  <si>
    <t>0101111110000110011001010101</t>
  </si>
  <si>
    <t>0101010101010110011001111000</t>
  </si>
  <si>
    <t>01011111100001100110010101010101010101010110011001111000</t>
  </si>
  <si>
    <t>100101011100010111010001010010111000000011111101</t>
  </si>
  <si>
    <t>0111111000011001100101010101</t>
  </si>
  <si>
    <t>0101010101011001100111100001</t>
  </si>
  <si>
    <t>01111110000110011001010101010101010101011001100111100001</t>
  </si>
  <si>
    <t>010101110100001110110111100000111101110110001101</t>
  </si>
  <si>
    <t>1111100001100110010101010101</t>
  </si>
  <si>
    <t>0101010101100110011110000101</t>
  </si>
  <si>
    <t>11111000011001100101010101010101010101100110011110000101</t>
  </si>
  <si>
    <t>101111111001000110000101000010100001011110110101</t>
  </si>
  <si>
    <t>1111000011001100101010101011</t>
  </si>
  <si>
    <t>1010101011001100111100001010</t>
  </si>
  <si>
    <t>110010110011110100001011101111000111000001110010</t>
  </si>
  <si>
    <t>00001111001011111010110110011010</t>
  </si>
  <si>
    <t>01101000000111000111110110100001</t>
  </si>
  <si>
    <t>11010101000101001000101100001000</t>
  </si>
  <si>
    <t>10011100010101010010110100010011</t>
  </si>
  <si>
    <t>00001101001001101011110011110101</t>
  </si>
  <si>
    <t>00110011100100010001011000110110</t>
  </si>
  <si>
    <t>01000011011101111001111101010111</t>
  </si>
  <si>
    <t>01011111011011001111101010001110</t>
  </si>
  <si>
    <t>10111000011100011001111111100110</t>
  </si>
  <si>
    <t>10001010011110011111001001101010</t>
  </si>
  <si>
    <t>01000100100001111110111010100000</t>
  </si>
  <si>
    <t>11111010001101100101000111001111</t>
  </si>
  <si>
    <t>00111111011110011100011010100110</t>
  </si>
  <si>
    <t>10011111110010100010101110000111</t>
  </si>
  <si>
    <t>01101110010001101101101110110111</t>
  </si>
  <si>
    <t>01010100001111110000111010101010</t>
  </si>
  <si>
    <t>Bản mã =</t>
  </si>
  <si>
    <t xml:space="preserve">A = k1 XOR E(R0) = </t>
  </si>
  <si>
    <t xml:space="preserve">F1 = </t>
  </si>
  <si>
    <t>Phép F1 XOR L0</t>
  </si>
  <si>
    <t xml:space="preserve">F2 = </t>
  </si>
  <si>
    <t>Phép XOR K2 và E(R0)</t>
  </si>
  <si>
    <t xml:space="preserve">A = k2 XOR E = </t>
  </si>
  <si>
    <t>Tính khóa K2 = PC2(C1D1)=</t>
  </si>
  <si>
    <t xml:space="preserve">F3 = </t>
  </si>
  <si>
    <t xml:space="preserve">A = K3 XOR E = </t>
  </si>
  <si>
    <t>Phép XOR K3 và E(R0)</t>
  </si>
  <si>
    <t xml:space="preserve">F4 = </t>
  </si>
  <si>
    <t>Phép F4 XOR L3</t>
  </si>
  <si>
    <t>L3</t>
  </si>
  <si>
    <t>Phép F3 XOR L2</t>
  </si>
  <si>
    <t>Phép F2 XOR L1</t>
  </si>
  <si>
    <t>Phép XOR K4 và E(R0)</t>
  </si>
  <si>
    <t xml:space="preserve">A = K4 XOR E = </t>
  </si>
  <si>
    <t>Phép F5 XOR L4</t>
  </si>
  <si>
    <t xml:space="preserve">F5 = </t>
  </si>
  <si>
    <t xml:space="preserve">A = K5 XOR E = </t>
  </si>
  <si>
    <t>Phép XOR K5 và E(R0)</t>
  </si>
  <si>
    <t>E(R4)=</t>
  </si>
  <si>
    <t>Tính khóa K5= PC2(C5D5)=</t>
  </si>
  <si>
    <t>Tính khóa K6= PC2(C6D6)=</t>
  </si>
  <si>
    <t>C6D6=</t>
  </si>
  <si>
    <t>C5D5=</t>
  </si>
  <si>
    <t>E(R5)=</t>
  </si>
  <si>
    <t>Phép XOR K6 và E(R5)</t>
  </si>
  <si>
    <t xml:space="preserve">A = K6 XOR E = </t>
  </si>
  <si>
    <t xml:space="preserve">F6 = </t>
  </si>
  <si>
    <t>Phép f XOR L5</t>
  </si>
  <si>
    <t>Tính khóa K7= PC2(C7D7)=</t>
  </si>
  <si>
    <t>C7D7=</t>
  </si>
  <si>
    <t>E(R6)=</t>
  </si>
  <si>
    <t>Phép XOR K7 và E(R6)</t>
  </si>
  <si>
    <t xml:space="preserve">A = K7 XOR E = </t>
  </si>
  <si>
    <t xml:space="preserve">F7 = </t>
  </si>
  <si>
    <t>Phép F7 XOR L6</t>
  </si>
  <si>
    <t>Tính khóa K8= PC2(C8D8)=</t>
  </si>
  <si>
    <t>C8D8=</t>
  </si>
  <si>
    <t>E(R7)=</t>
  </si>
  <si>
    <t>Phép XOR K8 và E(R7)</t>
  </si>
  <si>
    <t xml:space="preserve">A = K8 XOR E = </t>
  </si>
  <si>
    <t xml:space="preserve">F8 = </t>
  </si>
  <si>
    <t>Phép F8 XOR L7</t>
  </si>
  <si>
    <t>Tính khóa K9= PC2(C9D9)=</t>
  </si>
  <si>
    <t>C9D9=</t>
  </si>
  <si>
    <t>Phép F9 XOR L8</t>
  </si>
  <si>
    <t xml:space="preserve">F9 = </t>
  </si>
  <si>
    <t xml:space="preserve">A = K9 XOR E = </t>
  </si>
  <si>
    <t>Phép XOR K9 và E(R8)</t>
  </si>
  <si>
    <t>E(R8)=</t>
  </si>
  <si>
    <t>Tính khóa K10= PC2(C10D10)=</t>
  </si>
  <si>
    <t>C10D10=</t>
  </si>
  <si>
    <t>Phép F10 XOR 9</t>
  </si>
  <si>
    <t xml:space="preserve">F10 = </t>
  </si>
  <si>
    <t xml:space="preserve">A = K10 XOR E = </t>
  </si>
  <si>
    <t>Phép XOR K10 và E(R9)</t>
  </si>
  <si>
    <t>E(R9)=</t>
  </si>
  <si>
    <t>Tính khóa K11= PC2(C11D11)=</t>
  </si>
  <si>
    <t>C11D11=</t>
  </si>
  <si>
    <t>Phép F11 XOR L10</t>
  </si>
  <si>
    <t xml:space="preserve">F11 = </t>
  </si>
  <si>
    <t xml:space="preserve">A = K11 XOR E = </t>
  </si>
  <si>
    <t>Phép XOR K11 và E(R10)</t>
  </si>
  <si>
    <t>E(R10)=</t>
  </si>
  <si>
    <t>Tính khóa K12= PC2(C12D12)=</t>
  </si>
  <si>
    <t>C12D12=</t>
  </si>
  <si>
    <t>Phép F12 XOR L11</t>
  </si>
  <si>
    <t xml:space="preserve">F12 = </t>
  </si>
  <si>
    <t xml:space="preserve">A = K12 XOR E = </t>
  </si>
  <si>
    <t>Phép XOR K12 và E(R11)</t>
  </si>
  <si>
    <t>E(R11)=</t>
  </si>
  <si>
    <t>Tính khóa K13= PC2(C13D13)=</t>
  </si>
  <si>
    <t>C13D13=</t>
  </si>
  <si>
    <t>Phép F13 XOR L12</t>
  </si>
  <si>
    <t xml:space="preserve">F13 = </t>
  </si>
  <si>
    <t xml:space="preserve">A = K13 XOR E = </t>
  </si>
  <si>
    <t>Phép XOR K13 và E(R12)</t>
  </si>
  <si>
    <t>E(R12)=</t>
  </si>
  <si>
    <t>Tính khóa K14= PC2(C14D14)=</t>
  </si>
  <si>
    <t>C14D14=</t>
  </si>
  <si>
    <t>E(R13)=</t>
  </si>
  <si>
    <t>Phép XOR K14 và E(R13)</t>
  </si>
  <si>
    <t xml:space="preserve">A = K14 XOR E = </t>
  </si>
  <si>
    <t xml:space="preserve">F14 = </t>
  </si>
  <si>
    <t>Phép F14 XOR L13</t>
  </si>
  <si>
    <t>Tính khóa K15= PC2(C15D15)=</t>
  </si>
  <si>
    <t>C15D15=</t>
  </si>
  <si>
    <t>Phép F15 XOR L14</t>
  </si>
  <si>
    <t xml:space="preserve">F15 = </t>
  </si>
  <si>
    <t xml:space="preserve">A = K15 XOR E = </t>
  </si>
  <si>
    <t>Phép XOR K15 và E(R14)</t>
  </si>
  <si>
    <t>E(R14)=</t>
  </si>
  <si>
    <t>Tính khóa K16= PC2(C16D16)=</t>
  </si>
  <si>
    <t>C16D16=</t>
  </si>
  <si>
    <t>Phép F16 XOR L15</t>
  </si>
  <si>
    <t xml:space="preserve">F16 = </t>
  </si>
  <si>
    <t xml:space="preserve">A = K16 XOR E = </t>
  </si>
  <si>
    <t>Phép XOR K16 và E(R15)</t>
  </si>
  <si>
    <t>E(R15)=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</si>
</sst>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3" borderId="0" xfId="0" applyFont="1" applyFill="1"/>
    <xf numFmtId="49" fontId="1" fillId="3" borderId="0" xfId="0" applyNumberFormat="1" applyFon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2" borderId="1" xfId="0" applyFill="1" applyBorder="1"/>
    <xf numFmtId="0" fontId="2" fillId="2" borderId="0" xfId="0" applyFont="1" applyFill="1"/>
    <xf numFmtId="0" fontId="2" fillId="0" borderId="0" xfId="0" applyFont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3" fillId="6" borderId="0" xfId="0" applyFont="1" applyFill="1"/>
    <xf numFmtId="0" fontId="0" fillId="6" borderId="0" xfId="0" applyFill="1"/>
    <xf numFmtId="0" fontId="4" fillId="0" borderId="0" xfId="0" applyFont="1"/>
    <xf numFmtId="0" fontId="4" fillId="2" borderId="0" xfId="0" applyFont="1" applyFill="1"/>
    <xf numFmtId="0" fontId="0" fillId="2" borderId="2" xfId="0" applyFill="1" applyBorder="1"/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/>
    <xf numFmtId="49" fontId="4" fillId="2" borderId="0" xfId="0" applyNumberFormat="1" applyFont="1" applyFill="1"/>
    <xf numFmtId="49" fontId="4" fillId="0" borderId="0" xfId="0" applyNumberFormat="1" applyFont="1"/>
    <xf numFmtId="0" fontId="6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9577-46C3-4B4C-A7B4-65085E018C2E}">
  <dimension ref="A1:N76"/>
  <sheetViews>
    <sheetView workbookViewId="0">
      <selection activeCell="K25" sqref="K25"/>
    </sheetView>
  </sheetViews>
  <sheetFormatPr defaultRowHeight="15" x14ac:dyDescent="0.25"/>
  <sheetData>
    <row r="1" spans="1:4" x14ac:dyDescent="0.25">
      <c r="A1" t="s">
        <v>0</v>
      </c>
      <c r="C1" t="s">
        <v>1</v>
      </c>
    </row>
    <row r="2" spans="1:4" x14ac:dyDescent="0.25">
      <c r="A2" t="s">
        <v>2</v>
      </c>
      <c r="B2" t="s">
        <v>3</v>
      </c>
      <c r="C2" t="s">
        <v>4</v>
      </c>
    </row>
    <row r="3" spans="1:4" x14ac:dyDescent="0.25">
      <c r="A3">
        <v>1</v>
      </c>
      <c r="B3" t="str">
        <f>MID($C$1,A3,1)</f>
        <v>0</v>
      </c>
      <c r="C3" t="str">
        <f>HEX2BIN(B3,4)</f>
        <v>0000</v>
      </c>
      <c r="D3" t="str">
        <f t="shared" ref="D3:D15" si="0">C3&amp;D4</f>
        <v>0000000100110011010001010111011110011001101110111100110111111111</v>
      </c>
    </row>
    <row r="4" spans="1:4" x14ac:dyDescent="0.25">
      <c r="A4">
        <v>2</v>
      </c>
      <c r="B4" t="str">
        <f t="shared" ref="B4:B18" si="1">MID($C$1,A4,1)</f>
        <v>1</v>
      </c>
      <c r="C4" t="str">
        <f t="shared" ref="C4:C18" si="2">HEX2BIN(B4,4)</f>
        <v>0001</v>
      </c>
      <c r="D4" t="str">
        <f t="shared" si="0"/>
        <v>000100110011010001010111011110011001101110111100110111111111</v>
      </c>
    </row>
    <row r="5" spans="1:4" x14ac:dyDescent="0.25">
      <c r="A5">
        <v>3</v>
      </c>
      <c r="B5" t="str">
        <f t="shared" si="1"/>
        <v>3</v>
      </c>
      <c r="C5" t="str">
        <f t="shared" si="2"/>
        <v>0011</v>
      </c>
      <c r="D5" t="str">
        <f t="shared" si="0"/>
        <v>00110011010001010111011110011001101110111100110111111111</v>
      </c>
    </row>
    <row r="6" spans="1:4" x14ac:dyDescent="0.25">
      <c r="A6">
        <v>4</v>
      </c>
      <c r="B6" t="str">
        <f t="shared" si="1"/>
        <v>3</v>
      </c>
      <c r="C6" t="str">
        <f t="shared" si="2"/>
        <v>0011</v>
      </c>
      <c r="D6" t="str">
        <f t="shared" si="0"/>
        <v>0011010001010111011110011001101110111100110111111111</v>
      </c>
    </row>
    <row r="7" spans="1:4" x14ac:dyDescent="0.25">
      <c r="A7">
        <v>5</v>
      </c>
      <c r="B7" t="str">
        <f t="shared" si="1"/>
        <v>4</v>
      </c>
      <c r="C7" t="str">
        <f t="shared" si="2"/>
        <v>0100</v>
      </c>
      <c r="D7" t="str">
        <f t="shared" si="0"/>
        <v>010001010111011110011001101110111100110111111111</v>
      </c>
    </row>
    <row r="8" spans="1:4" x14ac:dyDescent="0.25">
      <c r="A8">
        <v>6</v>
      </c>
      <c r="B8" t="str">
        <f t="shared" si="1"/>
        <v>5</v>
      </c>
      <c r="C8" t="str">
        <f t="shared" si="2"/>
        <v>0101</v>
      </c>
      <c r="D8" t="str">
        <f t="shared" si="0"/>
        <v>01010111011110011001101110111100110111111111</v>
      </c>
    </row>
    <row r="9" spans="1:4" x14ac:dyDescent="0.25">
      <c r="A9">
        <v>7</v>
      </c>
      <c r="B9" t="str">
        <f t="shared" si="1"/>
        <v>7</v>
      </c>
      <c r="C9" t="str">
        <f t="shared" si="2"/>
        <v>0111</v>
      </c>
      <c r="D9" t="str">
        <f t="shared" si="0"/>
        <v>0111011110011001101110111100110111111111</v>
      </c>
    </row>
    <row r="10" spans="1:4" x14ac:dyDescent="0.25">
      <c r="A10">
        <v>8</v>
      </c>
      <c r="B10" t="str">
        <f t="shared" si="1"/>
        <v>7</v>
      </c>
      <c r="C10" t="str">
        <f t="shared" si="2"/>
        <v>0111</v>
      </c>
      <c r="D10" t="str">
        <f t="shared" si="0"/>
        <v>011110011001101110111100110111111111</v>
      </c>
    </row>
    <row r="11" spans="1:4" x14ac:dyDescent="0.25">
      <c r="A11">
        <v>9</v>
      </c>
      <c r="B11" t="str">
        <f t="shared" si="1"/>
        <v>9</v>
      </c>
      <c r="C11" t="str">
        <f t="shared" si="2"/>
        <v>1001</v>
      </c>
      <c r="D11" t="str">
        <f t="shared" si="0"/>
        <v>10011001101110111100110111111111</v>
      </c>
    </row>
    <row r="12" spans="1:4" x14ac:dyDescent="0.25">
      <c r="A12">
        <v>10</v>
      </c>
      <c r="B12" t="str">
        <f t="shared" si="1"/>
        <v>9</v>
      </c>
      <c r="C12" t="str">
        <f t="shared" si="2"/>
        <v>1001</v>
      </c>
      <c r="D12" t="str">
        <f t="shared" si="0"/>
        <v>1001101110111100110111111111</v>
      </c>
    </row>
    <row r="13" spans="1:4" x14ac:dyDescent="0.25">
      <c r="A13">
        <v>11</v>
      </c>
      <c r="B13" t="str">
        <f t="shared" si="1"/>
        <v>B</v>
      </c>
      <c r="C13" t="str">
        <f t="shared" si="2"/>
        <v>1011</v>
      </c>
      <c r="D13" t="str">
        <f t="shared" si="0"/>
        <v>101110111100110111111111</v>
      </c>
    </row>
    <row r="14" spans="1:4" x14ac:dyDescent="0.25">
      <c r="A14">
        <v>12</v>
      </c>
      <c r="B14" t="str">
        <f t="shared" si="1"/>
        <v>B</v>
      </c>
      <c r="C14" t="str">
        <f t="shared" si="2"/>
        <v>1011</v>
      </c>
      <c r="D14" t="str">
        <f t="shared" si="0"/>
        <v>10111100110111111111</v>
      </c>
    </row>
    <row r="15" spans="1:4" x14ac:dyDescent="0.25">
      <c r="A15">
        <v>13</v>
      </c>
      <c r="B15" t="str">
        <f t="shared" si="1"/>
        <v>C</v>
      </c>
      <c r="C15" t="str">
        <f t="shared" si="2"/>
        <v>1100</v>
      </c>
      <c r="D15" t="str">
        <f t="shared" si="0"/>
        <v>1100110111111111</v>
      </c>
    </row>
    <row r="16" spans="1:4" x14ac:dyDescent="0.25">
      <c r="A16">
        <v>14</v>
      </c>
      <c r="B16" t="str">
        <f t="shared" si="1"/>
        <v>D</v>
      </c>
      <c r="C16" t="str">
        <f t="shared" si="2"/>
        <v>1101</v>
      </c>
      <c r="D16" t="str">
        <f>C16&amp;D17</f>
        <v>110111111111</v>
      </c>
    </row>
    <row r="17" spans="1:14" x14ac:dyDescent="0.25">
      <c r="A17">
        <v>15</v>
      </c>
      <c r="B17" t="str">
        <f t="shared" si="1"/>
        <v>F</v>
      </c>
      <c r="C17" t="str">
        <f t="shared" si="2"/>
        <v>1111</v>
      </c>
      <c r="D17" t="str">
        <f>C17&amp;C18</f>
        <v>11111111</v>
      </c>
    </row>
    <row r="18" spans="1:14" x14ac:dyDescent="0.25">
      <c r="A18">
        <v>16</v>
      </c>
      <c r="B18" t="str">
        <f t="shared" si="1"/>
        <v>F</v>
      </c>
      <c r="C18" t="str">
        <f t="shared" si="2"/>
        <v>1111</v>
      </c>
    </row>
    <row r="19" spans="1:14" x14ac:dyDescent="0.25">
      <c r="C19" t="s">
        <v>6</v>
      </c>
      <c r="D19" s="1" t="str">
        <f>D21</f>
        <v>11110000110011001010101010111010101011001100111100001010</v>
      </c>
      <c r="E19" s="1"/>
      <c r="F19" s="1"/>
      <c r="G19" s="1"/>
      <c r="H19" s="1"/>
      <c r="I19" s="1"/>
      <c r="J19" s="1"/>
    </row>
    <row r="20" spans="1:14" x14ac:dyDescent="0.25">
      <c r="A20" t="s">
        <v>5</v>
      </c>
      <c r="B20" t="s">
        <v>2</v>
      </c>
      <c r="L20" s="7" t="s">
        <v>7</v>
      </c>
      <c r="M20" s="7" t="s">
        <v>7</v>
      </c>
      <c r="N20" s="7" t="s">
        <v>8</v>
      </c>
    </row>
    <row r="21" spans="1:14" x14ac:dyDescent="0.25">
      <c r="A21">
        <v>1</v>
      </c>
      <c r="B21">
        <v>57</v>
      </c>
      <c r="C21" t="str">
        <f>MID($D$3,B21,1)</f>
        <v>1</v>
      </c>
      <c r="D21" t="str">
        <f t="shared" ref="D21:D73" si="3">C21&amp;D22</f>
        <v>11110000110011001010101010111010101011001100111100001010</v>
      </c>
      <c r="L21" s="7">
        <v>1</v>
      </c>
      <c r="M21" s="7" t="str">
        <f>MID($D$19,(L21-1)*8+1,8)</f>
        <v>11110000</v>
      </c>
      <c r="N21" s="7" t="str">
        <f>BIN2HEX(M21,2)</f>
        <v>F0</v>
      </c>
    </row>
    <row r="22" spans="1:14" x14ac:dyDescent="0.25">
      <c r="A22">
        <v>2</v>
      </c>
      <c r="B22">
        <v>49</v>
      </c>
      <c r="C22" t="str">
        <f t="shared" ref="C22:C76" si="4">MID($D$3,B22,1)</f>
        <v>1</v>
      </c>
      <c r="D22" t="str">
        <f t="shared" si="3"/>
        <v>1110000110011001010101010111010101011001100111100001010</v>
      </c>
      <c r="L22" s="7">
        <v>2</v>
      </c>
      <c r="M22" s="7" t="str">
        <f t="shared" ref="M22:M27" si="5">MID($D$19,(L22-1)*8+1,8)</f>
        <v>11001100</v>
      </c>
      <c r="N22" s="7" t="str">
        <f t="shared" ref="N22:N27" si="6">BIN2HEX(M22,2)</f>
        <v>CC</v>
      </c>
    </row>
    <row r="23" spans="1:14" x14ac:dyDescent="0.25">
      <c r="A23">
        <v>3</v>
      </c>
      <c r="B23">
        <v>41</v>
      </c>
      <c r="C23" t="str">
        <f t="shared" si="4"/>
        <v>1</v>
      </c>
      <c r="D23" t="str">
        <f t="shared" si="3"/>
        <v>110000110011001010101010111010101011001100111100001010</v>
      </c>
      <c r="L23" s="7">
        <v>3</v>
      </c>
      <c r="M23" s="7" t="str">
        <f t="shared" si="5"/>
        <v>10101010</v>
      </c>
      <c r="N23" s="7" t="str">
        <f t="shared" si="6"/>
        <v>AA</v>
      </c>
    </row>
    <row r="24" spans="1:14" x14ac:dyDescent="0.25">
      <c r="A24">
        <v>4</v>
      </c>
      <c r="B24">
        <v>33</v>
      </c>
      <c r="C24" t="str">
        <f t="shared" si="4"/>
        <v>1</v>
      </c>
      <c r="D24" t="str">
        <f t="shared" si="3"/>
        <v>10000110011001010101010111010101011001100111100001010</v>
      </c>
      <c r="L24" s="7">
        <v>4</v>
      </c>
      <c r="M24" s="7" t="str">
        <f t="shared" si="5"/>
        <v>10111010</v>
      </c>
      <c r="N24" s="7" t="str">
        <f t="shared" si="6"/>
        <v>BA</v>
      </c>
    </row>
    <row r="25" spans="1:14" x14ac:dyDescent="0.25">
      <c r="A25">
        <v>5</v>
      </c>
      <c r="B25">
        <v>25</v>
      </c>
      <c r="C25" t="str">
        <f t="shared" si="4"/>
        <v>0</v>
      </c>
      <c r="D25" t="str">
        <f t="shared" si="3"/>
        <v>0000110011001010101010111010101011001100111100001010</v>
      </c>
      <c r="L25" s="7">
        <v>5</v>
      </c>
      <c r="M25" s="7" t="str">
        <f t="shared" si="5"/>
        <v>10101100</v>
      </c>
      <c r="N25" s="7" t="str">
        <f t="shared" si="6"/>
        <v>AC</v>
      </c>
    </row>
    <row r="26" spans="1:14" x14ac:dyDescent="0.25">
      <c r="A26">
        <v>6</v>
      </c>
      <c r="B26">
        <v>17</v>
      </c>
      <c r="C26" t="str">
        <f t="shared" si="4"/>
        <v>0</v>
      </c>
      <c r="D26" t="str">
        <f t="shared" si="3"/>
        <v>000110011001010101010111010101011001100111100001010</v>
      </c>
      <c r="L26" s="7">
        <v>6</v>
      </c>
      <c r="M26" s="7" t="str">
        <f t="shared" si="5"/>
        <v>11001111</v>
      </c>
      <c r="N26" s="7" t="str">
        <f t="shared" si="6"/>
        <v>CF</v>
      </c>
    </row>
    <row r="27" spans="1:14" x14ac:dyDescent="0.25">
      <c r="A27">
        <v>7</v>
      </c>
      <c r="B27">
        <v>9</v>
      </c>
      <c r="C27" t="str">
        <f t="shared" si="4"/>
        <v>0</v>
      </c>
      <c r="D27" t="str">
        <f t="shared" si="3"/>
        <v>00110011001010101010111010101011001100111100001010</v>
      </c>
      <c r="L27" s="7">
        <v>7</v>
      </c>
      <c r="M27" s="7" t="str">
        <f t="shared" si="5"/>
        <v>00001010</v>
      </c>
      <c r="N27" s="7" t="str">
        <f t="shared" si="6"/>
        <v>0A</v>
      </c>
    </row>
    <row r="28" spans="1:14" x14ac:dyDescent="0.25">
      <c r="A28">
        <v>8</v>
      </c>
      <c r="B28">
        <v>1</v>
      </c>
      <c r="C28" t="str">
        <f t="shared" si="4"/>
        <v>0</v>
      </c>
      <c r="D28" t="str">
        <f t="shared" si="3"/>
        <v>0110011001010101010111010101011001100111100001010</v>
      </c>
    </row>
    <row r="29" spans="1:14" x14ac:dyDescent="0.25">
      <c r="A29">
        <v>9</v>
      </c>
      <c r="B29">
        <v>58</v>
      </c>
      <c r="C29" t="str">
        <f t="shared" si="4"/>
        <v>1</v>
      </c>
      <c r="D29" t="str">
        <f t="shared" si="3"/>
        <v>110011001010101010111010101011001100111100001010</v>
      </c>
    </row>
    <row r="30" spans="1:14" x14ac:dyDescent="0.25">
      <c r="A30">
        <v>10</v>
      </c>
      <c r="B30">
        <v>50</v>
      </c>
      <c r="C30" t="str">
        <f t="shared" si="4"/>
        <v>1</v>
      </c>
      <c r="D30" t="str">
        <f t="shared" si="3"/>
        <v>10011001010101010111010101011001100111100001010</v>
      </c>
    </row>
    <row r="31" spans="1:14" x14ac:dyDescent="0.25">
      <c r="A31">
        <v>11</v>
      </c>
      <c r="B31">
        <v>52</v>
      </c>
      <c r="C31" t="str">
        <f t="shared" si="4"/>
        <v>0</v>
      </c>
      <c r="D31" t="str">
        <f t="shared" si="3"/>
        <v>0011001010101010111010101011001100111100001010</v>
      </c>
    </row>
    <row r="32" spans="1:14" x14ac:dyDescent="0.25">
      <c r="A32">
        <v>12</v>
      </c>
      <c r="B32">
        <v>34</v>
      </c>
      <c r="C32" t="str">
        <f t="shared" si="4"/>
        <v>0</v>
      </c>
      <c r="D32" t="str">
        <f t="shared" si="3"/>
        <v>011001010101010111010101011001100111100001010</v>
      </c>
    </row>
    <row r="33" spans="1:4" x14ac:dyDescent="0.25">
      <c r="A33">
        <v>13</v>
      </c>
      <c r="B33">
        <v>26</v>
      </c>
      <c r="C33" t="str">
        <f t="shared" si="4"/>
        <v>1</v>
      </c>
      <c r="D33" t="str">
        <f t="shared" si="3"/>
        <v>11001010101010111010101011001100111100001010</v>
      </c>
    </row>
    <row r="34" spans="1:4" x14ac:dyDescent="0.25">
      <c r="A34">
        <v>14</v>
      </c>
      <c r="B34">
        <v>18</v>
      </c>
      <c r="C34" t="str">
        <f t="shared" si="4"/>
        <v>1</v>
      </c>
      <c r="D34" t="str">
        <f t="shared" si="3"/>
        <v>1001010101010111010101011001100111100001010</v>
      </c>
    </row>
    <row r="35" spans="1:4" x14ac:dyDescent="0.25">
      <c r="A35">
        <v>15</v>
      </c>
      <c r="B35">
        <v>10</v>
      </c>
      <c r="C35" t="str">
        <f t="shared" si="4"/>
        <v>0</v>
      </c>
      <c r="D35" t="str">
        <f t="shared" si="3"/>
        <v>001010101010111010101011001100111100001010</v>
      </c>
    </row>
    <row r="36" spans="1:4" x14ac:dyDescent="0.25">
      <c r="A36">
        <v>16</v>
      </c>
      <c r="B36">
        <v>2</v>
      </c>
      <c r="C36" t="str">
        <f t="shared" si="4"/>
        <v>0</v>
      </c>
      <c r="D36" t="str">
        <f t="shared" si="3"/>
        <v>01010101010111010101011001100111100001010</v>
      </c>
    </row>
    <row r="37" spans="1:4" x14ac:dyDescent="0.25">
      <c r="A37">
        <v>17</v>
      </c>
      <c r="B37">
        <v>59</v>
      </c>
      <c r="C37" t="str">
        <f t="shared" si="4"/>
        <v>1</v>
      </c>
      <c r="D37" t="str">
        <f t="shared" si="3"/>
        <v>1010101010111010101011001100111100001010</v>
      </c>
    </row>
    <row r="38" spans="1:4" x14ac:dyDescent="0.25">
      <c r="A38">
        <v>18</v>
      </c>
      <c r="B38">
        <v>51</v>
      </c>
      <c r="C38" t="str">
        <f t="shared" si="4"/>
        <v>0</v>
      </c>
      <c r="D38" t="str">
        <f t="shared" si="3"/>
        <v>010101010111010101011001100111100001010</v>
      </c>
    </row>
    <row r="39" spans="1:4" x14ac:dyDescent="0.25">
      <c r="A39">
        <v>19</v>
      </c>
      <c r="B39">
        <v>43</v>
      </c>
      <c r="C39" t="str">
        <f t="shared" si="4"/>
        <v>1</v>
      </c>
      <c r="D39" t="str">
        <f t="shared" si="3"/>
        <v>10101010111010101011001100111100001010</v>
      </c>
    </row>
    <row r="40" spans="1:4" x14ac:dyDescent="0.25">
      <c r="A40">
        <v>20</v>
      </c>
      <c r="B40">
        <v>35</v>
      </c>
      <c r="C40" t="str">
        <f t="shared" si="4"/>
        <v>0</v>
      </c>
      <c r="D40" t="str">
        <f t="shared" si="3"/>
        <v>0101010111010101011001100111100001010</v>
      </c>
    </row>
    <row r="41" spans="1:4" x14ac:dyDescent="0.25">
      <c r="A41">
        <v>21</v>
      </c>
      <c r="B41">
        <v>27</v>
      </c>
      <c r="C41" t="str">
        <f t="shared" si="4"/>
        <v>1</v>
      </c>
      <c r="D41" t="str">
        <f t="shared" si="3"/>
        <v>101010111010101011001100111100001010</v>
      </c>
    </row>
    <row r="42" spans="1:4" x14ac:dyDescent="0.25">
      <c r="A42">
        <v>22</v>
      </c>
      <c r="B42">
        <v>19</v>
      </c>
      <c r="C42" t="str">
        <f t="shared" si="4"/>
        <v>0</v>
      </c>
      <c r="D42" t="str">
        <f t="shared" si="3"/>
        <v>01010111010101011001100111100001010</v>
      </c>
    </row>
    <row r="43" spans="1:4" x14ac:dyDescent="0.25">
      <c r="A43">
        <v>23</v>
      </c>
      <c r="B43">
        <v>11</v>
      </c>
      <c r="C43" t="str">
        <f t="shared" si="4"/>
        <v>1</v>
      </c>
      <c r="D43" t="str">
        <f t="shared" si="3"/>
        <v>1010111010101011001100111100001010</v>
      </c>
    </row>
    <row r="44" spans="1:4" x14ac:dyDescent="0.25">
      <c r="A44">
        <v>24</v>
      </c>
      <c r="B44">
        <v>3</v>
      </c>
      <c r="C44" t="str">
        <f t="shared" si="4"/>
        <v>0</v>
      </c>
      <c r="D44" t="str">
        <f t="shared" si="3"/>
        <v>010111010101011001100111100001010</v>
      </c>
    </row>
    <row r="45" spans="1:4" x14ac:dyDescent="0.25">
      <c r="A45">
        <v>25</v>
      </c>
      <c r="B45">
        <v>60</v>
      </c>
      <c r="C45" t="str">
        <f t="shared" si="4"/>
        <v>1</v>
      </c>
      <c r="D45" t="str">
        <f t="shared" si="3"/>
        <v>10111010101011001100111100001010</v>
      </c>
    </row>
    <row r="46" spans="1:4" x14ac:dyDescent="0.25">
      <c r="A46">
        <v>26</v>
      </c>
      <c r="B46">
        <v>52</v>
      </c>
      <c r="C46" t="str">
        <f t="shared" si="4"/>
        <v>0</v>
      </c>
      <c r="D46" t="str">
        <f t="shared" si="3"/>
        <v>0111010101011001100111100001010</v>
      </c>
    </row>
    <row r="47" spans="1:4" x14ac:dyDescent="0.25">
      <c r="A47">
        <v>27</v>
      </c>
      <c r="B47">
        <v>44</v>
      </c>
      <c r="C47" t="str">
        <f t="shared" si="4"/>
        <v>1</v>
      </c>
      <c r="D47" t="str">
        <f t="shared" si="3"/>
        <v>111010101011001100111100001010</v>
      </c>
    </row>
    <row r="48" spans="1:4" x14ac:dyDescent="0.25">
      <c r="A48">
        <v>28</v>
      </c>
      <c r="B48">
        <v>36</v>
      </c>
      <c r="C48" t="str">
        <f t="shared" si="4"/>
        <v>1</v>
      </c>
      <c r="D48" t="str">
        <f t="shared" si="3"/>
        <v>11010101011001100111100001010</v>
      </c>
    </row>
    <row r="49" spans="1:4" x14ac:dyDescent="0.25">
      <c r="A49">
        <v>29</v>
      </c>
      <c r="B49">
        <v>63</v>
      </c>
      <c r="C49" t="str">
        <f t="shared" si="4"/>
        <v>1</v>
      </c>
      <c r="D49" t="str">
        <f t="shared" si="3"/>
        <v>1010101011001100111100001010</v>
      </c>
    </row>
    <row r="50" spans="1:4" x14ac:dyDescent="0.25">
      <c r="A50">
        <v>30</v>
      </c>
      <c r="B50">
        <v>55</v>
      </c>
      <c r="C50" t="str">
        <f t="shared" si="4"/>
        <v>0</v>
      </c>
      <c r="D50" t="str">
        <f t="shared" si="3"/>
        <v>010101011001100111100001010</v>
      </c>
    </row>
    <row r="51" spans="1:4" x14ac:dyDescent="0.25">
      <c r="A51">
        <v>31</v>
      </c>
      <c r="B51">
        <v>47</v>
      </c>
      <c r="C51" t="str">
        <f t="shared" si="4"/>
        <v>1</v>
      </c>
      <c r="D51" t="str">
        <f t="shared" si="3"/>
        <v>10101011001100111100001010</v>
      </c>
    </row>
    <row r="52" spans="1:4" x14ac:dyDescent="0.25">
      <c r="A52">
        <v>32</v>
      </c>
      <c r="B52">
        <v>39</v>
      </c>
      <c r="C52" t="str">
        <f t="shared" si="4"/>
        <v>0</v>
      </c>
      <c r="D52" t="str">
        <f t="shared" si="3"/>
        <v>0101011001100111100001010</v>
      </c>
    </row>
    <row r="53" spans="1:4" x14ac:dyDescent="0.25">
      <c r="A53">
        <v>33</v>
      </c>
      <c r="B53">
        <v>31</v>
      </c>
      <c r="C53" t="str">
        <f t="shared" si="4"/>
        <v>1</v>
      </c>
      <c r="D53" t="str">
        <f t="shared" si="3"/>
        <v>101011001100111100001010</v>
      </c>
    </row>
    <row r="54" spans="1:4" x14ac:dyDescent="0.25">
      <c r="A54">
        <v>34</v>
      </c>
      <c r="B54">
        <v>23</v>
      </c>
      <c r="C54" t="str">
        <f t="shared" si="4"/>
        <v>0</v>
      </c>
      <c r="D54" t="str">
        <f t="shared" si="3"/>
        <v>01011001100111100001010</v>
      </c>
    </row>
    <row r="55" spans="1:4" x14ac:dyDescent="0.25">
      <c r="A55">
        <v>35</v>
      </c>
      <c r="B55">
        <v>15</v>
      </c>
      <c r="C55" t="str">
        <f t="shared" si="4"/>
        <v>1</v>
      </c>
      <c r="D55" t="str">
        <f t="shared" si="3"/>
        <v>1011001100111100001010</v>
      </c>
    </row>
    <row r="56" spans="1:4" x14ac:dyDescent="0.25">
      <c r="A56">
        <v>36</v>
      </c>
      <c r="B56">
        <v>7</v>
      </c>
      <c r="C56" t="str">
        <f t="shared" si="4"/>
        <v>0</v>
      </c>
      <c r="D56" t="str">
        <f t="shared" si="3"/>
        <v>011001100111100001010</v>
      </c>
    </row>
    <row r="57" spans="1:4" x14ac:dyDescent="0.25">
      <c r="A57">
        <v>37</v>
      </c>
      <c r="B57">
        <v>62</v>
      </c>
      <c r="C57" t="str">
        <f t="shared" si="4"/>
        <v>1</v>
      </c>
      <c r="D57" t="str">
        <f t="shared" si="3"/>
        <v>11001100111100001010</v>
      </c>
    </row>
    <row r="58" spans="1:4" x14ac:dyDescent="0.25">
      <c r="A58">
        <v>38</v>
      </c>
      <c r="B58">
        <v>54</v>
      </c>
      <c r="C58" t="str">
        <f t="shared" si="4"/>
        <v>1</v>
      </c>
      <c r="D58" t="str">
        <f t="shared" si="3"/>
        <v>1001100111100001010</v>
      </c>
    </row>
    <row r="59" spans="1:4" x14ac:dyDescent="0.25">
      <c r="A59">
        <v>39</v>
      </c>
      <c r="B59">
        <v>46</v>
      </c>
      <c r="C59" t="str">
        <f t="shared" si="4"/>
        <v>0</v>
      </c>
      <c r="D59" t="str">
        <f t="shared" si="3"/>
        <v>001100111100001010</v>
      </c>
    </row>
    <row r="60" spans="1:4" x14ac:dyDescent="0.25">
      <c r="A60">
        <v>40</v>
      </c>
      <c r="B60">
        <v>38</v>
      </c>
      <c r="C60" t="str">
        <f t="shared" si="4"/>
        <v>0</v>
      </c>
      <c r="D60" t="str">
        <f t="shared" si="3"/>
        <v>01100111100001010</v>
      </c>
    </row>
    <row r="61" spans="1:4" x14ac:dyDescent="0.25">
      <c r="A61">
        <v>41</v>
      </c>
      <c r="B61">
        <v>30</v>
      </c>
      <c r="C61" t="str">
        <f t="shared" si="4"/>
        <v>1</v>
      </c>
      <c r="D61" t="str">
        <f t="shared" si="3"/>
        <v>1100111100001010</v>
      </c>
    </row>
    <row r="62" spans="1:4" x14ac:dyDescent="0.25">
      <c r="A62">
        <v>42</v>
      </c>
      <c r="B62">
        <v>22</v>
      </c>
      <c r="C62" t="str">
        <f t="shared" si="4"/>
        <v>1</v>
      </c>
      <c r="D62" t="str">
        <f t="shared" si="3"/>
        <v>100111100001010</v>
      </c>
    </row>
    <row r="63" spans="1:4" x14ac:dyDescent="0.25">
      <c r="A63">
        <v>43</v>
      </c>
      <c r="B63">
        <v>14</v>
      </c>
      <c r="C63" t="str">
        <f t="shared" si="4"/>
        <v>0</v>
      </c>
      <c r="D63" t="str">
        <f t="shared" si="3"/>
        <v>00111100001010</v>
      </c>
    </row>
    <row r="64" spans="1:4" x14ac:dyDescent="0.25">
      <c r="A64">
        <v>44</v>
      </c>
      <c r="B64">
        <v>6</v>
      </c>
      <c r="C64" t="str">
        <f t="shared" si="4"/>
        <v>0</v>
      </c>
      <c r="D64" t="str">
        <f t="shared" si="3"/>
        <v>0111100001010</v>
      </c>
    </row>
    <row r="65" spans="1:4" x14ac:dyDescent="0.25">
      <c r="A65">
        <v>45</v>
      </c>
      <c r="B65">
        <v>61</v>
      </c>
      <c r="C65" t="str">
        <f t="shared" si="4"/>
        <v>1</v>
      </c>
      <c r="D65" t="str">
        <f t="shared" si="3"/>
        <v>111100001010</v>
      </c>
    </row>
    <row r="66" spans="1:4" x14ac:dyDescent="0.25">
      <c r="A66">
        <v>46</v>
      </c>
      <c r="B66">
        <v>53</v>
      </c>
      <c r="C66" t="str">
        <f t="shared" si="4"/>
        <v>1</v>
      </c>
      <c r="D66" t="str">
        <f t="shared" si="3"/>
        <v>11100001010</v>
      </c>
    </row>
    <row r="67" spans="1:4" x14ac:dyDescent="0.25">
      <c r="A67">
        <v>47</v>
      </c>
      <c r="B67">
        <v>45</v>
      </c>
      <c r="C67" t="str">
        <f t="shared" si="4"/>
        <v>1</v>
      </c>
      <c r="D67" t="str">
        <f t="shared" si="3"/>
        <v>1100001010</v>
      </c>
    </row>
    <row r="68" spans="1:4" x14ac:dyDescent="0.25">
      <c r="A68">
        <v>48</v>
      </c>
      <c r="B68">
        <v>37</v>
      </c>
      <c r="C68" t="str">
        <f t="shared" si="4"/>
        <v>1</v>
      </c>
      <c r="D68" t="str">
        <f t="shared" si="3"/>
        <v>100001010</v>
      </c>
    </row>
    <row r="69" spans="1:4" x14ac:dyDescent="0.25">
      <c r="A69">
        <v>49</v>
      </c>
      <c r="B69">
        <v>29</v>
      </c>
      <c r="C69" t="str">
        <f t="shared" si="4"/>
        <v>0</v>
      </c>
      <c r="D69" t="str">
        <f t="shared" si="3"/>
        <v>00001010</v>
      </c>
    </row>
    <row r="70" spans="1:4" x14ac:dyDescent="0.25">
      <c r="A70">
        <v>50</v>
      </c>
      <c r="B70">
        <v>21</v>
      </c>
      <c r="C70" t="str">
        <f t="shared" si="4"/>
        <v>0</v>
      </c>
      <c r="D70" t="str">
        <f t="shared" si="3"/>
        <v>0001010</v>
      </c>
    </row>
    <row r="71" spans="1:4" x14ac:dyDescent="0.25">
      <c r="A71">
        <v>51</v>
      </c>
      <c r="B71">
        <v>13</v>
      </c>
      <c r="C71" t="str">
        <f t="shared" si="4"/>
        <v>0</v>
      </c>
      <c r="D71" t="str">
        <f t="shared" si="3"/>
        <v>001010</v>
      </c>
    </row>
    <row r="72" spans="1:4" x14ac:dyDescent="0.25">
      <c r="A72">
        <v>52</v>
      </c>
      <c r="B72">
        <v>5</v>
      </c>
      <c r="C72" t="str">
        <f t="shared" si="4"/>
        <v>0</v>
      </c>
      <c r="D72" t="str">
        <f t="shared" si="3"/>
        <v>01010</v>
      </c>
    </row>
    <row r="73" spans="1:4" x14ac:dyDescent="0.25">
      <c r="A73">
        <v>53</v>
      </c>
      <c r="B73">
        <v>28</v>
      </c>
      <c r="C73" t="str">
        <f t="shared" si="4"/>
        <v>1</v>
      </c>
      <c r="D73" t="str">
        <f t="shared" si="3"/>
        <v>1010</v>
      </c>
    </row>
    <row r="74" spans="1:4" x14ac:dyDescent="0.25">
      <c r="A74">
        <v>54</v>
      </c>
      <c r="B74">
        <v>20</v>
      </c>
      <c r="C74" t="str">
        <f t="shared" si="4"/>
        <v>0</v>
      </c>
      <c r="D74" t="str">
        <f>C74&amp;D75</f>
        <v>010</v>
      </c>
    </row>
    <row r="75" spans="1:4" x14ac:dyDescent="0.25">
      <c r="A75">
        <v>55</v>
      </c>
      <c r="B75">
        <v>12</v>
      </c>
      <c r="C75" t="str">
        <f t="shared" si="4"/>
        <v>1</v>
      </c>
      <c r="D75" t="str">
        <f>C75&amp;C76</f>
        <v>10</v>
      </c>
    </row>
    <row r="76" spans="1:4" x14ac:dyDescent="0.25">
      <c r="A76">
        <v>56</v>
      </c>
      <c r="B76">
        <v>4</v>
      </c>
      <c r="C76" t="str">
        <f t="shared" si="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7EC6-77AB-432C-B254-C501DD27F47C}">
  <dimension ref="A1:P66"/>
  <sheetViews>
    <sheetView topLeftCell="A64" workbookViewId="0">
      <selection activeCell="O18" sqref="O18"/>
    </sheetView>
  </sheetViews>
  <sheetFormatPr defaultRowHeight="15" x14ac:dyDescent="0.25"/>
  <cols>
    <col min="6" max="6" width="12.85546875" customWidth="1"/>
  </cols>
  <sheetData>
    <row r="1" spans="1:16" x14ac:dyDescent="0.25">
      <c r="A1" s="1" t="s">
        <v>10</v>
      </c>
      <c r="B1" s="4" t="s">
        <v>9</v>
      </c>
      <c r="C1" s="1"/>
      <c r="D1" s="1"/>
      <c r="E1" s="1"/>
      <c r="F1" s="1"/>
      <c r="G1" s="1"/>
      <c r="H1" s="1"/>
    </row>
    <row r="3" spans="1:16" x14ac:dyDescent="0.25">
      <c r="A3" s="7" t="s">
        <v>7</v>
      </c>
      <c r="B3" s="7" t="s">
        <v>7</v>
      </c>
      <c r="C3" s="7" t="s">
        <v>8</v>
      </c>
      <c r="F3" s="2" t="s">
        <v>11</v>
      </c>
      <c r="G3" s="3" t="str">
        <f>LEFT(B1,28)</f>
        <v>1111000011001100101010101011</v>
      </c>
      <c r="H3" s="2"/>
      <c r="I3" s="2"/>
      <c r="J3" s="2"/>
    </row>
    <row r="4" spans="1:16" x14ac:dyDescent="0.25">
      <c r="A4" s="7">
        <v>1</v>
      </c>
      <c r="B4" s="7" t="str">
        <f>MID($B$1,(A4-1)*8+1,8)</f>
        <v>11110000</v>
      </c>
      <c r="C4" s="7" t="str">
        <f>BIN2HEX(B4,2)</f>
        <v>F0</v>
      </c>
      <c r="F4" s="2" t="s">
        <v>12</v>
      </c>
      <c r="G4" s="3" t="str">
        <f>RIGHT(B1,28)</f>
        <v>1010101011001100111100001010</v>
      </c>
      <c r="H4" s="2"/>
      <c r="I4" s="2"/>
      <c r="J4" s="2"/>
    </row>
    <row r="5" spans="1:16" x14ac:dyDescent="0.25">
      <c r="A5" s="7">
        <v>2</v>
      </c>
      <c r="B5" s="7" t="str">
        <f t="shared" ref="B5:B10" si="0">MID($B$1,(A5-1)*8+1,8)</f>
        <v>11001100</v>
      </c>
      <c r="C5" s="7" t="str">
        <f t="shared" ref="C5:C10" si="1">BIN2HEX(B5,2)</f>
        <v>CC</v>
      </c>
    </row>
    <row r="6" spans="1:16" x14ac:dyDescent="0.25">
      <c r="A6" s="7">
        <v>3</v>
      </c>
      <c r="B6" s="7" t="str">
        <f t="shared" si="0"/>
        <v>10101010</v>
      </c>
      <c r="C6" s="7" t="str">
        <f t="shared" si="1"/>
        <v>AA</v>
      </c>
      <c r="F6" s="5" t="s">
        <v>13</v>
      </c>
      <c r="G6" s="6" t="s">
        <v>15</v>
      </c>
      <c r="H6" s="6"/>
      <c r="I6" s="6"/>
      <c r="J6" s="5"/>
      <c r="L6" s="5" t="s">
        <v>14</v>
      </c>
      <c r="M6" s="6" t="s">
        <v>16</v>
      </c>
      <c r="N6" s="6"/>
      <c r="O6" s="6"/>
      <c r="P6" s="5"/>
    </row>
    <row r="7" spans="1:16" x14ac:dyDescent="0.25">
      <c r="A7" s="7">
        <v>4</v>
      </c>
      <c r="B7" s="7" t="str">
        <f t="shared" si="0"/>
        <v>10111010</v>
      </c>
      <c r="C7" s="7" t="str">
        <f t="shared" si="1"/>
        <v>BA</v>
      </c>
    </row>
    <row r="8" spans="1:16" x14ac:dyDescent="0.25">
      <c r="A8" s="7">
        <v>5</v>
      </c>
      <c r="B8" s="7" t="str">
        <f t="shared" si="0"/>
        <v>10101100</v>
      </c>
      <c r="C8" s="7" t="str">
        <f t="shared" si="1"/>
        <v>AC</v>
      </c>
    </row>
    <row r="9" spans="1:16" x14ac:dyDescent="0.25">
      <c r="A9" s="7">
        <v>6</v>
      </c>
      <c r="B9" s="7" t="str">
        <f t="shared" si="0"/>
        <v>11001111</v>
      </c>
      <c r="C9" s="7" t="str">
        <f t="shared" si="1"/>
        <v>CF</v>
      </c>
      <c r="F9" s="7" t="s">
        <v>7</v>
      </c>
      <c r="G9" s="7" t="s">
        <v>7</v>
      </c>
      <c r="H9" s="7" t="s">
        <v>8</v>
      </c>
      <c r="L9" s="7" t="s">
        <v>7</v>
      </c>
      <c r="M9" s="7" t="s">
        <v>7</v>
      </c>
      <c r="N9" s="7" t="s">
        <v>8</v>
      </c>
    </row>
    <row r="10" spans="1:16" x14ac:dyDescent="0.25">
      <c r="A10" s="7">
        <v>7</v>
      </c>
      <c r="B10" s="7" t="str">
        <f t="shared" si="0"/>
        <v>00001010</v>
      </c>
      <c r="C10" s="7" t="str">
        <f t="shared" si="1"/>
        <v>0A</v>
      </c>
      <c r="F10" s="7">
        <v>1</v>
      </c>
      <c r="G10" s="7" t="str">
        <f>MID($G$6,(F10-1)*8+1,8)</f>
        <v>11100001</v>
      </c>
      <c r="H10" s="7" t="str">
        <f>BIN2HEX(G10,2)</f>
        <v>E1</v>
      </c>
      <c r="L10" s="7">
        <v>1</v>
      </c>
      <c r="M10" s="7" t="str">
        <f>MID($M$6,(L10-1)*8+1,8)</f>
        <v>01010101</v>
      </c>
      <c r="N10" s="7" t="str">
        <f>BIN2HEX(M10,2)</f>
        <v>55</v>
      </c>
    </row>
    <row r="11" spans="1:16" x14ac:dyDescent="0.25">
      <c r="F11" s="7">
        <v>2</v>
      </c>
      <c r="G11" s="7" t="str">
        <f t="shared" ref="G11:G13" si="2">MID($G$6,(F11-1)*8+1,8)</f>
        <v>10011001</v>
      </c>
      <c r="H11" s="7" t="str">
        <f t="shared" ref="H11:H12" si="3">BIN2HEX(G11,2)</f>
        <v>99</v>
      </c>
      <c r="L11" s="7">
        <v>2</v>
      </c>
      <c r="M11" s="7" t="str">
        <f t="shared" ref="M11:M13" si="4">MID($M$6,(L11-1)*8+1,8)</f>
        <v>10011001</v>
      </c>
      <c r="N11" s="7" t="str">
        <f t="shared" ref="N11:N12" si="5">BIN2HEX(M11,2)</f>
        <v>99</v>
      </c>
    </row>
    <row r="12" spans="1:16" x14ac:dyDescent="0.25">
      <c r="F12" s="7">
        <v>3</v>
      </c>
      <c r="G12" s="7" t="str">
        <f t="shared" si="2"/>
        <v>01010101</v>
      </c>
      <c r="H12" s="7" t="str">
        <f t="shared" si="3"/>
        <v>55</v>
      </c>
      <c r="L12" s="7">
        <v>3</v>
      </c>
      <c r="M12" s="7" t="str">
        <f t="shared" si="4"/>
        <v>11100001</v>
      </c>
      <c r="N12" s="7" t="str">
        <f t="shared" si="5"/>
        <v>E1</v>
      </c>
    </row>
    <row r="13" spans="1:16" x14ac:dyDescent="0.25">
      <c r="F13" s="7">
        <v>4</v>
      </c>
      <c r="G13" s="7" t="str">
        <f t="shared" si="2"/>
        <v>0111</v>
      </c>
      <c r="H13" s="7" t="str">
        <f>BIN2HEX(G13,1)</f>
        <v>7</v>
      </c>
      <c r="L13" s="7">
        <v>4</v>
      </c>
      <c r="M13" s="7" t="str">
        <f t="shared" si="4"/>
        <v>0101</v>
      </c>
      <c r="N13" s="7" t="str">
        <f>BIN2HEX(M13,1)</f>
        <v>5</v>
      </c>
    </row>
    <row r="16" spans="1:16" x14ac:dyDescent="0.25">
      <c r="A16" t="s">
        <v>20</v>
      </c>
      <c r="D16" s="1" t="s">
        <v>21</v>
      </c>
      <c r="E16" s="1"/>
      <c r="F16" s="1"/>
      <c r="G16" s="1"/>
      <c r="H16" s="1"/>
      <c r="J16" s="7" t="s">
        <v>7</v>
      </c>
      <c r="K16" s="7" t="s">
        <v>7</v>
      </c>
      <c r="L16" s="7" t="s">
        <v>8</v>
      </c>
    </row>
    <row r="17" spans="1:12" x14ac:dyDescent="0.25">
      <c r="B17" t="s">
        <v>17</v>
      </c>
      <c r="C17" s="6" t="str">
        <f>G6&amp;M6</f>
        <v>11100001100110010101010101110101010110011001111000010101</v>
      </c>
      <c r="D17" s="5"/>
      <c r="E17" s="5"/>
      <c r="F17" s="5"/>
      <c r="G17" s="5"/>
      <c r="H17" s="5"/>
      <c r="J17" s="7">
        <v>1</v>
      </c>
      <c r="K17" s="7" t="str">
        <f>MID($D$16,(J17-1)*8+1,8)</f>
        <v>00011011</v>
      </c>
      <c r="L17" s="7" t="str">
        <f>BIN2HEX(K17,2)</f>
        <v>1B</v>
      </c>
    </row>
    <row r="18" spans="1:12" x14ac:dyDescent="0.25">
      <c r="A18" t="s">
        <v>5</v>
      </c>
      <c r="B18" t="s">
        <v>19</v>
      </c>
      <c r="C18" t="s">
        <v>18</v>
      </c>
      <c r="J18" s="7">
        <v>2</v>
      </c>
      <c r="K18" s="7" t="str">
        <f t="shared" ref="K18:K22" si="6">MID($D$16,(J18-1)*8+1,8)</f>
        <v>00000010</v>
      </c>
      <c r="L18" s="7" t="str">
        <f t="shared" ref="L18:L22" si="7">BIN2HEX(K18,2)</f>
        <v>02</v>
      </c>
    </row>
    <row r="19" spans="1:12" x14ac:dyDescent="0.25">
      <c r="A19">
        <v>1</v>
      </c>
      <c r="B19">
        <v>14</v>
      </c>
      <c r="C19" t="str">
        <f>MID($C$17,B19,1)</f>
        <v>0</v>
      </c>
      <c r="D19" t="str">
        <f t="shared" ref="D19:D63" si="8">C19&amp;D20</f>
        <v>000110110000001011101111110110110100100110100101</v>
      </c>
      <c r="J19" s="7">
        <v>3</v>
      </c>
      <c r="K19" s="7" t="str">
        <f t="shared" si="6"/>
        <v>11101111</v>
      </c>
      <c r="L19" s="7" t="str">
        <f t="shared" si="7"/>
        <v>EF</v>
      </c>
    </row>
    <row r="20" spans="1:12" x14ac:dyDescent="0.25">
      <c r="A20">
        <v>2</v>
      </c>
      <c r="B20">
        <v>17</v>
      </c>
      <c r="C20" t="str">
        <f t="shared" ref="C20:C66" si="9">MID($C$17,B20,1)</f>
        <v>0</v>
      </c>
      <c r="D20" t="str">
        <f t="shared" si="8"/>
        <v>00110110000001011101111110110110100100110100101</v>
      </c>
      <c r="J20" s="7">
        <v>4</v>
      </c>
      <c r="K20" s="7" t="str">
        <f t="shared" si="6"/>
        <v>11011011</v>
      </c>
      <c r="L20" s="7" t="str">
        <f t="shared" si="7"/>
        <v>DB</v>
      </c>
    </row>
    <row r="21" spans="1:12" x14ac:dyDescent="0.25">
      <c r="A21">
        <v>3</v>
      </c>
      <c r="B21">
        <v>11</v>
      </c>
      <c r="C21" t="str">
        <f t="shared" si="9"/>
        <v>0</v>
      </c>
      <c r="D21" t="str">
        <f t="shared" si="8"/>
        <v>0110110000001011101111110110110100100110100101</v>
      </c>
      <c r="J21" s="7">
        <v>5</v>
      </c>
      <c r="K21" s="7" t="str">
        <f t="shared" si="6"/>
        <v>01001001</v>
      </c>
      <c r="L21" s="7" t="str">
        <f t="shared" si="7"/>
        <v>49</v>
      </c>
    </row>
    <row r="22" spans="1:12" x14ac:dyDescent="0.25">
      <c r="A22">
        <v>4</v>
      </c>
      <c r="B22">
        <v>24</v>
      </c>
      <c r="C22" t="str">
        <f t="shared" si="9"/>
        <v>1</v>
      </c>
      <c r="D22" t="str">
        <f t="shared" si="8"/>
        <v>110110000001011101111110110110100100110100101</v>
      </c>
      <c r="J22" s="7">
        <v>6</v>
      </c>
      <c r="K22" s="7" t="str">
        <f t="shared" si="6"/>
        <v>10100101</v>
      </c>
      <c r="L22" s="7" t="str">
        <f t="shared" si="7"/>
        <v>A5</v>
      </c>
    </row>
    <row r="23" spans="1:12" x14ac:dyDescent="0.25">
      <c r="A23">
        <v>5</v>
      </c>
      <c r="B23">
        <v>1</v>
      </c>
      <c r="C23" t="str">
        <f t="shared" si="9"/>
        <v>1</v>
      </c>
      <c r="D23" t="str">
        <f t="shared" si="8"/>
        <v>10110000001011101111110110110100100110100101</v>
      </c>
    </row>
    <row r="24" spans="1:12" x14ac:dyDescent="0.25">
      <c r="A24">
        <v>6</v>
      </c>
      <c r="B24">
        <v>5</v>
      </c>
      <c r="C24" t="str">
        <f t="shared" si="9"/>
        <v>0</v>
      </c>
      <c r="D24" t="str">
        <f t="shared" si="8"/>
        <v>0110000001011101111110110110100100110100101</v>
      </c>
    </row>
    <row r="25" spans="1:12" x14ac:dyDescent="0.25">
      <c r="A25">
        <v>7</v>
      </c>
      <c r="B25">
        <v>3</v>
      </c>
      <c r="C25" t="str">
        <f t="shared" si="9"/>
        <v>1</v>
      </c>
      <c r="D25" t="str">
        <f t="shared" si="8"/>
        <v>110000001011101111110110110100100110100101</v>
      </c>
    </row>
    <row r="26" spans="1:12" x14ac:dyDescent="0.25">
      <c r="A26">
        <v>8</v>
      </c>
      <c r="B26">
        <v>28</v>
      </c>
      <c r="C26" t="str">
        <f t="shared" si="9"/>
        <v>1</v>
      </c>
      <c r="D26" t="str">
        <f t="shared" si="8"/>
        <v>10000001011101111110110110100100110100101</v>
      </c>
    </row>
    <row r="27" spans="1:12" x14ac:dyDescent="0.25">
      <c r="A27">
        <v>9</v>
      </c>
      <c r="B27">
        <v>15</v>
      </c>
      <c r="C27" t="str">
        <f t="shared" si="9"/>
        <v>0</v>
      </c>
      <c r="D27" t="str">
        <f t="shared" si="8"/>
        <v>0000001011101111110110110100100110100101</v>
      </c>
    </row>
    <row r="28" spans="1:12" x14ac:dyDescent="0.25">
      <c r="A28">
        <v>10</v>
      </c>
      <c r="B28">
        <v>6</v>
      </c>
      <c r="C28" t="str">
        <f t="shared" si="9"/>
        <v>0</v>
      </c>
      <c r="D28" t="str">
        <f t="shared" si="8"/>
        <v>000001011101111110110110100100110100101</v>
      </c>
    </row>
    <row r="29" spans="1:12" x14ac:dyDescent="0.25">
      <c r="A29">
        <v>11</v>
      </c>
      <c r="B29">
        <v>21</v>
      </c>
      <c r="C29" t="str">
        <f t="shared" si="9"/>
        <v>0</v>
      </c>
      <c r="D29" t="str">
        <f t="shared" si="8"/>
        <v>00001011101111110110110100100110100101</v>
      </c>
    </row>
    <row r="30" spans="1:12" x14ac:dyDescent="0.25">
      <c r="A30">
        <v>12</v>
      </c>
      <c r="B30">
        <v>10</v>
      </c>
      <c r="C30" t="str">
        <f t="shared" si="9"/>
        <v>0</v>
      </c>
      <c r="D30" t="str">
        <f t="shared" si="8"/>
        <v>0001011101111110110110100100110100101</v>
      </c>
    </row>
    <row r="31" spans="1:12" x14ac:dyDescent="0.25">
      <c r="A31">
        <v>13</v>
      </c>
      <c r="B31">
        <v>23</v>
      </c>
      <c r="C31" t="str">
        <f t="shared" si="9"/>
        <v>0</v>
      </c>
      <c r="D31" t="str">
        <f t="shared" si="8"/>
        <v>001011101111110110110100100110100101</v>
      </c>
    </row>
    <row r="32" spans="1:12" x14ac:dyDescent="0.25">
      <c r="A32">
        <v>14</v>
      </c>
      <c r="B32">
        <v>19</v>
      </c>
      <c r="C32" t="str">
        <f t="shared" si="9"/>
        <v>0</v>
      </c>
      <c r="D32" t="str">
        <f t="shared" si="8"/>
        <v>01011101111110110110100100110100101</v>
      </c>
    </row>
    <row r="33" spans="1:4" x14ac:dyDescent="0.25">
      <c r="A33">
        <v>15</v>
      </c>
      <c r="B33">
        <v>12</v>
      </c>
      <c r="C33" t="str">
        <f t="shared" si="9"/>
        <v>1</v>
      </c>
      <c r="D33" t="str">
        <f t="shared" si="8"/>
        <v>1011101111110110110100100110100101</v>
      </c>
    </row>
    <row r="34" spans="1:4" x14ac:dyDescent="0.25">
      <c r="A34">
        <v>16</v>
      </c>
      <c r="B34">
        <v>4</v>
      </c>
      <c r="C34" t="str">
        <f t="shared" si="9"/>
        <v>0</v>
      </c>
      <c r="D34" t="str">
        <f t="shared" si="8"/>
        <v>011101111110110110100100110100101</v>
      </c>
    </row>
    <row r="35" spans="1:4" x14ac:dyDescent="0.25">
      <c r="A35">
        <v>17</v>
      </c>
      <c r="B35">
        <v>26</v>
      </c>
      <c r="C35" t="str">
        <f t="shared" si="9"/>
        <v>1</v>
      </c>
      <c r="D35" t="str">
        <f t="shared" si="8"/>
        <v>11101111110110110100100110100101</v>
      </c>
    </row>
    <row r="36" spans="1:4" x14ac:dyDescent="0.25">
      <c r="A36">
        <v>18</v>
      </c>
      <c r="B36">
        <v>8</v>
      </c>
      <c r="C36" t="str">
        <f t="shared" si="9"/>
        <v>1</v>
      </c>
      <c r="D36" t="str">
        <f t="shared" si="8"/>
        <v>1101111110110110100100110100101</v>
      </c>
    </row>
    <row r="37" spans="1:4" x14ac:dyDescent="0.25">
      <c r="A37">
        <v>19</v>
      </c>
      <c r="B37">
        <v>16</v>
      </c>
      <c r="C37" t="str">
        <f t="shared" si="9"/>
        <v>1</v>
      </c>
      <c r="D37" t="str">
        <f t="shared" si="8"/>
        <v>101111110110110100100110100101</v>
      </c>
    </row>
    <row r="38" spans="1:4" x14ac:dyDescent="0.25">
      <c r="A38">
        <v>20</v>
      </c>
      <c r="B38">
        <v>7</v>
      </c>
      <c r="C38" t="str">
        <f t="shared" si="9"/>
        <v>0</v>
      </c>
      <c r="D38" t="str">
        <f t="shared" si="8"/>
        <v>01111110110110100100110100101</v>
      </c>
    </row>
    <row r="39" spans="1:4" x14ac:dyDescent="0.25">
      <c r="A39">
        <v>21</v>
      </c>
      <c r="B39">
        <v>27</v>
      </c>
      <c r="C39" t="str">
        <f t="shared" si="9"/>
        <v>1</v>
      </c>
      <c r="D39" t="str">
        <f t="shared" si="8"/>
        <v>1111110110110100100110100101</v>
      </c>
    </row>
    <row r="40" spans="1:4" x14ac:dyDescent="0.25">
      <c r="A40">
        <v>22</v>
      </c>
      <c r="B40">
        <v>20</v>
      </c>
      <c r="C40" t="str">
        <f t="shared" si="9"/>
        <v>1</v>
      </c>
      <c r="D40" t="str">
        <f t="shared" si="8"/>
        <v>111110110110100100110100101</v>
      </c>
    </row>
    <row r="41" spans="1:4" x14ac:dyDescent="0.25">
      <c r="A41">
        <v>23</v>
      </c>
      <c r="B41">
        <v>13</v>
      </c>
      <c r="C41" t="str">
        <f t="shared" si="9"/>
        <v>1</v>
      </c>
      <c r="D41" t="str">
        <f t="shared" si="8"/>
        <v>11110110110100100110100101</v>
      </c>
    </row>
    <row r="42" spans="1:4" x14ac:dyDescent="0.25">
      <c r="A42">
        <v>24</v>
      </c>
      <c r="B42">
        <v>2</v>
      </c>
      <c r="C42" t="str">
        <f t="shared" si="9"/>
        <v>1</v>
      </c>
      <c r="D42" t="str">
        <f t="shared" si="8"/>
        <v>1110110110100100110100101</v>
      </c>
    </row>
    <row r="43" spans="1:4" x14ac:dyDescent="0.25">
      <c r="A43">
        <v>25</v>
      </c>
      <c r="B43">
        <v>41</v>
      </c>
      <c r="C43" t="str">
        <f t="shared" si="9"/>
        <v>1</v>
      </c>
      <c r="D43" t="str">
        <f t="shared" si="8"/>
        <v>110110110100100110100101</v>
      </c>
    </row>
    <row r="44" spans="1:4" x14ac:dyDescent="0.25">
      <c r="A44">
        <v>26</v>
      </c>
      <c r="B44">
        <v>52</v>
      </c>
      <c r="C44" t="str">
        <f t="shared" si="9"/>
        <v>1</v>
      </c>
      <c r="D44" t="str">
        <f t="shared" si="8"/>
        <v>10110110100100110100101</v>
      </c>
    </row>
    <row r="45" spans="1:4" x14ac:dyDescent="0.25">
      <c r="A45">
        <v>27</v>
      </c>
      <c r="B45">
        <v>31</v>
      </c>
      <c r="C45" t="str">
        <f t="shared" si="9"/>
        <v>0</v>
      </c>
      <c r="D45" t="str">
        <f t="shared" si="8"/>
        <v>0110110100100110100101</v>
      </c>
    </row>
    <row r="46" spans="1:4" x14ac:dyDescent="0.25">
      <c r="A46">
        <v>28</v>
      </c>
      <c r="B46">
        <v>37</v>
      </c>
      <c r="C46" t="str">
        <f t="shared" si="9"/>
        <v>1</v>
      </c>
      <c r="D46" t="str">
        <f t="shared" si="8"/>
        <v>110110100100110100101</v>
      </c>
    </row>
    <row r="47" spans="1:4" x14ac:dyDescent="0.25">
      <c r="A47">
        <v>29</v>
      </c>
      <c r="B47">
        <v>47</v>
      </c>
      <c r="C47" t="str">
        <f t="shared" si="9"/>
        <v>1</v>
      </c>
      <c r="D47" t="str">
        <f t="shared" si="8"/>
        <v>10110100100110100101</v>
      </c>
    </row>
    <row r="48" spans="1:4" x14ac:dyDescent="0.25">
      <c r="A48">
        <v>30</v>
      </c>
      <c r="B48">
        <v>55</v>
      </c>
      <c r="C48" t="str">
        <f t="shared" si="9"/>
        <v>0</v>
      </c>
      <c r="D48" t="str">
        <f t="shared" si="8"/>
        <v>0110100100110100101</v>
      </c>
    </row>
    <row r="49" spans="1:4" x14ac:dyDescent="0.25">
      <c r="A49">
        <v>31</v>
      </c>
      <c r="B49">
        <v>30</v>
      </c>
      <c r="C49" t="str">
        <f t="shared" si="9"/>
        <v>1</v>
      </c>
      <c r="D49" t="str">
        <f t="shared" si="8"/>
        <v>110100100110100101</v>
      </c>
    </row>
    <row r="50" spans="1:4" x14ac:dyDescent="0.25">
      <c r="A50">
        <v>32</v>
      </c>
      <c r="B50">
        <v>40</v>
      </c>
      <c r="C50" t="str">
        <f t="shared" si="9"/>
        <v>1</v>
      </c>
      <c r="D50" t="str">
        <f t="shared" si="8"/>
        <v>10100100110100101</v>
      </c>
    </row>
    <row r="51" spans="1:4" x14ac:dyDescent="0.25">
      <c r="A51">
        <v>33</v>
      </c>
      <c r="B51">
        <v>51</v>
      </c>
      <c r="C51" t="str">
        <f t="shared" si="9"/>
        <v>0</v>
      </c>
      <c r="D51" t="str">
        <f t="shared" si="8"/>
        <v>0100100110100101</v>
      </c>
    </row>
    <row r="52" spans="1:4" x14ac:dyDescent="0.25">
      <c r="A52">
        <v>34</v>
      </c>
      <c r="B52">
        <v>45</v>
      </c>
      <c r="C52" t="str">
        <f t="shared" si="9"/>
        <v>1</v>
      </c>
      <c r="D52" t="str">
        <f t="shared" si="8"/>
        <v>100100110100101</v>
      </c>
    </row>
    <row r="53" spans="1:4" x14ac:dyDescent="0.25">
      <c r="A53">
        <v>35</v>
      </c>
      <c r="B53">
        <v>33</v>
      </c>
      <c r="C53" t="str">
        <f t="shared" si="9"/>
        <v>0</v>
      </c>
      <c r="D53" t="str">
        <f t="shared" si="8"/>
        <v>00100110100101</v>
      </c>
    </row>
    <row r="54" spans="1:4" x14ac:dyDescent="0.25">
      <c r="A54">
        <v>36</v>
      </c>
      <c r="B54">
        <v>48</v>
      </c>
      <c r="C54" t="str">
        <f t="shared" si="9"/>
        <v>0</v>
      </c>
      <c r="D54" t="str">
        <f t="shared" si="8"/>
        <v>0100110100101</v>
      </c>
    </row>
    <row r="55" spans="1:4" x14ac:dyDescent="0.25">
      <c r="A55">
        <v>37</v>
      </c>
      <c r="B55">
        <v>44</v>
      </c>
      <c r="C55" t="str">
        <f t="shared" si="9"/>
        <v>1</v>
      </c>
      <c r="D55" t="str">
        <f t="shared" si="8"/>
        <v>100110100101</v>
      </c>
    </row>
    <row r="56" spans="1:4" x14ac:dyDescent="0.25">
      <c r="A56">
        <v>38</v>
      </c>
      <c r="B56">
        <v>49</v>
      </c>
      <c r="C56" t="str">
        <f t="shared" si="9"/>
        <v>0</v>
      </c>
      <c r="D56" t="str">
        <f t="shared" si="8"/>
        <v>00110100101</v>
      </c>
    </row>
    <row r="57" spans="1:4" x14ac:dyDescent="0.25">
      <c r="A57">
        <v>39</v>
      </c>
      <c r="B57">
        <v>39</v>
      </c>
      <c r="C57" t="str">
        <f t="shared" si="9"/>
        <v>0</v>
      </c>
      <c r="D57" t="str">
        <f t="shared" si="8"/>
        <v>0110100101</v>
      </c>
    </row>
    <row r="58" spans="1:4" x14ac:dyDescent="0.25">
      <c r="A58">
        <v>40</v>
      </c>
      <c r="B58">
        <v>56</v>
      </c>
      <c r="C58" t="str">
        <f t="shared" si="9"/>
        <v>1</v>
      </c>
      <c r="D58" t="str">
        <f t="shared" si="8"/>
        <v>110100101</v>
      </c>
    </row>
    <row r="59" spans="1:4" x14ac:dyDescent="0.25">
      <c r="A59">
        <v>41</v>
      </c>
      <c r="B59">
        <v>34</v>
      </c>
      <c r="C59" t="str">
        <f t="shared" si="9"/>
        <v>1</v>
      </c>
      <c r="D59" t="str">
        <f t="shared" si="8"/>
        <v>10100101</v>
      </c>
    </row>
    <row r="60" spans="1:4" x14ac:dyDescent="0.25">
      <c r="A60">
        <v>42</v>
      </c>
      <c r="B60">
        <v>53</v>
      </c>
      <c r="C60" t="str">
        <f t="shared" si="9"/>
        <v>0</v>
      </c>
      <c r="D60" t="str">
        <f t="shared" si="8"/>
        <v>0100101</v>
      </c>
    </row>
    <row r="61" spans="1:4" x14ac:dyDescent="0.25">
      <c r="A61">
        <v>43</v>
      </c>
      <c r="B61">
        <v>46</v>
      </c>
      <c r="C61" t="str">
        <f t="shared" si="9"/>
        <v>1</v>
      </c>
      <c r="D61" t="str">
        <f t="shared" si="8"/>
        <v>100101</v>
      </c>
    </row>
    <row r="62" spans="1:4" x14ac:dyDescent="0.25">
      <c r="A62">
        <v>44</v>
      </c>
      <c r="B62">
        <v>42</v>
      </c>
      <c r="C62" t="str">
        <f t="shared" si="9"/>
        <v>0</v>
      </c>
      <c r="D62" t="str">
        <f t="shared" si="8"/>
        <v>00101</v>
      </c>
    </row>
    <row r="63" spans="1:4" x14ac:dyDescent="0.25">
      <c r="A63">
        <v>45</v>
      </c>
      <c r="B63">
        <v>50</v>
      </c>
      <c r="C63" t="str">
        <f t="shared" si="9"/>
        <v>0</v>
      </c>
      <c r="D63" t="str">
        <f t="shared" si="8"/>
        <v>0101</v>
      </c>
    </row>
    <row r="64" spans="1:4" x14ac:dyDescent="0.25">
      <c r="A64">
        <v>46</v>
      </c>
      <c r="B64">
        <v>36</v>
      </c>
      <c r="C64" t="str">
        <f t="shared" si="9"/>
        <v>1</v>
      </c>
      <c r="D64" t="str">
        <f>C64&amp;D65</f>
        <v>101</v>
      </c>
    </row>
    <row r="65" spans="1:4" x14ac:dyDescent="0.25">
      <c r="A65">
        <v>47</v>
      </c>
      <c r="B65">
        <v>29</v>
      </c>
      <c r="C65" t="str">
        <f t="shared" si="9"/>
        <v>0</v>
      </c>
      <c r="D65" t="str">
        <f>C65&amp;C66</f>
        <v>01</v>
      </c>
    </row>
    <row r="66" spans="1:4" x14ac:dyDescent="0.25">
      <c r="A66">
        <v>48</v>
      </c>
      <c r="B66">
        <v>32</v>
      </c>
      <c r="C66" t="str">
        <f t="shared" si="9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C481-829A-4C32-862C-0F1ADC138DF0}">
  <dimension ref="A1:T307"/>
  <sheetViews>
    <sheetView topLeftCell="A292" workbookViewId="0">
      <selection activeCell="A303" sqref="A303"/>
    </sheetView>
  </sheetViews>
  <sheetFormatPr defaultRowHeight="15" x14ac:dyDescent="0.25"/>
  <sheetData>
    <row r="1" spans="1:11" ht="21" x14ac:dyDescent="0.35">
      <c r="A1" t="s">
        <v>20</v>
      </c>
      <c r="D1" s="8" t="s">
        <v>21</v>
      </c>
      <c r="E1" s="9"/>
      <c r="F1" s="9"/>
      <c r="G1" s="9"/>
      <c r="H1" s="9"/>
      <c r="I1" s="9"/>
    </row>
    <row r="2" spans="1:11" x14ac:dyDescent="0.25">
      <c r="A2" s="7" t="s">
        <v>7</v>
      </c>
      <c r="B2" s="7" t="s">
        <v>7</v>
      </c>
      <c r="C2" s="7" t="s">
        <v>8</v>
      </c>
    </row>
    <row r="3" spans="1:11" x14ac:dyDescent="0.25">
      <c r="A3" s="7">
        <v>1</v>
      </c>
      <c r="B3" s="7" t="str">
        <f>MID($D$1,(A3-1)*8+1,8)</f>
        <v>00011011</v>
      </c>
      <c r="C3" s="7" t="str">
        <f>BIN2HEX(B3,2)</f>
        <v>1B</v>
      </c>
    </row>
    <row r="4" spans="1:11" x14ac:dyDescent="0.25">
      <c r="A4" s="7">
        <v>2</v>
      </c>
      <c r="B4" s="7" t="str">
        <f t="shared" ref="B4:B8" si="0">MID($D$1,(A4-1)*8+1,8)</f>
        <v>00000010</v>
      </c>
      <c r="C4" s="7" t="str">
        <f t="shared" ref="C4:C8" si="1">BIN2HEX(B4,2)</f>
        <v>02</v>
      </c>
    </row>
    <row r="5" spans="1:11" x14ac:dyDescent="0.25">
      <c r="A5" s="7">
        <v>3</v>
      </c>
      <c r="B5" s="7" t="str">
        <f t="shared" si="0"/>
        <v>11101111</v>
      </c>
      <c r="C5" s="7" t="str">
        <f t="shared" si="1"/>
        <v>EF</v>
      </c>
    </row>
    <row r="6" spans="1:11" x14ac:dyDescent="0.25">
      <c r="A6" s="7">
        <v>4</v>
      </c>
      <c r="B6" s="7" t="str">
        <f t="shared" si="0"/>
        <v>11011011</v>
      </c>
      <c r="C6" s="7" t="str">
        <f t="shared" si="1"/>
        <v>DB</v>
      </c>
    </row>
    <row r="7" spans="1:11" x14ac:dyDescent="0.25">
      <c r="A7" s="7">
        <v>5</v>
      </c>
      <c r="B7" s="7" t="str">
        <f t="shared" si="0"/>
        <v>01001001</v>
      </c>
      <c r="C7" s="7" t="str">
        <f t="shared" si="1"/>
        <v>49</v>
      </c>
    </row>
    <row r="8" spans="1:11" x14ac:dyDescent="0.25">
      <c r="A8" s="7">
        <v>6</v>
      </c>
      <c r="B8" s="7" t="str">
        <f t="shared" si="0"/>
        <v>10100101</v>
      </c>
      <c r="C8" s="7" t="str">
        <f t="shared" si="1"/>
        <v>A5</v>
      </c>
    </row>
    <row r="10" spans="1:11" ht="21" x14ac:dyDescent="0.35">
      <c r="A10" t="s">
        <v>22</v>
      </c>
      <c r="B10" t="s">
        <v>23</v>
      </c>
      <c r="E10" s="8" t="s">
        <v>24</v>
      </c>
      <c r="F10" s="8"/>
      <c r="G10" s="8"/>
      <c r="H10" s="8"/>
      <c r="I10" s="8"/>
      <c r="J10" s="8"/>
      <c r="K10" s="8"/>
    </row>
    <row r="11" spans="1:11" x14ac:dyDescent="0.25">
      <c r="A11" t="s">
        <v>2</v>
      </c>
      <c r="B11" t="s">
        <v>3</v>
      </c>
      <c r="C11" t="s">
        <v>4</v>
      </c>
    </row>
    <row r="12" spans="1:11" x14ac:dyDescent="0.25">
      <c r="A12">
        <v>1</v>
      </c>
      <c r="B12" t="str">
        <f>MID($B$10,A12,1)</f>
        <v>0</v>
      </c>
      <c r="C12" t="str">
        <f>HEX2BIN(B12,4)</f>
        <v>0000</v>
      </c>
      <c r="D12" t="str">
        <f t="shared" ref="D12:D24" si="2">C12&amp;D13</f>
        <v>0000000000010010001101000101011001111000100110101011110011011110</v>
      </c>
    </row>
    <row r="13" spans="1:11" x14ac:dyDescent="0.25">
      <c r="A13">
        <v>2</v>
      </c>
      <c r="B13" t="str">
        <f t="shared" ref="B13:B27" si="3">MID($B$10,A13,1)</f>
        <v>0</v>
      </c>
      <c r="C13" t="str">
        <f t="shared" ref="C13:C27" si="4">HEX2BIN(B13,4)</f>
        <v>0000</v>
      </c>
      <c r="D13" t="str">
        <f t="shared" si="2"/>
        <v>000000010010001101000101011001111000100110101011110011011110</v>
      </c>
    </row>
    <row r="14" spans="1:11" x14ac:dyDescent="0.25">
      <c r="A14">
        <v>3</v>
      </c>
      <c r="B14" t="str">
        <f t="shared" si="3"/>
        <v>1</v>
      </c>
      <c r="C14" t="str">
        <f t="shared" si="4"/>
        <v>0001</v>
      </c>
      <c r="D14" t="str">
        <f t="shared" si="2"/>
        <v>00010010001101000101011001111000100110101011110011011110</v>
      </c>
    </row>
    <row r="15" spans="1:11" x14ac:dyDescent="0.25">
      <c r="A15">
        <v>4</v>
      </c>
      <c r="B15" t="str">
        <f t="shared" si="3"/>
        <v>2</v>
      </c>
      <c r="C15" t="str">
        <f t="shared" si="4"/>
        <v>0010</v>
      </c>
      <c r="D15" t="str">
        <f t="shared" si="2"/>
        <v>0010001101000101011001111000100110101011110011011110</v>
      </c>
    </row>
    <row r="16" spans="1:11" x14ac:dyDescent="0.25">
      <c r="A16">
        <v>5</v>
      </c>
      <c r="B16" t="str">
        <f t="shared" si="3"/>
        <v>3</v>
      </c>
      <c r="C16" t="str">
        <f t="shared" si="4"/>
        <v>0011</v>
      </c>
      <c r="D16" t="str">
        <f t="shared" si="2"/>
        <v>001101000101011001111000100110101011110011011110</v>
      </c>
    </row>
    <row r="17" spans="1:20" x14ac:dyDescent="0.25">
      <c r="A17">
        <v>6</v>
      </c>
      <c r="B17" t="str">
        <f t="shared" si="3"/>
        <v>4</v>
      </c>
      <c r="C17" t="str">
        <f t="shared" si="4"/>
        <v>0100</v>
      </c>
      <c r="D17" t="str">
        <f t="shared" si="2"/>
        <v>01000101011001111000100110101011110011011110</v>
      </c>
    </row>
    <row r="18" spans="1:20" x14ac:dyDescent="0.25">
      <c r="A18">
        <v>7</v>
      </c>
      <c r="B18" t="str">
        <f t="shared" si="3"/>
        <v>5</v>
      </c>
      <c r="C18" t="str">
        <f t="shared" si="4"/>
        <v>0101</v>
      </c>
      <c r="D18" t="str">
        <f t="shared" si="2"/>
        <v>0101011001111000100110101011110011011110</v>
      </c>
    </row>
    <row r="19" spans="1:20" x14ac:dyDescent="0.25">
      <c r="A19">
        <v>8</v>
      </c>
      <c r="B19" t="str">
        <f t="shared" si="3"/>
        <v>6</v>
      </c>
      <c r="C19" t="str">
        <f t="shared" si="4"/>
        <v>0110</v>
      </c>
      <c r="D19" t="str">
        <f t="shared" si="2"/>
        <v>011001111000100110101011110011011110</v>
      </c>
    </row>
    <row r="20" spans="1:20" x14ac:dyDescent="0.25">
      <c r="A20">
        <v>9</v>
      </c>
      <c r="B20" t="str">
        <f t="shared" si="3"/>
        <v>7</v>
      </c>
      <c r="C20" t="str">
        <f t="shared" si="4"/>
        <v>0111</v>
      </c>
      <c r="D20" t="str">
        <f t="shared" si="2"/>
        <v>01111000100110101011110011011110</v>
      </c>
    </row>
    <row r="21" spans="1:20" x14ac:dyDescent="0.25">
      <c r="A21">
        <v>10</v>
      </c>
      <c r="B21" t="str">
        <f t="shared" si="3"/>
        <v>8</v>
      </c>
      <c r="C21" t="str">
        <f t="shared" si="4"/>
        <v>1000</v>
      </c>
      <c r="D21" t="str">
        <f t="shared" si="2"/>
        <v>1000100110101011110011011110</v>
      </c>
    </row>
    <row r="22" spans="1:20" x14ac:dyDescent="0.25">
      <c r="A22">
        <v>11</v>
      </c>
      <c r="B22" t="str">
        <f t="shared" si="3"/>
        <v>9</v>
      </c>
      <c r="C22" t="str">
        <f t="shared" si="4"/>
        <v>1001</v>
      </c>
      <c r="D22" t="str">
        <f t="shared" si="2"/>
        <v>100110101011110011011110</v>
      </c>
    </row>
    <row r="23" spans="1:20" x14ac:dyDescent="0.25">
      <c r="A23">
        <v>12</v>
      </c>
      <c r="B23" t="str">
        <f t="shared" si="3"/>
        <v>A</v>
      </c>
      <c r="C23" t="str">
        <f t="shared" si="4"/>
        <v>1010</v>
      </c>
      <c r="D23" t="str">
        <f t="shared" si="2"/>
        <v>10101011110011011110</v>
      </c>
    </row>
    <row r="24" spans="1:20" x14ac:dyDescent="0.25">
      <c r="A24">
        <v>13</v>
      </c>
      <c r="B24" t="str">
        <f t="shared" si="3"/>
        <v>B</v>
      </c>
      <c r="C24" t="str">
        <f t="shared" si="4"/>
        <v>1011</v>
      </c>
      <c r="D24" t="str">
        <f t="shared" si="2"/>
        <v>1011110011011110</v>
      </c>
    </row>
    <row r="25" spans="1:20" x14ac:dyDescent="0.25">
      <c r="A25">
        <v>14</v>
      </c>
      <c r="B25" t="str">
        <f t="shared" si="3"/>
        <v>C</v>
      </c>
      <c r="C25" t="str">
        <f t="shared" si="4"/>
        <v>1100</v>
      </c>
      <c r="D25" t="str">
        <f>C25&amp;D26</f>
        <v>110011011110</v>
      </c>
    </row>
    <row r="26" spans="1:20" x14ac:dyDescent="0.25">
      <c r="A26">
        <v>15</v>
      </c>
      <c r="B26" t="str">
        <f t="shared" si="3"/>
        <v>D</v>
      </c>
      <c r="C26" t="str">
        <f t="shared" si="4"/>
        <v>1101</v>
      </c>
      <c r="D26" t="str">
        <f>C26&amp;C27</f>
        <v>11011110</v>
      </c>
    </row>
    <row r="27" spans="1:20" x14ac:dyDescent="0.25">
      <c r="A27">
        <v>16</v>
      </c>
      <c r="B27" t="str">
        <f t="shared" si="3"/>
        <v>E</v>
      </c>
      <c r="C27" t="str">
        <f t="shared" si="4"/>
        <v>1110</v>
      </c>
    </row>
    <row r="29" spans="1:20" ht="21" x14ac:dyDescent="0.35">
      <c r="A29" t="s">
        <v>5</v>
      </c>
      <c r="B29" t="s">
        <v>25</v>
      </c>
      <c r="C29" t="s">
        <v>18</v>
      </c>
      <c r="E29" t="s">
        <v>26</v>
      </c>
      <c r="F29" s="8" t="s">
        <v>27</v>
      </c>
      <c r="G29" s="8"/>
      <c r="H29" s="8"/>
      <c r="I29" s="8"/>
      <c r="J29" s="8"/>
      <c r="K29" s="8"/>
      <c r="L29" s="8"/>
      <c r="R29" s="7" t="s">
        <v>7</v>
      </c>
      <c r="S29" s="7" t="s">
        <v>7</v>
      </c>
      <c r="T29" s="7" t="s">
        <v>8</v>
      </c>
    </row>
    <row r="30" spans="1:20" x14ac:dyDescent="0.25">
      <c r="A30">
        <v>1</v>
      </c>
      <c r="B30">
        <v>58</v>
      </c>
      <c r="C30" t="str">
        <f>MID($E$10,B30,1)</f>
        <v>1</v>
      </c>
      <c r="D30" t="str">
        <f t="shared" ref="D30:D90" si="5">C30&amp;D31</f>
        <v>1001100011111110110011000000000011100000010101001111000010101010</v>
      </c>
      <c r="R30" s="7">
        <v>1</v>
      </c>
      <c r="S30" s="7" t="str">
        <f>MID($F$29,(R30-1)*8+1,8)</f>
        <v>10011000</v>
      </c>
      <c r="T30" s="7" t="str">
        <f>BIN2HEX(S30,2)</f>
        <v>98</v>
      </c>
    </row>
    <row r="31" spans="1:20" x14ac:dyDescent="0.25">
      <c r="A31">
        <v>2</v>
      </c>
      <c r="B31">
        <v>50</v>
      </c>
      <c r="C31" t="str">
        <f t="shared" ref="C31:C93" si="6">MID($E$10,B31,1)</f>
        <v>0</v>
      </c>
      <c r="D31" t="str">
        <f t="shared" si="5"/>
        <v>001100011111110110011000000000011100000010101001111000010101010</v>
      </c>
      <c r="R31" s="7">
        <v>2</v>
      </c>
      <c r="S31" s="7" t="str">
        <f t="shared" ref="S31:S37" si="7">MID($F$29,(R31-1)*8+1,8)</f>
        <v>11111110</v>
      </c>
      <c r="T31" s="7" t="str">
        <f t="shared" ref="T31:T37" si="8">BIN2HEX(S31,2)</f>
        <v>FE</v>
      </c>
    </row>
    <row r="32" spans="1:20" x14ac:dyDescent="0.25">
      <c r="A32">
        <v>3</v>
      </c>
      <c r="B32">
        <v>42</v>
      </c>
      <c r="C32" t="str">
        <f t="shared" si="6"/>
        <v>0</v>
      </c>
      <c r="D32" t="str">
        <f t="shared" si="5"/>
        <v>01100011111110110011000000000011100000010101001111000010101010</v>
      </c>
      <c r="R32" s="7">
        <v>3</v>
      </c>
      <c r="S32" s="7" t="str">
        <f t="shared" si="7"/>
        <v>11001100</v>
      </c>
      <c r="T32" s="7" t="str">
        <f t="shared" si="8"/>
        <v>CC</v>
      </c>
    </row>
    <row r="33" spans="1:20" x14ac:dyDescent="0.25">
      <c r="A33">
        <v>4</v>
      </c>
      <c r="B33">
        <v>34</v>
      </c>
      <c r="C33" t="str">
        <f t="shared" si="6"/>
        <v>1</v>
      </c>
      <c r="D33" t="str">
        <f t="shared" si="5"/>
        <v>1100011111110110011000000000011100000010101001111000010101010</v>
      </c>
      <c r="R33" s="7">
        <v>4</v>
      </c>
      <c r="S33" s="7" t="str">
        <f t="shared" si="7"/>
        <v>00000000</v>
      </c>
      <c r="T33" s="7" t="str">
        <f t="shared" si="8"/>
        <v>00</v>
      </c>
    </row>
    <row r="34" spans="1:20" x14ac:dyDescent="0.25">
      <c r="A34">
        <v>5</v>
      </c>
      <c r="B34">
        <v>26</v>
      </c>
      <c r="C34" t="str">
        <f t="shared" si="6"/>
        <v>1</v>
      </c>
      <c r="D34" t="str">
        <f t="shared" si="5"/>
        <v>100011111110110011000000000011100000010101001111000010101010</v>
      </c>
      <c r="R34" s="7">
        <v>5</v>
      </c>
      <c r="S34" s="7" t="str">
        <f t="shared" si="7"/>
        <v>11100000</v>
      </c>
      <c r="T34" s="7" t="str">
        <f t="shared" si="8"/>
        <v>E0</v>
      </c>
    </row>
    <row r="35" spans="1:20" x14ac:dyDescent="0.25">
      <c r="A35">
        <v>6</v>
      </c>
      <c r="B35">
        <v>18</v>
      </c>
      <c r="C35" t="str">
        <f t="shared" si="6"/>
        <v>0</v>
      </c>
      <c r="D35" t="str">
        <f t="shared" si="5"/>
        <v>00011111110110011000000000011100000010101001111000010101010</v>
      </c>
      <c r="R35" s="7">
        <v>6</v>
      </c>
      <c r="S35" s="7" t="str">
        <f t="shared" si="7"/>
        <v>01010100</v>
      </c>
      <c r="T35" s="7" t="str">
        <f t="shared" si="8"/>
        <v>54</v>
      </c>
    </row>
    <row r="36" spans="1:20" x14ac:dyDescent="0.25">
      <c r="A36">
        <v>7</v>
      </c>
      <c r="B36">
        <v>10</v>
      </c>
      <c r="C36" t="str">
        <f t="shared" si="6"/>
        <v>0</v>
      </c>
      <c r="D36" t="str">
        <f t="shared" si="5"/>
        <v>0011111110110011000000000011100000010101001111000010101010</v>
      </c>
      <c r="R36" s="7">
        <v>7</v>
      </c>
      <c r="S36" s="7" t="str">
        <f t="shared" si="7"/>
        <v>11110000</v>
      </c>
      <c r="T36" s="7" t="str">
        <f t="shared" si="8"/>
        <v>F0</v>
      </c>
    </row>
    <row r="37" spans="1:20" x14ac:dyDescent="0.25">
      <c r="A37">
        <v>8</v>
      </c>
      <c r="B37">
        <v>2</v>
      </c>
      <c r="C37" t="str">
        <f t="shared" si="6"/>
        <v>0</v>
      </c>
      <c r="D37" t="str">
        <f t="shared" si="5"/>
        <v>011111110110011000000000011100000010101001111000010101010</v>
      </c>
      <c r="R37" s="7">
        <v>8</v>
      </c>
      <c r="S37" s="7" t="str">
        <f t="shared" si="7"/>
        <v>10101010</v>
      </c>
      <c r="T37" s="7" t="str">
        <f t="shared" si="8"/>
        <v>AA</v>
      </c>
    </row>
    <row r="38" spans="1:20" x14ac:dyDescent="0.25">
      <c r="A38">
        <v>9</v>
      </c>
      <c r="B38">
        <v>60</v>
      </c>
      <c r="C38" t="str">
        <f t="shared" si="6"/>
        <v>1</v>
      </c>
      <c r="D38" t="str">
        <f t="shared" si="5"/>
        <v>11111110110011000000000011100000010101001111000010101010</v>
      </c>
    </row>
    <row r="39" spans="1:20" x14ac:dyDescent="0.25">
      <c r="A39">
        <v>10</v>
      </c>
      <c r="B39">
        <v>52</v>
      </c>
      <c r="C39" t="str">
        <f t="shared" si="6"/>
        <v>1</v>
      </c>
      <c r="D39" t="str">
        <f t="shared" si="5"/>
        <v>1111110110011000000000011100000010101001111000010101010</v>
      </c>
    </row>
    <row r="40" spans="1:20" x14ac:dyDescent="0.25">
      <c r="A40">
        <v>11</v>
      </c>
      <c r="B40">
        <v>44</v>
      </c>
      <c r="C40" t="str">
        <f t="shared" si="6"/>
        <v>1</v>
      </c>
      <c r="D40" t="str">
        <f t="shared" si="5"/>
        <v>111110110011000000000011100000010101001111000010101010</v>
      </c>
    </row>
    <row r="41" spans="1:20" x14ac:dyDescent="0.25">
      <c r="A41">
        <v>12</v>
      </c>
      <c r="B41">
        <v>36</v>
      </c>
      <c r="C41" t="str">
        <f t="shared" si="6"/>
        <v>1</v>
      </c>
      <c r="D41" t="str">
        <f t="shared" si="5"/>
        <v>11110110011000000000011100000010101001111000010101010</v>
      </c>
    </row>
    <row r="42" spans="1:20" x14ac:dyDescent="0.25">
      <c r="A42">
        <v>13</v>
      </c>
      <c r="B42">
        <v>28</v>
      </c>
      <c r="C42" t="str">
        <f t="shared" si="6"/>
        <v>1</v>
      </c>
      <c r="D42" t="str">
        <f>C42&amp;D43</f>
        <v>1110110011000000000011100000010101001111000010101010</v>
      </c>
    </row>
    <row r="43" spans="1:20" x14ac:dyDescent="0.25">
      <c r="A43">
        <v>14</v>
      </c>
      <c r="B43">
        <v>20</v>
      </c>
      <c r="C43" t="str">
        <f t="shared" si="6"/>
        <v>1</v>
      </c>
      <c r="D43" t="str">
        <f t="shared" si="5"/>
        <v>110110011000000000011100000010101001111000010101010</v>
      </c>
    </row>
    <row r="44" spans="1:20" x14ac:dyDescent="0.25">
      <c r="A44">
        <v>15</v>
      </c>
      <c r="B44">
        <v>12</v>
      </c>
      <c r="C44" t="str">
        <f t="shared" si="6"/>
        <v>1</v>
      </c>
      <c r="D44" t="str">
        <f t="shared" si="5"/>
        <v>10110011000000000011100000010101001111000010101010</v>
      </c>
    </row>
    <row r="45" spans="1:20" x14ac:dyDescent="0.25">
      <c r="A45">
        <v>16</v>
      </c>
      <c r="B45">
        <v>4</v>
      </c>
      <c r="C45" t="str">
        <f t="shared" si="6"/>
        <v>0</v>
      </c>
      <c r="D45" t="str">
        <f t="shared" si="5"/>
        <v>0110011000000000011100000010101001111000010101010</v>
      </c>
    </row>
    <row r="46" spans="1:20" x14ac:dyDescent="0.25">
      <c r="A46">
        <v>17</v>
      </c>
      <c r="B46">
        <v>62</v>
      </c>
      <c r="C46" t="str">
        <f t="shared" si="6"/>
        <v>1</v>
      </c>
      <c r="D46" t="str">
        <f t="shared" si="5"/>
        <v>110011000000000011100000010101001111000010101010</v>
      </c>
    </row>
    <row r="47" spans="1:20" x14ac:dyDescent="0.25">
      <c r="A47">
        <v>18</v>
      </c>
      <c r="B47">
        <v>54</v>
      </c>
      <c r="C47" t="str">
        <f t="shared" si="6"/>
        <v>1</v>
      </c>
      <c r="D47" t="str">
        <f t="shared" si="5"/>
        <v>10011000000000011100000010101001111000010101010</v>
      </c>
    </row>
    <row r="48" spans="1:20" x14ac:dyDescent="0.25">
      <c r="A48">
        <v>19</v>
      </c>
      <c r="B48">
        <v>56</v>
      </c>
      <c r="C48" t="str">
        <f t="shared" si="6"/>
        <v>0</v>
      </c>
      <c r="D48" t="str">
        <f t="shared" si="5"/>
        <v>0011000000000011100000010101001111000010101010</v>
      </c>
    </row>
    <row r="49" spans="1:4" x14ac:dyDescent="0.25">
      <c r="A49">
        <v>20</v>
      </c>
      <c r="B49">
        <v>38</v>
      </c>
      <c r="C49" t="str">
        <f t="shared" si="6"/>
        <v>0</v>
      </c>
      <c r="D49" t="str">
        <f t="shared" si="5"/>
        <v>011000000000011100000010101001111000010101010</v>
      </c>
    </row>
    <row r="50" spans="1:4" x14ac:dyDescent="0.25">
      <c r="A50">
        <v>21</v>
      </c>
      <c r="B50">
        <v>30</v>
      </c>
      <c r="C50" t="str">
        <f t="shared" si="6"/>
        <v>1</v>
      </c>
      <c r="D50" t="str">
        <f t="shared" si="5"/>
        <v>11000000000011100000010101001111000010101010</v>
      </c>
    </row>
    <row r="51" spans="1:4" x14ac:dyDescent="0.25">
      <c r="A51">
        <v>22</v>
      </c>
      <c r="B51">
        <v>22</v>
      </c>
      <c r="C51" t="str">
        <f t="shared" si="6"/>
        <v>1</v>
      </c>
      <c r="D51" t="str">
        <f t="shared" si="5"/>
        <v>1000000000011100000010101001111000010101010</v>
      </c>
    </row>
    <row r="52" spans="1:4" x14ac:dyDescent="0.25">
      <c r="A52">
        <v>23</v>
      </c>
      <c r="B52">
        <v>14</v>
      </c>
      <c r="C52" t="str">
        <f t="shared" si="6"/>
        <v>0</v>
      </c>
      <c r="D52" t="str">
        <f t="shared" si="5"/>
        <v>000000000011100000010101001111000010101010</v>
      </c>
    </row>
    <row r="53" spans="1:4" x14ac:dyDescent="0.25">
      <c r="A53">
        <v>24</v>
      </c>
      <c r="B53">
        <v>6</v>
      </c>
      <c r="C53" t="str">
        <f t="shared" si="6"/>
        <v>0</v>
      </c>
      <c r="D53" t="str">
        <f t="shared" si="5"/>
        <v>00000000011100000010101001111000010101010</v>
      </c>
    </row>
    <row r="54" spans="1:4" x14ac:dyDescent="0.25">
      <c r="A54">
        <v>25</v>
      </c>
      <c r="B54">
        <v>64</v>
      </c>
      <c r="C54" t="str">
        <f t="shared" si="6"/>
        <v>0</v>
      </c>
      <c r="D54" t="str">
        <f t="shared" si="5"/>
        <v>0000000011100000010101001111000010101010</v>
      </c>
    </row>
    <row r="55" spans="1:4" x14ac:dyDescent="0.25">
      <c r="A55">
        <v>26</v>
      </c>
      <c r="B55">
        <v>56</v>
      </c>
      <c r="C55" t="str">
        <f t="shared" si="6"/>
        <v>0</v>
      </c>
      <c r="D55" t="str">
        <f t="shared" si="5"/>
        <v>000000011100000010101001111000010101010</v>
      </c>
    </row>
    <row r="56" spans="1:4" x14ac:dyDescent="0.25">
      <c r="A56">
        <v>27</v>
      </c>
      <c r="B56">
        <v>48</v>
      </c>
      <c r="C56" t="str">
        <f t="shared" si="6"/>
        <v>0</v>
      </c>
      <c r="D56" t="str">
        <f t="shared" si="5"/>
        <v>00000011100000010101001111000010101010</v>
      </c>
    </row>
    <row r="57" spans="1:4" x14ac:dyDescent="0.25">
      <c r="A57">
        <v>28</v>
      </c>
      <c r="B57">
        <v>40</v>
      </c>
      <c r="C57" t="str">
        <f t="shared" si="6"/>
        <v>0</v>
      </c>
      <c r="D57" t="str">
        <f t="shared" si="5"/>
        <v>0000011100000010101001111000010101010</v>
      </c>
    </row>
    <row r="58" spans="1:4" x14ac:dyDescent="0.25">
      <c r="A58">
        <v>29</v>
      </c>
      <c r="B58">
        <v>32</v>
      </c>
      <c r="C58" t="str">
        <f t="shared" si="6"/>
        <v>0</v>
      </c>
      <c r="D58" t="str">
        <f t="shared" si="5"/>
        <v>000011100000010101001111000010101010</v>
      </c>
    </row>
    <row r="59" spans="1:4" x14ac:dyDescent="0.25">
      <c r="A59">
        <v>30</v>
      </c>
      <c r="B59">
        <v>24</v>
      </c>
      <c r="C59" t="str">
        <f t="shared" si="6"/>
        <v>0</v>
      </c>
      <c r="D59" t="str">
        <f t="shared" si="5"/>
        <v>00011100000010101001111000010101010</v>
      </c>
    </row>
    <row r="60" spans="1:4" x14ac:dyDescent="0.25">
      <c r="A60">
        <v>31</v>
      </c>
      <c r="B60">
        <v>16</v>
      </c>
      <c r="C60" t="str">
        <f t="shared" si="6"/>
        <v>0</v>
      </c>
      <c r="D60" t="str">
        <f t="shared" si="5"/>
        <v>0011100000010101001111000010101010</v>
      </c>
    </row>
    <row r="61" spans="1:4" x14ac:dyDescent="0.25">
      <c r="A61">
        <v>32</v>
      </c>
      <c r="B61">
        <v>8</v>
      </c>
      <c r="C61" t="str">
        <f t="shared" si="6"/>
        <v>0</v>
      </c>
      <c r="D61" t="str">
        <f t="shared" si="5"/>
        <v>011100000010101001111000010101010</v>
      </c>
    </row>
    <row r="62" spans="1:4" x14ac:dyDescent="0.25">
      <c r="A62">
        <v>33</v>
      </c>
      <c r="B62">
        <v>57</v>
      </c>
      <c r="C62" t="str">
        <f t="shared" si="6"/>
        <v>1</v>
      </c>
      <c r="D62" t="str">
        <f t="shared" si="5"/>
        <v>11100000010101001111000010101010</v>
      </c>
    </row>
    <row r="63" spans="1:4" x14ac:dyDescent="0.25">
      <c r="A63">
        <v>34</v>
      </c>
      <c r="B63">
        <v>49</v>
      </c>
      <c r="C63" t="str">
        <f t="shared" si="6"/>
        <v>1</v>
      </c>
      <c r="D63" t="str">
        <f t="shared" si="5"/>
        <v>1100000010101001111000010101010</v>
      </c>
    </row>
    <row r="64" spans="1:4" x14ac:dyDescent="0.25">
      <c r="A64">
        <v>35</v>
      </c>
      <c r="B64">
        <v>41</v>
      </c>
      <c r="C64" t="str">
        <f t="shared" si="6"/>
        <v>1</v>
      </c>
      <c r="D64" t="str">
        <f t="shared" si="5"/>
        <v>100000010101001111000010101010</v>
      </c>
    </row>
    <row r="65" spans="1:4" x14ac:dyDescent="0.25">
      <c r="A65">
        <v>36</v>
      </c>
      <c r="B65">
        <v>33</v>
      </c>
      <c r="C65" t="str">
        <f t="shared" si="6"/>
        <v>0</v>
      </c>
      <c r="D65" t="str">
        <f t="shared" si="5"/>
        <v>00000010101001111000010101010</v>
      </c>
    </row>
    <row r="66" spans="1:4" x14ac:dyDescent="0.25">
      <c r="A66">
        <v>37</v>
      </c>
      <c r="B66">
        <v>25</v>
      </c>
      <c r="C66" t="str">
        <f t="shared" si="6"/>
        <v>0</v>
      </c>
      <c r="D66" t="str">
        <f t="shared" si="5"/>
        <v>0000010101001111000010101010</v>
      </c>
    </row>
    <row r="67" spans="1:4" x14ac:dyDescent="0.25">
      <c r="A67">
        <v>38</v>
      </c>
      <c r="B67">
        <v>17</v>
      </c>
      <c r="C67" t="str">
        <f t="shared" si="6"/>
        <v>0</v>
      </c>
      <c r="D67" t="str">
        <f t="shared" si="5"/>
        <v>000010101001111000010101010</v>
      </c>
    </row>
    <row r="68" spans="1:4" x14ac:dyDescent="0.25">
      <c r="A68">
        <v>39</v>
      </c>
      <c r="B68">
        <v>9</v>
      </c>
      <c r="C68" t="str">
        <f t="shared" si="6"/>
        <v>0</v>
      </c>
      <c r="D68" t="str">
        <f t="shared" si="5"/>
        <v>00010101001111000010101010</v>
      </c>
    </row>
    <row r="69" spans="1:4" x14ac:dyDescent="0.25">
      <c r="A69">
        <v>40</v>
      </c>
      <c r="B69">
        <v>1</v>
      </c>
      <c r="C69" t="str">
        <f t="shared" si="6"/>
        <v>0</v>
      </c>
      <c r="D69" t="str">
        <f t="shared" si="5"/>
        <v>0010101001111000010101010</v>
      </c>
    </row>
    <row r="70" spans="1:4" x14ac:dyDescent="0.25">
      <c r="A70">
        <v>41</v>
      </c>
      <c r="B70">
        <v>59</v>
      </c>
      <c r="C70" t="str">
        <f t="shared" si="6"/>
        <v>0</v>
      </c>
      <c r="D70" t="str">
        <f>C70&amp;D71</f>
        <v>010101001111000010101010</v>
      </c>
    </row>
    <row r="71" spans="1:4" x14ac:dyDescent="0.25">
      <c r="A71">
        <v>42</v>
      </c>
      <c r="B71">
        <v>51</v>
      </c>
      <c r="C71" t="str">
        <f t="shared" si="6"/>
        <v>1</v>
      </c>
      <c r="D71" t="str">
        <f t="shared" si="5"/>
        <v>10101001111000010101010</v>
      </c>
    </row>
    <row r="72" spans="1:4" x14ac:dyDescent="0.25">
      <c r="A72">
        <v>43</v>
      </c>
      <c r="B72">
        <v>43</v>
      </c>
      <c r="C72" t="str">
        <f t="shared" si="6"/>
        <v>0</v>
      </c>
      <c r="D72" t="str">
        <f t="shared" si="5"/>
        <v>0101001111000010101010</v>
      </c>
    </row>
    <row r="73" spans="1:4" x14ac:dyDescent="0.25">
      <c r="A73">
        <v>44</v>
      </c>
      <c r="B73">
        <v>35</v>
      </c>
      <c r="C73" t="str">
        <f t="shared" si="6"/>
        <v>1</v>
      </c>
      <c r="D73" t="str">
        <f t="shared" si="5"/>
        <v>101001111000010101010</v>
      </c>
    </row>
    <row r="74" spans="1:4" x14ac:dyDescent="0.25">
      <c r="A74">
        <v>45</v>
      </c>
      <c r="B74">
        <v>27</v>
      </c>
      <c r="C74" t="str">
        <f t="shared" si="6"/>
        <v>0</v>
      </c>
      <c r="D74" t="str">
        <f t="shared" si="5"/>
        <v>01001111000010101010</v>
      </c>
    </row>
    <row r="75" spans="1:4" x14ac:dyDescent="0.25">
      <c r="A75">
        <v>46</v>
      </c>
      <c r="B75">
        <v>19</v>
      </c>
      <c r="C75" t="str">
        <f t="shared" si="6"/>
        <v>1</v>
      </c>
      <c r="D75" t="str">
        <f t="shared" si="5"/>
        <v>1001111000010101010</v>
      </c>
    </row>
    <row r="76" spans="1:4" x14ac:dyDescent="0.25">
      <c r="A76">
        <v>47</v>
      </c>
      <c r="B76">
        <v>11</v>
      </c>
      <c r="C76" t="str">
        <f t="shared" si="6"/>
        <v>0</v>
      </c>
      <c r="D76" t="str">
        <f t="shared" si="5"/>
        <v>001111000010101010</v>
      </c>
    </row>
    <row r="77" spans="1:4" x14ac:dyDescent="0.25">
      <c r="A77">
        <v>48</v>
      </c>
      <c r="B77">
        <v>3</v>
      </c>
      <c r="C77" t="str">
        <f t="shared" si="6"/>
        <v>0</v>
      </c>
      <c r="D77" t="str">
        <f t="shared" si="5"/>
        <v>01111000010101010</v>
      </c>
    </row>
    <row r="78" spans="1:4" x14ac:dyDescent="0.25">
      <c r="A78">
        <v>49</v>
      </c>
      <c r="B78">
        <v>61</v>
      </c>
      <c r="C78" t="str">
        <f t="shared" si="6"/>
        <v>1</v>
      </c>
      <c r="D78" t="str">
        <f t="shared" si="5"/>
        <v>1111000010101010</v>
      </c>
    </row>
    <row r="79" spans="1:4" x14ac:dyDescent="0.25">
      <c r="A79">
        <v>50</v>
      </c>
      <c r="B79">
        <v>53</v>
      </c>
      <c r="C79" t="str">
        <f t="shared" si="6"/>
        <v>1</v>
      </c>
      <c r="D79" t="str">
        <f t="shared" si="5"/>
        <v>111000010101010</v>
      </c>
    </row>
    <row r="80" spans="1:4" x14ac:dyDescent="0.25">
      <c r="A80">
        <v>51</v>
      </c>
      <c r="B80">
        <v>45</v>
      </c>
      <c r="C80" t="str">
        <f t="shared" si="6"/>
        <v>1</v>
      </c>
      <c r="D80" t="str">
        <f t="shared" si="5"/>
        <v>11000010101010</v>
      </c>
    </row>
    <row r="81" spans="1:5" x14ac:dyDescent="0.25">
      <c r="A81">
        <v>52</v>
      </c>
      <c r="B81">
        <v>37</v>
      </c>
      <c r="C81" t="str">
        <f t="shared" si="6"/>
        <v>1</v>
      </c>
      <c r="D81" t="str">
        <f t="shared" si="5"/>
        <v>1000010101010</v>
      </c>
    </row>
    <row r="82" spans="1:5" x14ac:dyDescent="0.25">
      <c r="A82">
        <v>53</v>
      </c>
      <c r="B82">
        <v>29</v>
      </c>
      <c r="C82" t="str">
        <f t="shared" si="6"/>
        <v>0</v>
      </c>
      <c r="D82" t="str">
        <f t="shared" si="5"/>
        <v>000010101010</v>
      </c>
    </row>
    <row r="83" spans="1:5" x14ac:dyDescent="0.25">
      <c r="A83">
        <v>54</v>
      </c>
      <c r="B83">
        <v>21</v>
      </c>
      <c r="C83" t="str">
        <f t="shared" si="6"/>
        <v>0</v>
      </c>
      <c r="D83" t="str">
        <f t="shared" si="5"/>
        <v>00010101010</v>
      </c>
    </row>
    <row r="84" spans="1:5" x14ac:dyDescent="0.25">
      <c r="A84">
        <v>55</v>
      </c>
      <c r="B84">
        <v>13</v>
      </c>
      <c r="C84" t="str">
        <f t="shared" si="6"/>
        <v>0</v>
      </c>
      <c r="D84" t="str">
        <f t="shared" si="5"/>
        <v>0010101010</v>
      </c>
    </row>
    <row r="85" spans="1:5" x14ac:dyDescent="0.25">
      <c r="A85">
        <v>56</v>
      </c>
      <c r="B85">
        <v>5</v>
      </c>
      <c r="C85" t="str">
        <f t="shared" si="6"/>
        <v>0</v>
      </c>
      <c r="D85" t="str">
        <f t="shared" si="5"/>
        <v>010101010</v>
      </c>
    </row>
    <row r="86" spans="1:5" x14ac:dyDescent="0.25">
      <c r="A86">
        <v>57</v>
      </c>
      <c r="B86">
        <v>63</v>
      </c>
      <c r="C86" t="str">
        <f t="shared" si="6"/>
        <v>1</v>
      </c>
      <c r="D86" t="str">
        <f t="shared" si="5"/>
        <v>10101010</v>
      </c>
    </row>
    <row r="87" spans="1:5" x14ac:dyDescent="0.25">
      <c r="A87">
        <v>58</v>
      </c>
      <c r="B87">
        <v>55</v>
      </c>
      <c r="C87" t="str">
        <f t="shared" si="6"/>
        <v>0</v>
      </c>
      <c r="D87" t="str">
        <f t="shared" si="5"/>
        <v>0101010</v>
      </c>
    </row>
    <row r="88" spans="1:5" x14ac:dyDescent="0.25">
      <c r="A88">
        <v>59</v>
      </c>
      <c r="B88">
        <v>47</v>
      </c>
      <c r="C88" t="str">
        <f t="shared" si="6"/>
        <v>1</v>
      </c>
      <c r="D88" t="str">
        <f t="shared" si="5"/>
        <v>101010</v>
      </c>
    </row>
    <row r="89" spans="1:5" x14ac:dyDescent="0.25">
      <c r="A89">
        <v>60</v>
      </c>
      <c r="B89">
        <v>39</v>
      </c>
      <c r="C89" t="str">
        <f t="shared" si="6"/>
        <v>0</v>
      </c>
      <c r="D89" t="str">
        <f t="shared" si="5"/>
        <v>01010</v>
      </c>
    </row>
    <row r="90" spans="1:5" x14ac:dyDescent="0.25">
      <c r="A90">
        <v>61</v>
      </c>
      <c r="B90">
        <v>31</v>
      </c>
      <c r="C90" t="str">
        <f t="shared" si="6"/>
        <v>1</v>
      </c>
      <c r="D90" t="str">
        <f t="shared" si="5"/>
        <v>1010</v>
      </c>
    </row>
    <row r="91" spans="1:5" x14ac:dyDescent="0.25">
      <c r="A91">
        <v>62</v>
      </c>
      <c r="B91">
        <v>23</v>
      </c>
      <c r="C91" t="str">
        <f t="shared" si="6"/>
        <v>0</v>
      </c>
      <c r="D91" t="str">
        <f>C91&amp;D92</f>
        <v>010</v>
      </c>
    </row>
    <row r="92" spans="1:5" x14ac:dyDescent="0.25">
      <c r="A92">
        <v>63</v>
      </c>
      <c r="B92">
        <v>15</v>
      </c>
      <c r="C92" t="str">
        <f t="shared" si="6"/>
        <v>1</v>
      </c>
      <c r="D92" t="str">
        <f>C92&amp;C93</f>
        <v>10</v>
      </c>
    </row>
    <row r="93" spans="1:5" x14ac:dyDescent="0.25">
      <c r="A93">
        <v>64</v>
      </c>
      <c r="B93">
        <v>7</v>
      </c>
      <c r="C93" t="str">
        <f t="shared" si="6"/>
        <v>0</v>
      </c>
    </row>
    <row r="94" spans="1:5" x14ac:dyDescent="0.25">
      <c r="A94" t="s">
        <v>56</v>
      </c>
      <c r="B94" s="1" t="str">
        <f>LEFT(F29,32)</f>
        <v>10011000111111101100110000000000</v>
      </c>
      <c r="C94" s="1"/>
      <c r="D94" s="1"/>
      <c r="E94" s="1"/>
    </row>
    <row r="95" spans="1:5" x14ac:dyDescent="0.25">
      <c r="A95" t="s">
        <v>55</v>
      </c>
      <c r="B95" s="1" t="str">
        <f>RIGHT(F29,32)</f>
        <v>11100000010101001111000010101010</v>
      </c>
      <c r="C95" s="1"/>
      <c r="D95" s="1"/>
      <c r="E95" s="1"/>
    </row>
    <row r="97" spans="1:4" x14ac:dyDescent="0.25">
      <c r="A97" t="s">
        <v>5</v>
      </c>
      <c r="B97" t="s">
        <v>30</v>
      </c>
      <c r="C97" t="s">
        <v>18</v>
      </c>
    </row>
    <row r="98" spans="1:4" x14ac:dyDescent="0.25">
      <c r="A98">
        <v>1</v>
      </c>
      <c r="B98">
        <v>32</v>
      </c>
      <c r="C98" t="str">
        <f t="shared" ref="C98:C145" si="9">MID($B$95,B98,1)</f>
        <v>0</v>
      </c>
      <c r="D98" t="str">
        <f t="shared" ref="D98:D143" si="10">C98&amp;D99</f>
        <v>011100000000001010101001011110100001010101010101</v>
      </c>
    </row>
    <row r="99" spans="1:4" x14ac:dyDescent="0.25">
      <c r="A99">
        <v>2</v>
      </c>
      <c r="B99">
        <v>1</v>
      </c>
      <c r="C99" t="str">
        <f t="shared" si="9"/>
        <v>1</v>
      </c>
      <c r="D99" t="str">
        <f t="shared" si="10"/>
        <v>11100000000001010101001011110100001010101010101</v>
      </c>
    </row>
    <row r="100" spans="1:4" x14ac:dyDescent="0.25">
      <c r="A100">
        <v>3</v>
      </c>
      <c r="B100">
        <v>2</v>
      </c>
      <c r="C100" t="str">
        <f t="shared" si="9"/>
        <v>1</v>
      </c>
      <c r="D100" t="str">
        <f t="shared" si="10"/>
        <v>1100000000001010101001011110100001010101010101</v>
      </c>
    </row>
    <row r="101" spans="1:4" x14ac:dyDescent="0.25">
      <c r="A101">
        <v>4</v>
      </c>
      <c r="B101">
        <v>3</v>
      </c>
      <c r="C101" t="str">
        <f t="shared" si="9"/>
        <v>1</v>
      </c>
      <c r="D101" t="str">
        <f t="shared" si="10"/>
        <v>100000000001010101001011110100001010101010101</v>
      </c>
    </row>
    <row r="102" spans="1:4" x14ac:dyDescent="0.25">
      <c r="A102">
        <v>5</v>
      </c>
      <c r="B102">
        <v>4</v>
      </c>
      <c r="C102" t="str">
        <f t="shared" si="9"/>
        <v>0</v>
      </c>
      <c r="D102" t="str">
        <f t="shared" si="10"/>
        <v>00000000001010101001011110100001010101010101</v>
      </c>
    </row>
    <row r="103" spans="1:4" x14ac:dyDescent="0.25">
      <c r="A103">
        <v>6</v>
      </c>
      <c r="B103">
        <v>5</v>
      </c>
      <c r="C103" t="str">
        <f t="shared" si="9"/>
        <v>0</v>
      </c>
      <c r="D103" t="str">
        <f t="shared" si="10"/>
        <v>0000000001010101001011110100001010101010101</v>
      </c>
    </row>
    <row r="104" spans="1:4" x14ac:dyDescent="0.25">
      <c r="A104">
        <v>7</v>
      </c>
      <c r="B104">
        <v>4</v>
      </c>
      <c r="C104" t="str">
        <f t="shared" si="9"/>
        <v>0</v>
      </c>
      <c r="D104" t="str">
        <f t="shared" si="10"/>
        <v>000000001010101001011110100001010101010101</v>
      </c>
    </row>
    <row r="105" spans="1:4" x14ac:dyDescent="0.25">
      <c r="A105">
        <v>8</v>
      </c>
      <c r="B105">
        <v>5</v>
      </c>
      <c r="C105" t="str">
        <f t="shared" si="9"/>
        <v>0</v>
      </c>
      <c r="D105" t="str">
        <f t="shared" si="10"/>
        <v>00000001010101001011110100001010101010101</v>
      </c>
    </row>
    <row r="106" spans="1:4" x14ac:dyDescent="0.25">
      <c r="A106">
        <v>9</v>
      </c>
      <c r="B106">
        <v>6</v>
      </c>
      <c r="C106" t="str">
        <f t="shared" si="9"/>
        <v>0</v>
      </c>
      <c r="D106" t="str">
        <f t="shared" si="10"/>
        <v>0000001010101001011110100001010101010101</v>
      </c>
    </row>
    <row r="107" spans="1:4" x14ac:dyDescent="0.25">
      <c r="A107">
        <v>10</v>
      </c>
      <c r="B107">
        <v>7</v>
      </c>
      <c r="C107" t="str">
        <f t="shared" si="9"/>
        <v>0</v>
      </c>
      <c r="D107" t="str">
        <f t="shared" si="10"/>
        <v>000001010101001011110100001010101010101</v>
      </c>
    </row>
    <row r="108" spans="1:4" x14ac:dyDescent="0.25">
      <c r="A108">
        <v>11</v>
      </c>
      <c r="B108">
        <v>8</v>
      </c>
      <c r="C108" t="str">
        <f t="shared" si="9"/>
        <v>0</v>
      </c>
      <c r="D108" t="str">
        <f t="shared" si="10"/>
        <v>00001010101001011110100001010101010101</v>
      </c>
    </row>
    <row r="109" spans="1:4" x14ac:dyDescent="0.25">
      <c r="A109">
        <v>12</v>
      </c>
      <c r="B109">
        <v>9</v>
      </c>
      <c r="C109" t="str">
        <f t="shared" si="9"/>
        <v>0</v>
      </c>
      <c r="D109" t="str">
        <f t="shared" si="10"/>
        <v>0001010101001011110100001010101010101</v>
      </c>
    </row>
    <row r="110" spans="1:4" x14ac:dyDescent="0.25">
      <c r="A110">
        <v>13</v>
      </c>
      <c r="B110">
        <v>8</v>
      </c>
      <c r="C110" t="str">
        <f t="shared" si="9"/>
        <v>0</v>
      </c>
      <c r="D110" t="str">
        <f t="shared" si="10"/>
        <v>001010101001011110100001010101010101</v>
      </c>
    </row>
    <row r="111" spans="1:4" x14ac:dyDescent="0.25">
      <c r="A111">
        <v>14</v>
      </c>
      <c r="B111">
        <v>9</v>
      </c>
      <c r="C111" t="str">
        <f t="shared" si="9"/>
        <v>0</v>
      </c>
      <c r="D111" t="str">
        <f t="shared" si="10"/>
        <v>01010101001011110100001010101010101</v>
      </c>
    </row>
    <row r="112" spans="1:4" x14ac:dyDescent="0.25">
      <c r="A112">
        <v>15</v>
      </c>
      <c r="B112">
        <v>10</v>
      </c>
      <c r="C112" t="str">
        <f t="shared" si="9"/>
        <v>1</v>
      </c>
      <c r="D112" t="str">
        <f t="shared" si="10"/>
        <v>1010101001011110100001010101010101</v>
      </c>
    </row>
    <row r="113" spans="1:4" x14ac:dyDescent="0.25">
      <c r="A113">
        <v>16</v>
      </c>
      <c r="B113">
        <v>11</v>
      </c>
      <c r="C113" t="str">
        <f t="shared" si="9"/>
        <v>0</v>
      </c>
      <c r="D113" t="str">
        <f t="shared" si="10"/>
        <v>010101001011110100001010101010101</v>
      </c>
    </row>
    <row r="114" spans="1:4" x14ac:dyDescent="0.25">
      <c r="A114">
        <v>17</v>
      </c>
      <c r="B114">
        <v>12</v>
      </c>
      <c r="C114" t="str">
        <f t="shared" si="9"/>
        <v>1</v>
      </c>
      <c r="D114" t="str">
        <f t="shared" si="10"/>
        <v>10101001011110100001010101010101</v>
      </c>
    </row>
    <row r="115" spans="1:4" x14ac:dyDescent="0.25">
      <c r="A115">
        <v>18</v>
      </c>
      <c r="B115">
        <v>13</v>
      </c>
      <c r="C115" t="str">
        <f t="shared" si="9"/>
        <v>0</v>
      </c>
      <c r="D115" t="str">
        <f t="shared" si="10"/>
        <v>0101001011110100001010101010101</v>
      </c>
    </row>
    <row r="116" spans="1:4" x14ac:dyDescent="0.25">
      <c r="A116">
        <v>19</v>
      </c>
      <c r="B116">
        <v>12</v>
      </c>
      <c r="C116" t="str">
        <f t="shared" si="9"/>
        <v>1</v>
      </c>
      <c r="D116" t="str">
        <f t="shared" si="10"/>
        <v>101001011110100001010101010101</v>
      </c>
    </row>
    <row r="117" spans="1:4" x14ac:dyDescent="0.25">
      <c r="A117">
        <v>20</v>
      </c>
      <c r="B117">
        <v>13</v>
      </c>
      <c r="C117" t="str">
        <f t="shared" si="9"/>
        <v>0</v>
      </c>
      <c r="D117" t="str">
        <f t="shared" si="10"/>
        <v>01001011110100001010101010101</v>
      </c>
    </row>
    <row r="118" spans="1:4" x14ac:dyDescent="0.25">
      <c r="A118">
        <v>21</v>
      </c>
      <c r="B118">
        <v>14</v>
      </c>
      <c r="C118" t="str">
        <f t="shared" si="9"/>
        <v>1</v>
      </c>
      <c r="D118" t="str">
        <f t="shared" si="10"/>
        <v>1001011110100001010101010101</v>
      </c>
    </row>
    <row r="119" spans="1:4" x14ac:dyDescent="0.25">
      <c r="A119">
        <v>22</v>
      </c>
      <c r="B119">
        <v>15</v>
      </c>
      <c r="C119" t="str">
        <f t="shared" si="9"/>
        <v>0</v>
      </c>
      <c r="D119" t="str">
        <f t="shared" si="10"/>
        <v>001011110100001010101010101</v>
      </c>
    </row>
    <row r="120" spans="1:4" x14ac:dyDescent="0.25">
      <c r="A120">
        <v>23</v>
      </c>
      <c r="B120">
        <v>16</v>
      </c>
      <c r="C120" t="str">
        <f t="shared" si="9"/>
        <v>0</v>
      </c>
      <c r="D120" t="str">
        <f t="shared" si="10"/>
        <v>01011110100001010101010101</v>
      </c>
    </row>
    <row r="121" spans="1:4" x14ac:dyDescent="0.25">
      <c r="A121">
        <v>24</v>
      </c>
      <c r="B121">
        <v>17</v>
      </c>
      <c r="C121" t="str">
        <f t="shared" si="9"/>
        <v>1</v>
      </c>
      <c r="D121" t="str">
        <f t="shared" si="10"/>
        <v>1011110100001010101010101</v>
      </c>
    </row>
    <row r="122" spans="1:4" x14ac:dyDescent="0.25">
      <c r="A122">
        <v>25</v>
      </c>
      <c r="B122">
        <v>16</v>
      </c>
      <c r="C122" t="str">
        <f t="shared" si="9"/>
        <v>0</v>
      </c>
      <c r="D122" t="str">
        <f t="shared" si="10"/>
        <v>011110100001010101010101</v>
      </c>
    </row>
    <row r="123" spans="1:4" x14ac:dyDescent="0.25">
      <c r="A123">
        <v>26</v>
      </c>
      <c r="B123">
        <v>17</v>
      </c>
      <c r="C123" t="str">
        <f t="shared" si="9"/>
        <v>1</v>
      </c>
      <c r="D123" t="str">
        <f t="shared" si="10"/>
        <v>11110100001010101010101</v>
      </c>
    </row>
    <row r="124" spans="1:4" x14ac:dyDescent="0.25">
      <c r="A124">
        <v>27</v>
      </c>
      <c r="B124">
        <v>18</v>
      </c>
      <c r="C124" t="str">
        <f t="shared" si="9"/>
        <v>1</v>
      </c>
      <c r="D124" t="str">
        <f t="shared" si="10"/>
        <v>1110100001010101010101</v>
      </c>
    </row>
    <row r="125" spans="1:4" x14ac:dyDescent="0.25">
      <c r="A125">
        <v>28</v>
      </c>
      <c r="B125">
        <v>19</v>
      </c>
      <c r="C125" t="str">
        <f t="shared" si="9"/>
        <v>1</v>
      </c>
      <c r="D125" t="str">
        <f t="shared" si="10"/>
        <v>110100001010101010101</v>
      </c>
    </row>
    <row r="126" spans="1:4" x14ac:dyDescent="0.25">
      <c r="A126">
        <v>29</v>
      </c>
      <c r="B126">
        <v>20</v>
      </c>
      <c r="C126" t="str">
        <f t="shared" si="9"/>
        <v>1</v>
      </c>
      <c r="D126" t="str">
        <f t="shared" si="10"/>
        <v>10100001010101010101</v>
      </c>
    </row>
    <row r="127" spans="1:4" x14ac:dyDescent="0.25">
      <c r="A127">
        <v>30</v>
      </c>
      <c r="B127">
        <v>21</v>
      </c>
      <c r="C127" t="str">
        <f t="shared" si="9"/>
        <v>0</v>
      </c>
      <c r="D127" t="str">
        <f t="shared" si="10"/>
        <v>0100001010101010101</v>
      </c>
    </row>
    <row r="128" spans="1:4" x14ac:dyDescent="0.25">
      <c r="A128">
        <v>31</v>
      </c>
      <c r="B128">
        <v>20</v>
      </c>
      <c r="C128" t="str">
        <f t="shared" si="9"/>
        <v>1</v>
      </c>
      <c r="D128" t="str">
        <f t="shared" si="10"/>
        <v>100001010101010101</v>
      </c>
    </row>
    <row r="129" spans="1:4" x14ac:dyDescent="0.25">
      <c r="A129">
        <v>32</v>
      </c>
      <c r="B129">
        <v>21</v>
      </c>
      <c r="C129" t="str">
        <f t="shared" si="9"/>
        <v>0</v>
      </c>
      <c r="D129" t="str">
        <f t="shared" si="10"/>
        <v>00001010101010101</v>
      </c>
    </row>
    <row r="130" spans="1:4" x14ac:dyDescent="0.25">
      <c r="A130">
        <v>33</v>
      </c>
      <c r="B130">
        <v>22</v>
      </c>
      <c r="C130" t="str">
        <f t="shared" si="9"/>
        <v>0</v>
      </c>
      <c r="D130" t="str">
        <f t="shared" si="10"/>
        <v>0001010101010101</v>
      </c>
    </row>
    <row r="131" spans="1:4" x14ac:dyDescent="0.25">
      <c r="A131">
        <v>34</v>
      </c>
      <c r="B131">
        <v>23</v>
      </c>
      <c r="C131" t="str">
        <f t="shared" si="9"/>
        <v>0</v>
      </c>
      <c r="D131" t="str">
        <f t="shared" si="10"/>
        <v>001010101010101</v>
      </c>
    </row>
    <row r="132" spans="1:4" x14ac:dyDescent="0.25">
      <c r="A132">
        <v>35</v>
      </c>
      <c r="B132">
        <v>24</v>
      </c>
      <c r="C132" t="str">
        <f t="shared" si="9"/>
        <v>0</v>
      </c>
      <c r="D132" t="str">
        <f t="shared" si="10"/>
        <v>01010101010101</v>
      </c>
    </row>
    <row r="133" spans="1:4" x14ac:dyDescent="0.25">
      <c r="A133">
        <v>36</v>
      </c>
      <c r="B133">
        <v>25</v>
      </c>
      <c r="C133" t="str">
        <f t="shared" si="9"/>
        <v>1</v>
      </c>
      <c r="D133" t="str">
        <f t="shared" si="10"/>
        <v>1010101010101</v>
      </c>
    </row>
    <row r="134" spans="1:4" x14ac:dyDescent="0.25">
      <c r="A134">
        <v>37</v>
      </c>
      <c r="B134">
        <v>24</v>
      </c>
      <c r="C134" t="str">
        <f t="shared" si="9"/>
        <v>0</v>
      </c>
      <c r="D134" t="str">
        <f t="shared" si="10"/>
        <v>010101010101</v>
      </c>
    </row>
    <row r="135" spans="1:4" x14ac:dyDescent="0.25">
      <c r="A135">
        <v>38</v>
      </c>
      <c r="B135">
        <v>25</v>
      </c>
      <c r="C135" t="str">
        <f t="shared" si="9"/>
        <v>1</v>
      </c>
      <c r="D135" t="str">
        <f t="shared" si="10"/>
        <v>10101010101</v>
      </c>
    </row>
    <row r="136" spans="1:4" x14ac:dyDescent="0.25">
      <c r="A136">
        <v>39</v>
      </c>
      <c r="B136">
        <v>26</v>
      </c>
      <c r="C136" t="str">
        <f t="shared" si="9"/>
        <v>0</v>
      </c>
      <c r="D136" t="str">
        <f t="shared" si="10"/>
        <v>0101010101</v>
      </c>
    </row>
    <row r="137" spans="1:4" x14ac:dyDescent="0.25">
      <c r="A137">
        <v>40</v>
      </c>
      <c r="B137">
        <v>27</v>
      </c>
      <c r="C137" t="str">
        <f t="shared" si="9"/>
        <v>1</v>
      </c>
      <c r="D137" t="str">
        <f t="shared" si="10"/>
        <v>101010101</v>
      </c>
    </row>
    <row r="138" spans="1:4" x14ac:dyDescent="0.25">
      <c r="A138">
        <v>41</v>
      </c>
      <c r="B138">
        <v>28</v>
      </c>
      <c r="C138" t="str">
        <f t="shared" si="9"/>
        <v>0</v>
      </c>
      <c r="D138" t="str">
        <f t="shared" si="10"/>
        <v>01010101</v>
      </c>
    </row>
    <row r="139" spans="1:4" x14ac:dyDescent="0.25">
      <c r="A139">
        <v>42</v>
      </c>
      <c r="B139">
        <v>29</v>
      </c>
      <c r="C139" t="str">
        <f t="shared" si="9"/>
        <v>1</v>
      </c>
      <c r="D139" t="str">
        <f t="shared" si="10"/>
        <v>1010101</v>
      </c>
    </row>
    <row r="140" spans="1:4" x14ac:dyDescent="0.25">
      <c r="A140">
        <v>43</v>
      </c>
      <c r="B140">
        <v>28</v>
      </c>
      <c r="C140" t="str">
        <f t="shared" si="9"/>
        <v>0</v>
      </c>
      <c r="D140" t="str">
        <f t="shared" si="10"/>
        <v>010101</v>
      </c>
    </row>
    <row r="141" spans="1:4" x14ac:dyDescent="0.25">
      <c r="A141">
        <v>44</v>
      </c>
      <c r="B141">
        <v>29</v>
      </c>
      <c r="C141" t="str">
        <f t="shared" si="9"/>
        <v>1</v>
      </c>
      <c r="D141" t="str">
        <f t="shared" si="10"/>
        <v>10101</v>
      </c>
    </row>
    <row r="142" spans="1:4" x14ac:dyDescent="0.25">
      <c r="A142">
        <v>45</v>
      </c>
      <c r="B142">
        <v>30</v>
      </c>
      <c r="C142" t="str">
        <f t="shared" si="9"/>
        <v>0</v>
      </c>
      <c r="D142" t="str">
        <f t="shared" si="10"/>
        <v>0101</v>
      </c>
    </row>
    <row r="143" spans="1:4" x14ac:dyDescent="0.25">
      <c r="A143">
        <v>46</v>
      </c>
      <c r="B143">
        <v>31</v>
      </c>
      <c r="C143" t="str">
        <f t="shared" si="9"/>
        <v>1</v>
      </c>
      <c r="D143" t="str">
        <f t="shared" si="10"/>
        <v>101</v>
      </c>
    </row>
    <row r="144" spans="1:4" x14ac:dyDescent="0.25">
      <c r="A144">
        <v>47</v>
      </c>
      <c r="B144">
        <v>32</v>
      </c>
      <c r="C144" t="str">
        <f t="shared" si="9"/>
        <v>0</v>
      </c>
      <c r="D144" t="str">
        <f>C144&amp;C145</f>
        <v>01</v>
      </c>
    </row>
    <row r="145" spans="1:10" x14ac:dyDescent="0.25">
      <c r="A145">
        <v>48</v>
      </c>
      <c r="B145">
        <v>1</v>
      </c>
      <c r="C145" t="str">
        <f t="shared" si="9"/>
        <v>1</v>
      </c>
    </row>
    <row r="147" spans="1:10" x14ac:dyDescent="0.25">
      <c r="A147" t="s">
        <v>31</v>
      </c>
      <c r="B147" t="s">
        <v>32</v>
      </c>
    </row>
    <row r="149" spans="1:10" x14ac:dyDescent="0.25">
      <c r="A149" s="7" t="s">
        <v>7</v>
      </c>
      <c r="B149" s="7" t="s">
        <v>7</v>
      </c>
      <c r="C149" s="7" t="s">
        <v>8</v>
      </c>
    </row>
    <row r="150" spans="1:10" x14ac:dyDescent="0.25">
      <c r="A150" s="7">
        <v>1</v>
      </c>
      <c r="B150" s="7" t="str">
        <f t="shared" ref="B150:B155" si="11">MID($D$98,(A150-1)*8+1,8)</f>
        <v>01110000</v>
      </c>
      <c r="C150" s="7" t="str">
        <f t="shared" ref="C150:C155" si="12">BIN2HEX(B150,2)</f>
        <v>70</v>
      </c>
    </row>
    <row r="151" spans="1:10" x14ac:dyDescent="0.25">
      <c r="A151" s="7">
        <v>2</v>
      </c>
      <c r="B151" s="7" t="str">
        <f t="shared" si="11"/>
        <v>00000010</v>
      </c>
      <c r="C151" s="7" t="str">
        <f t="shared" si="12"/>
        <v>02</v>
      </c>
    </row>
    <row r="152" spans="1:10" x14ac:dyDescent="0.25">
      <c r="A152" s="7">
        <v>3</v>
      </c>
      <c r="B152" s="7" t="str">
        <f t="shared" si="11"/>
        <v>10101001</v>
      </c>
      <c r="C152" s="7" t="str">
        <f t="shared" si="12"/>
        <v>A9</v>
      </c>
    </row>
    <row r="153" spans="1:10" x14ac:dyDescent="0.25">
      <c r="A153" s="7">
        <v>4</v>
      </c>
      <c r="B153" s="7" t="str">
        <f t="shared" si="11"/>
        <v>01111010</v>
      </c>
      <c r="C153" s="7" t="str">
        <f t="shared" si="12"/>
        <v>7A</v>
      </c>
    </row>
    <row r="154" spans="1:10" x14ac:dyDescent="0.25">
      <c r="A154" s="7">
        <v>5</v>
      </c>
      <c r="B154" s="7" t="str">
        <f t="shared" si="11"/>
        <v>00010101</v>
      </c>
      <c r="C154" s="7" t="str">
        <f t="shared" si="12"/>
        <v>15</v>
      </c>
    </row>
    <row r="155" spans="1:10" x14ac:dyDescent="0.25">
      <c r="A155" s="7">
        <v>6</v>
      </c>
      <c r="B155" s="7" t="str">
        <f t="shared" si="11"/>
        <v>01010101</v>
      </c>
      <c r="C155" s="7" t="str">
        <f t="shared" si="12"/>
        <v>55</v>
      </c>
    </row>
    <row r="156" spans="1:10" x14ac:dyDescent="0.25">
      <c r="A156" t="s">
        <v>33</v>
      </c>
    </row>
    <row r="158" spans="1:10" x14ac:dyDescent="0.25">
      <c r="A158" s="7" t="s">
        <v>7</v>
      </c>
      <c r="B158" s="7" t="s">
        <v>7</v>
      </c>
      <c r="C158" s="7" t="s">
        <v>8</v>
      </c>
      <c r="G158" s="7" t="s">
        <v>7</v>
      </c>
      <c r="H158" s="7" t="s">
        <v>7</v>
      </c>
      <c r="I158" s="7" t="s">
        <v>8</v>
      </c>
    </row>
    <row r="159" spans="1:10" x14ac:dyDescent="0.25">
      <c r="A159" s="7">
        <v>1</v>
      </c>
      <c r="B159" s="7" t="str">
        <f>MID($D$1,(A159-1)*8+1,8)</f>
        <v>00011011</v>
      </c>
      <c r="C159" s="7" t="str">
        <f>BIN2HEX(B159,2)</f>
        <v>1B</v>
      </c>
      <c r="D159">
        <f>BIN2DEC(B159)</f>
        <v>27</v>
      </c>
      <c r="G159" s="7">
        <v>1</v>
      </c>
      <c r="H159" s="7" t="str">
        <f t="shared" ref="H159:H164" si="13">MID($D$98,(G159-1)*8+1,8)</f>
        <v>01110000</v>
      </c>
      <c r="I159" s="7" t="str">
        <f>BIN2HEX(H159,2)</f>
        <v>70</v>
      </c>
      <c r="J159">
        <f>BIN2DEC(H159)</f>
        <v>112</v>
      </c>
    </row>
    <row r="160" spans="1:10" x14ac:dyDescent="0.25">
      <c r="A160" s="7">
        <v>2</v>
      </c>
      <c r="B160" s="7" t="str">
        <f t="shared" ref="B160:B164" si="14">MID($D$1,(A160-1)*8+1,8)</f>
        <v>00000010</v>
      </c>
      <c r="C160" s="7" t="str">
        <f t="shared" ref="C160:C164" si="15">BIN2HEX(B160,2)</f>
        <v>02</v>
      </c>
      <c r="D160">
        <f t="shared" ref="D160:D164" si="16">BIN2DEC(B160)</f>
        <v>2</v>
      </c>
      <c r="G160" s="7">
        <v>2</v>
      </c>
      <c r="H160" s="7" t="str">
        <f t="shared" si="13"/>
        <v>00000010</v>
      </c>
      <c r="I160" s="7" t="str">
        <f t="shared" ref="I160:I164" si="17">BIN2HEX(H160,2)</f>
        <v>02</v>
      </c>
      <c r="J160">
        <f t="shared" ref="J160:J164" si="18">BIN2DEC(H160)</f>
        <v>2</v>
      </c>
    </row>
    <row r="161" spans="1:10" x14ac:dyDescent="0.25">
      <c r="A161" s="7">
        <v>3</v>
      </c>
      <c r="B161" s="7" t="str">
        <f t="shared" si="14"/>
        <v>11101111</v>
      </c>
      <c r="C161" s="7" t="str">
        <f t="shared" si="15"/>
        <v>EF</v>
      </c>
      <c r="D161">
        <f t="shared" si="16"/>
        <v>239</v>
      </c>
      <c r="G161" s="7">
        <v>3</v>
      </c>
      <c r="H161" s="7" t="str">
        <f t="shared" si="13"/>
        <v>10101001</v>
      </c>
      <c r="I161" s="7" t="str">
        <f t="shared" si="17"/>
        <v>A9</v>
      </c>
      <c r="J161">
        <f t="shared" si="18"/>
        <v>169</v>
      </c>
    </row>
    <row r="162" spans="1:10" x14ac:dyDescent="0.25">
      <c r="A162" s="7">
        <v>4</v>
      </c>
      <c r="B162" s="7" t="str">
        <f t="shared" si="14"/>
        <v>11011011</v>
      </c>
      <c r="C162" s="7" t="str">
        <f t="shared" si="15"/>
        <v>DB</v>
      </c>
      <c r="D162">
        <f t="shared" si="16"/>
        <v>219</v>
      </c>
      <c r="G162" s="7">
        <v>4</v>
      </c>
      <c r="H162" s="7" t="str">
        <f t="shared" si="13"/>
        <v>01111010</v>
      </c>
      <c r="I162" s="7" t="str">
        <f t="shared" si="17"/>
        <v>7A</v>
      </c>
      <c r="J162">
        <f t="shared" si="18"/>
        <v>122</v>
      </c>
    </row>
    <row r="163" spans="1:10" x14ac:dyDescent="0.25">
      <c r="A163" s="7">
        <v>5</v>
      </c>
      <c r="B163" s="7" t="str">
        <f t="shared" si="14"/>
        <v>01001001</v>
      </c>
      <c r="C163" s="7" t="str">
        <f t="shared" si="15"/>
        <v>49</v>
      </c>
      <c r="D163">
        <f t="shared" si="16"/>
        <v>73</v>
      </c>
      <c r="G163" s="7">
        <v>5</v>
      </c>
      <c r="H163" s="7" t="str">
        <f t="shared" si="13"/>
        <v>00010101</v>
      </c>
      <c r="I163" s="7" t="str">
        <f t="shared" si="17"/>
        <v>15</v>
      </c>
      <c r="J163">
        <f t="shared" si="18"/>
        <v>21</v>
      </c>
    </row>
    <row r="164" spans="1:10" x14ac:dyDescent="0.25">
      <c r="A164" s="7">
        <v>6</v>
      </c>
      <c r="B164" s="7" t="str">
        <f t="shared" si="14"/>
        <v>10100101</v>
      </c>
      <c r="C164" s="7" t="str">
        <f t="shared" si="15"/>
        <v>A5</v>
      </c>
      <c r="D164">
        <f t="shared" si="16"/>
        <v>165</v>
      </c>
      <c r="G164" s="7">
        <v>6</v>
      </c>
      <c r="H164" s="7" t="str">
        <f t="shared" si="13"/>
        <v>01010101</v>
      </c>
      <c r="I164" s="7" t="str">
        <f t="shared" si="17"/>
        <v>55</v>
      </c>
      <c r="J164">
        <f t="shared" si="18"/>
        <v>85</v>
      </c>
    </row>
    <row r="166" spans="1:10" x14ac:dyDescent="0.25">
      <c r="A166" s="10" t="s">
        <v>5</v>
      </c>
      <c r="B166" s="10" t="s">
        <v>34</v>
      </c>
      <c r="C166" s="10" t="s">
        <v>35</v>
      </c>
      <c r="D166" s="10" t="s">
        <v>8</v>
      </c>
    </row>
    <row r="167" spans="1:10" x14ac:dyDescent="0.25">
      <c r="A167" s="11">
        <v>1</v>
      </c>
      <c r="B167" s="10">
        <f>_xlfn.BITXOR(D159,J159)</f>
        <v>107</v>
      </c>
      <c r="C167" s="10" t="str">
        <f>DEC2BIN(B167,8)</f>
        <v>01101011</v>
      </c>
      <c r="D167" s="10" t="str">
        <f>DEC2HEX(B167,2)</f>
        <v>6B</v>
      </c>
    </row>
    <row r="168" spans="1:10" x14ac:dyDescent="0.25">
      <c r="A168" s="11">
        <v>2</v>
      </c>
      <c r="B168" s="10">
        <f>_xlfn.BITXOR(D160,J160)</f>
        <v>0</v>
      </c>
      <c r="C168" s="10" t="str">
        <f t="shared" ref="C168:C172" si="19">DEC2BIN(B168,8)</f>
        <v>00000000</v>
      </c>
      <c r="D168" s="10" t="str">
        <f t="shared" ref="D168:D172" si="20">DEC2HEX(B168,2)</f>
        <v>00</v>
      </c>
    </row>
    <row r="169" spans="1:10" x14ac:dyDescent="0.25">
      <c r="A169" s="11">
        <v>3</v>
      </c>
      <c r="B169" s="10">
        <f t="shared" ref="B169:B172" si="21">_xlfn.BITXOR(D161,J161)</f>
        <v>70</v>
      </c>
      <c r="C169" s="10" t="str">
        <f t="shared" si="19"/>
        <v>01000110</v>
      </c>
      <c r="D169" s="10" t="str">
        <f t="shared" si="20"/>
        <v>46</v>
      </c>
    </row>
    <row r="170" spans="1:10" x14ac:dyDescent="0.25">
      <c r="A170" s="11">
        <v>4</v>
      </c>
      <c r="B170" s="10">
        <f t="shared" si="21"/>
        <v>161</v>
      </c>
      <c r="C170" s="10" t="str">
        <f t="shared" si="19"/>
        <v>10100001</v>
      </c>
      <c r="D170" s="10" t="str">
        <f t="shared" si="20"/>
        <v>A1</v>
      </c>
    </row>
    <row r="171" spans="1:10" x14ac:dyDescent="0.25">
      <c r="A171" s="11">
        <v>5</v>
      </c>
      <c r="B171" s="10">
        <f t="shared" si="21"/>
        <v>92</v>
      </c>
      <c r="C171" s="10" t="str">
        <f t="shared" si="19"/>
        <v>01011100</v>
      </c>
      <c r="D171" s="10" t="str">
        <f t="shared" si="20"/>
        <v>5C</v>
      </c>
    </row>
    <row r="172" spans="1:10" x14ac:dyDescent="0.25">
      <c r="A172" s="11">
        <v>6</v>
      </c>
      <c r="B172" s="10">
        <f t="shared" si="21"/>
        <v>240</v>
      </c>
      <c r="C172" s="10" t="str">
        <f t="shared" si="19"/>
        <v>11110000</v>
      </c>
      <c r="D172" s="10" t="str">
        <f t="shared" si="20"/>
        <v>F0</v>
      </c>
    </row>
    <row r="174" spans="1:10" ht="21" x14ac:dyDescent="0.35">
      <c r="B174" t="s">
        <v>233</v>
      </c>
      <c r="D174" s="8" t="str">
        <f>C167&amp;C168&amp;C169&amp;C170&amp;C171&amp;C172</f>
        <v>011010110000000001000110101000010101110011110000</v>
      </c>
      <c r="E174" s="8"/>
      <c r="F174" s="8"/>
      <c r="G174" s="8"/>
      <c r="H174" s="8"/>
      <c r="I174" s="8"/>
    </row>
    <row r="176" spans="1:10" x14ac:dyDescent="0.25">
      <c r="A176" s="10" t="s">
        <v>36</v>
      </c>
      <c r="B176" s="10"/>
      <c r="C176" s="10" t="s">
        <v>37</v>
      </c>
      <c r="D176" s="10" t="s">
        <v>38</v>
      </c>
      <c r="E176" s="10"/>
      <c r="F176" s="10" t="s">
        <v>39</v>
      </c>
      <c r="G176" s="10"/>
      <c r="H176" s="10" t="s">
        <v>49</v>
      </c>
      <c r="I176" s="10" t="s">
        <v>35</v>
      </c>
    </row>
    <row r="177" spans="1:10" x14ac:dyDescent="0.25">
      <c r="A177" s="10">
        <v>1</v>
      </c>
      <c r="B177" s="10" t="str">
        <f t="shared" ref="B177:B184" si="22">MID($D$174,(A177-1)*6+1,6)</f>
        <v>011010</v>
      </c>
      <c r="C177" s="10" t="str">
        <f>LEFT(B177,1)&amp;RIGHT(B177,1)</f>
        <v>00</v>
      </c>
      <c r="D177" s="10" t="str">
        <f>MID(B177,2,4)</f>
        <v>1101</v>
      </c>
      <c r="E177" s="10" t="str">
        <f>C177&amp;D177</f>
        <v>001101</v>
      </c>
      <c r="F177" s="10">
        <f>BIN2DEC(E177)</f>
        <v>13</v>
      </c>
      <c r="G177" s="10"/>
      <c r="H177" s="10">
        <f>VLOOKUP(F177,$A$187:$I$250,2,TRUE)</f>
        <v>9</v>
      </c>
      <c r="I177" s="10" t="str">
        <f>DEC2BIN(H177,4)</f>
        <v>1001</v>
      </c>
      <c r="J177" t="str">
        <f t="shared" ref="J177:J181" si="23">I177&amp;J178</f>
        <v>10010101110100111010110101010000</v>
      </c>
    </row>
    <row r="178" spans="1:10" x14ac:dyDescent="0.25">
      <c r="A178" s="10">
        <v>2</v>
      </c>
      <c r="B178" s="10" t="str">
        <f t="shared" si="22"/>
        <v>110000</v>
      </c>
      <c r="C178" s="10" t="str">
        <f t="shared" ref="C178:C184" si="24">LEFT(B178,1)&amp;RIGHT(B178,1)</f>
        <v>10</v>
      </c>
      <c r="D178" s="10" t="str">
        <f t="shared" ref="D178:D184" si="25">MID(B178,2,4)</f>
        <v>1000</v>
      </c>
      <c r="E178" s="10" t="str">
        <f t="shared" ref="E178:E184" si="26">C178&amp;D178</f>
        <v>101000</v>
      </c>
      <c r="F178" s="10">
        <f>BIN2DEC(E178)</f>
        <v>40</v>
      </c>
      <c r="G178" s="10"/>
      <c r="H178" s="10">
        <f>VLOOKUP(F178,$A$187:$I$250,3,TRUE)</f>
        <v>5</v>
      </c>
      <c r="I178" s="10" t="str">
        <f t="shared" ref="I178:I184" si="27">DEC2BIN(H178,4)</f>
        <v>0101</v>
      </c>
      <c r="J178" t="str">
        <f t="shared" si="23"/>
        <v>0101110100111010110101010000</v>
      </c>
    </row>
    <row r="179" spans="1:10" x14ac:dyDescent="0.25">
      <c r="A179" s="10">
        <v>3</v>
      </c>
      <c r="B179" s="10" t="str">
        <f t="shared" si="22"/>
        <v>000001</v>
      </c>
      <c r="C179" s="10" t="str">
        <f t="shared" si="24"/>
        <v>01</v>
      </c>
      <c r="D179" s="10" t="str">
        <f t="shared" si="25"/>
        <v>0000</v>
      </c>
      <c r="E179" s="10" t="str">
        <f t="shared" si="26"/>
        <v>010000</v>
      </c>
      <c r="F179" s="10">
        <f t="shared" ref="F179:F184" si="28">BIN2DEC(E179)</f>
        <v>16</v>
      </c>
      <c r="G179" s="10"/>
      <c r="H179" s="10">
        <f>VLOOKUP(F179,$A$187:$I$250,4,TRUE)</f>
        <v>13</v>
      </c>
      <c r="I179" s="10" t="str">
        <f t="shared" si="27"/>
        <v>1101</v>
      </c>
      <c r="J179" t="str">
        <f t="shared" si="23"/>
        <v>110100111010110101010000</v>
      </c>
    </row>
    <row r="180" spans="1:10" x14ac:dyDescent="0.25">
      <c r="A180" s="10">
        <v>4</v>
      </c>
      <c r="B180" s="10" t="str">
        <f t="shared" si="22"/>
        <v>000110</v>
      </c>
      <c r="C180" s="10" t="str">
        <f t="shared" si="24"/>
        <v>00</v>
      </c>
      <c r="D180" s="10" t="str">
        <f t="shared" si="25"/>
        <v>0011</v>
      </c>
      <c r="E180" s="10" t="str">
        <f t="shared" si="26"/>
        <v>000011</v>
      </c>
      <c r="F180" s="10">
        <f t="shared" si="28"/>
        <v>3</v>
      </c>
      <c r="G180" s="10"/>
      <c r="H180" s="10">
        <f>VLOOKUP(F180,$A$187:$I$250,5,TRUE)</f>
        <v>3</v>
      </c>
      <c r="I180" s="10" t="str">
        <f t="shared" si="27"/>
        <v>0011</v>
      </c>
      <c r="J180" t="str">
        <f t="shared" si="23"/>
        <v>00111010110101010000</v>
      </c>
    </row>
    <row r="181" spans="1:10" x14ac:dyDescent="0.25">
      <c r="A181" s="10">
        <v>5</v>
      </c>
      <c r="B181" s="10" t="str">
        <f t="shared" si="22"/>
        <v>101000</v>
      </c>
      <c r="C181" s="10" t="str">
        <f t="shared" si="24"/>
        <v>10</v>
      </c>
      <c r="D181" s="10" t="str">
        <f t="shared" si="25"/>
        <v>0100</v>
      </c>
      <c r="E181" s="10" t="str">
        <f t="shared" si="26"/>
        <v>100100</v>
      </c>
      <c r="F181" s="10">
        <f t="shared" si="28"/>
        <v>36</v>
      </c>
      <c r="G181" s="10"/>
      <c r="H181" s="10">
        <f>VLOOKUP(F181,$A$187:$I$250,6,TRUE)</f>
        <v>10</v>
      </c>
      <c r="I181" s="10" t="str">
        <f t="shared" si="27"/>
        <v>1010</v>
      </c>
      <c r="J181" t="str">
        <f t="shared" si="23"/>
        <v>1010110101010000</v>
      </c>
    </row>
    <row r="182" spans="1:10" x14ac:dyDescent="0.25">
      <c r="A182" s="10">
        <v>6</v>
      </c>
      <c r="B182" s="10" t="str">
        <f t="shared" si="22"/>
        <v>010101</v>
      </c>
      <c r="C182" s="10" t="str">
        <f t="shared" si="24"/>
        <v>01</v>
      </c>
      <c r="D182" s="10" t="str">
        <f t="shared" si="25"/>
        <v>1010</v>
      </c>
      <c r="E182" s="10" t="str">
        <f t="shared" si="26"/>
        <v>011010</v>
      </c>
      <c r="F182" s="10">
        <f t="shared" si="28"/>
        <v>26</v>
      </c>
      <c r="G182" s="10"/>
      <c r="H182" s="10">
        <f>VLOOKUP(F182,$A$187:$I$250,7,TRUE)</f>
        <v>13</v>
      </c>
      <c r="I182" s="10" t="str">
        <f t="shared" si="27"/>
        <v>1101</v>
      </c>
      <c r="J182" t="str">
        <f>I182&amp;J183</f>
        <v>110101010000</v>
      </c>
    </row>
    <row r="183" spans="1:10" x14ac:dyDescent="0.25">
      <c r="A183" s="10">
        <v>7</v>
      </c>
      <c r="B183" s="10" t="str">
        <f t="shared" si="22"/>
        <v>110011</v>
      </c>
      <c r="C183" s="10" t="str">
        <f t="shared" si="24"/>
        <v>11</v>
      </c>
      <c r="D183" s="10" t="str">
        <f t="shared" si="25"/>
        <v>1001</v>
      </c>
      <c r="E183" s="10" t="str">
        <f t="shared" si="26"/>
        <v>111001</v>
      </c>
      <c r="F183" s="10">
        <f t="shared" si="28"/>
        <v>57</v>
      </c>
      <c r="G183" s="10"/>
      <c r="H183" s="10">
        <f>VLOOKUP(F183,$A$187:$I$250,8,TRUE)</f>
        <v>5</v>
      </c>
      <c r="I183" s="10" t="str">
        <f t="shared" si="27"/>
        <v>0101</v>
      </c>
      <c r="J183" t="str">
        <f>I183&amp;I184</f>
        <v>01010000</v>
      </c>
    </row>
    <row r="184" spans="1:10" x14ac:dyDescent="0.25">
      <c r="A184" s="10">
        <v>8</v>
      </c>
      <c r="B184" s="10" t="str">
        <f t="shared" si="22"/>
        <v>110000</v>
      </c>
      <c r="C184" s="10" t="str">
        <f t="shared" si="24"/>
        <v>10</v>
      </c>
      <c r="D184" s="10" t="str">
        <f t="shared" si="25"/>
        <v>1000</v>
      </c>
      <c r="E184" s="10" t="str">
        <f t="shared" si="26"/>
        <v>101000</v>
      </c>
      <c r="F184" s="10">
        <f t="shared" si="28"/>
        <v>40</v>
      </c>
      <c r="G184" s="10"/>
      <c r="H184" s="10">
        <f>VLOOKUP(F184,$A$187:$I$250,9,TRUE)</f>
        <v>0</v>
      </c>
      <c r="I184" s="10" t="str">
        <f t="shared" si="27"/>
        <v>0000</v>
      </c>
    </row>
    <row r="186" spans="1:10" x14ac:dyDescent="0.25">
      <c r="A186" s="12" t="s">
        <v>40</v>
      </c>
      <c r="B186" s="12" t="s">
        <v>41</v>
      </c>
      <c r="C186" s="12" t="s">
        <v>42</v>
      </c>
      <c r="D186" s="12" t="s">
        <v>43</v>
      </c>
      <c r="E186" s="12" t="s">
        <v>44</v>
      </c>
      <c r="F186" s="12" t="s">
        <v>45</v>
      </c>
      <c r="G186" s="12" t="s">
        <v>46</v>
      </c>
      <c r="H186" s="12" t="s">
        <v>47</v>
      </c>
      <c r="I186" s="12" t="s">
        <v>48</v>
      </c>
    </row>
    <row r="187" spans="1:10" x14ac:dyDescent="0.25">
      <c r="A187" s="12">
        <v>0</v>
      </c>
      <c r="B187" s="12">
        <v>14</v>
      </c>
      <c r="C187" s="12">
        <v>15</v>
      </c>
      <c r="D187" s="12">
        <v>10</v>
      </c>
      <c r="E187" s="12">
        <v>7</v>
      </c>
      <c r="F187" s="12">
        <v>2</v>
      </c>
      <c r="G187" s="12">
        <v>12</v>
      </c>
      <c r="H187" s="12">
        <v>4</v>
      </c>
      <c r="I187" s="12">
        <v>13</v>
      </c>
    </row>
    <row r="188" spans="1:10" x14ac:dyDescent="0.25">
      <c r="A188" s="12">
        <v>1</v>
      </c>
      <c r="B188" s="12">
        <v>4</v>
      </c>
      <c r="C188" s="12">
        <v>1</v>
      </c>
      <c r="D188" s="12">
        <v>0</v>
      </c>
      <c r="E188" s="12">
        <v>13</v>
      </c>
      <c r="F188" s="12">
        <v>12</v>
      </c>
      <c r="G188" s="12">
        <v>1</v>
      </c>
      <c r="H188" s="12">
        <v>11</v>
      </c>
      <c r="I188" s="12">
        <v>2</v>
      </c>
    </row>
    <row r="189" spans="1:10" x14ac:dyDescent="0.25">
      <c r="A189" s="12">
        <v>2</v>
      </c>
      <c r="B189" s="12">
        <v>13</v>
      </c>
      <c r="C189" s="12">
        <v>8</v>
      </c>
      <c r="D189" s="12">
        <v>9</v>
      </c>
      <c r="E189" s="12">
        <v>14</v>
      </c>
      <c r="F189" s="12">
        <v>4</v>
      </c>
      <c r="G189" s="12">
        <v>10</v>
      </c>
      <c r="H189" s="12">
        <v>2</v>
      </c>
      <c r="I189" s="12">
        <v>8</v>
      </c>
    </row>
    <row r="190" spans="1:10" x14ac:dyDescent="0.25">
      <c r="A190" s="12">
        <v>3</v>
      </c>
      <c r="B190" s="12">
        <v>1</v>
      </c>
      <c r="C190" s="12">
        <v>14</v>
      </c>
      <c r="D190" s="12">
        <v>14</v>
      </c>
      <c r="E190" s="12">
        <v>3</v>
      </c>
      <c r="F190" s="12">
        <v>1</v>
      </c>
      <c r="G190" s="12">
        <v>15</v>
      </c>
      <c r="H190" s="12">
        <v>14</v>
      </c>
      <c r="I190" s="12">
        <v>4</v>
      </c>
    </row>
    <row r="191" spans="1:10" x14ac:dyDescent="0.25">
      <c r="A191" s="12">
        <v>4</v>
      </c>
      <c r="B191" s="12">
        <v>2</v>
      </c>
      <c r="C191" s="12">
        <v>6</v>
      </c>
      <c r="D191" s="12">
        <v>6</v>
      </c>
      <c r="E191" s="12">
        <v>0</v>
      </c>
      <c r="F191" s="12">
        <v>7</v>
      </c>
      <c r="G191" s="12">
        <v>9</v>
      </c>
      <c r="H191" s="12">
        <v>15</v>
      </c>
      <c r="I191" s="12">
        <v>6</v>
      </c>
    </row>
    <row r="192" spans="1:10" x14ac:dyDescent="0.25">
      <c r="A192" s="12">
        <v>5</v>
      </c>
      <c r="B192" s="12">
        <v>15</v>
      </c>
      <c r="C192" s="12">
        <v>11</v>
      </c>
      <c r="D192" s="12">
        <v>3</v>
      </c>
      <c r="E192" s="12">
        <v>6</v>
      </c>
      <c r="F192" s="12">
        <v>10</v>
      </c>
      <c r="G192" s="12">
        <v>2</v>
      </c>
      <c r="H192" s="12">
        <v>0</v>
      </c>
      <c r="I192" s="12">
        <v>15</v>
      </c>
    </row>
    <row r="193" spans="1:9" x14ac:dyDescent="0.25">
      <c r="A193" s="12">
        <v>6</v>
      </c>
      <c r="B193" s="12">
        <v>11</v>
      </c>
      <c r="C193" s="12">
        <v>3</v>
      </c>
      <c r="D193" s="12">
        <v>15</v>
      </c>
      <c r="E193" s="12">
        <v>9</v>
      </c>
      <c r="F193" s="12">
        <v>11</v>
      </c>
      <c r="G193" s="12">
        <v>6</v>
      </c>
      <c r="H193" s="12">
        <v>8</v>
      </c>
      <c r="I193" s="12">
        <v>11</v>
      </c>
    </row>
    <row r="194" spans="1:9" x14ac:dyDescent="0.25">
      <c r="A194" s="12">
        <v>7</v>
      </c>
      <c r="B194" s="12">
        <v>8</v>
      </c>
      <c r="C194" s="12">
        <v>4</v>
      </c>
      <c r="D194" s="12">
        <v>5</v>
      </c>
      <c r="E194" s="12">
        <v>10</v>
      </c>
      <c r="F194" s="12">
        <v>6</v>
      </c>
      <c r="G194" s="12">
        <v>8</v>
      </c>
      <c r="H194" s="12">
        <v>13</v>
      </c>
      <c r="I194" s="12">
        <v>1</v>
      </c>
    </row>
    <row r="195" spans="1:9" x14ac:dyDescent="0.25">
      <c r="A195" s="12">
        <v>8</v>
      </c>
      <c r="B195" s="12">
        <v>3</v>
      </c>
      <c r="C195" s="12">
        <v>9</v>
      </c>
      <c r="D195" s="12">
        <v>1</v>
      </c>
      <c r="E195" s="12">
        <v>1</v>
      </c>
      <c r="F195" s="12">
        <v>8</v>
      </c>
      <c r="G195" s="12">
        <v>0</v>
      </c>
      <c r="H195" s="12">
        <v>3</v>
      </c>
      <c r="I195" s="12">
        <v>10</v>
      </c>
    </row>
    <row r="196" spans="1:9" x14ac:dyDescent="0.25">
      <c r="A196" s="12">
        <v>9</v>
      </c>
      <c r="B196" s="12">
        <v>10</v>
      </c>
      <c r="C196" s="12">
        <v>7</v>
      </c>
      <c r="D196" s="12">
        <v>13</v>
      </c>
      <c r="E196" s="12">
        <v>2</v>
      </c>
      <c r="F196" s="12">
        <v>5</v>
      </c>
      <c r="G196" s="12">
        <v>13</v>
      </c>
      <c r="H196" s="12">
        <v>12</v>
      </c>
      <c r="I196" s="12">
        <v>9</v>
      </c>
    </row>
    <row r="197" spans="1:9" x14ac:dyDescent="0.25">
      <c r="A197" s="12">
        <v>10</v>
      </c>
      <c r="B197" s="12">
        <v>6</v>
      </c>
      <c r="C197" s="12">
        <v>2</v>
      </c>
      <c r="D197" s="12">
        <v>12</v>
      </c>
      <c r="E197" s="12">
        <v>8</v>
      </c>
      <c r="F197" s="12">
        <v>3</v>
      </c>
      <c r="G197" s="12">
        <v>3</v>
      </c>
      <c r="H197" s="12">
        <v>9</v>
      </c>
      <c r="I197" s="12">
        <v>3</v>
      </c>
    </row>
    <row r="198" spans="1:9" x14ac:dyDescent="0.25">
      <c r="A198" s="12">
        <v>11</v>
      </c>
      <c r="B198" s="12">
        <v>12</v>
      </c>
      <c r="C198" s="12">
        <v>13</v>
      </c>
      <c r="D198" s="12">
        <v>7</v>
      </c>
      <c r="E198" s="12">
        <v>5</v>
      </c>
      <c r="F198" s="12">
        <v>15</v>
      </c>
      <c r="G198" s="12">
        <v>4</v>
      </c>
      <c r="H198" s="12">
        <v>7</v>
      </c>
      <c r="I198" s="12">
        <v>14</v>
      </c>
    </row>
    <row r="199" spans="1:9" x14ac:dyDescent="0.25">
      <c r="A199" s="12">
        <v>12</v>
      </c>
      <c r="B199" s="12">
        <v>5</v>
      </c>
      <c r="C199" s="12">
        <v>12</v>
      </c>
      <c r="D199" s="12">
        <v>11</v>
      </c>
      <c r="E199" s="12">
        <v>11</v>
      </c>
      <c r="F199" s="12">
        <v>13</v>
      </c>
      <c r="G199" s="12">
        <v>14</v>
      </c>
      <c r="H199" s="12">
        <v>5</v>
      </c>
      <c r="I199" s="12">
        <v>5</v>
      </c>
    </row>
    <row r="200" spans="1:9" x14ac:dyDescent="0.25">
      <c r="A200" s="12">
        <v>13</v>
      </c>
      <c r="B200" s="12">
        <v>9</v>
      </c>
      <c r="C200" s="12">
        <v>0</v>
      </c>
      <c r="D200" s="12">
        <v>4</v>
      </c>
      <c r="E200" s="12">
        <v>12</v>
      </c>
      <c r="F200" s="12">
        <v>0</v>
      </c>
      <c r="G200" s="12">
        <v>7</v>
      </c>
      <c r="H200" s="12">
        <v>10</v>
      </c>
      <c r="I200" s="12">
        <v>0</v>
      </c>
    </row>
    <row r="201" spans="1:9" x14ac:dyDescent="0.25">
      <c r="A201" s="12">
        <v>14</v>
      </c>
      <c r="B201" s="12">
        <v>0</v>
      </c>
      <c r="C201" s="12">
        <v>5</v>
      </c>
      <c r="D201" s="12">
        <v>2</v>
      </c>
      <c r="E201" s="12">
        <v>4</v>
      </c>
      <c r="F201" s="12">
        <v>14</v>
      </c>
      <c r="G201" s="12">
        <v>5</v>
      </c>
      <c r="H201" s="12">
        <v>6</v>
      </c>
      <c r="I201" s="12">
        <v>12</v>
      </c>
    </row>
    <row r="202" spans="1:9" x14ac:dyDescent="0.25">
      <c r="A202" s="12">
        <v>15</v>
      </c>
      <c r="B202" s="12">
        <v>7</v>
      </c>
      <c r="C202" s="12">
        <v>10</v>
      </c>
      <c r="D202" s="12">
        <v>8</v>
      </c>
      <c r="E202" s="12">
        <v>15</v>
      </c>
      <c r="F202" s="12">
        <v>9</v>
      </c>
      <c r="G202" s="12">
        <v>11</v>
      </c>
      <c r="H202" s="12">
        <v>1</v>
      </c>
      <c r="I202" s="12">
        <v>7</v>
      </c>
    </row>
    <row r="203" spans="1:9" x14ac:dyDescent="0.25">
      <c r="A203" s="12">
        <v>16</v>
      </c>
      <c r="B203" s="12">
        <v>0</v>
      </c>
      <c r="C203" s="12">
        <v>3</v>
      </c>
      <c r="D203" s="12">
        <v>13</v>
      </c>
      <c r="E203" s="12">
        <v>13</v>
      </c>
      <c r="F203" s="12">
        <v>14</v>
      </c>
      <c r="G203" s="12">
        <v>10</v>
      </c>
      <c r="H203" s="12">
        <v>13</v>
      </c>
      <c r="I203" s="12">
        <v>1</v>
      </c>
    </row>
    <row r="204" spans="1:9" x14ac:dyDescent="0.25">
      <c r="A204" s="12">
        <v>17</v>
      </c>
      <c r="B204" s="12">
        <v>15</v>
      </c>
      <c r="C204" s="12">
        <v>13</v>
      </c>
      <c r="D204" s="12">
        <v>7</v>
      </c>
      <c r="E204" s="12">
        <v>8</v>
      </c>
      <c r="F204" s="12">
        <v>11</v>
      </c>
      <c r="G204" s="12">
        <v>15</v>
      </c>
      <c r="H204" s="12">
        <v>0</v>
      </c>
      <c r="I204" s="12">
        <v>15</v>
      </c>
    </row>
    <row r="205" spans="1:9" x14ac:dyDescent="0.25">
      <c r="A205" s="12">
        <v>18</v>
      </c>
      <c r="B205" s="12">
        <v>7</v>
      </c>
      <c r="C205" s="12">
        <v>4</v>
      </c>
      <c r="D205" s="12">
        <v>0</v>
      </c>
      <c r="E205" s="12">
        <v>11</v>
      </c>
      <c r="F205" s="12">
        <v>2</v>
      </c>
      <c r="G205" s="12">
        <v>4</v>
      </c>
      <c r="H205" s="12">
        <v>11</v>
      </c>
      <c r="I205" s="12">
        <v>13</v>
      </c>
    </row>
    <row r="206" spans="1:9" x14ac:dyDescent="0.25">
      <c r="A206" s="12">
        <v>19</v>
      </c>
      <c r="B206" s="12">
        <v>4</v>
      </c>
      <c r="C206" s="12">
        <v>7</v>
      </c>
      <c r="D206" s="12">
        <v>9</v>
      </c>
      <c r="E206" s="12">
        <v>5</v>
      </c>
      <c r="F206" s="12">
        <v>12</v>
      </c>
      <c r="G206" s="12">
        <v>2</v>
      </c>
      <c r="H206" s="12">
        <v>7</v>
      </c>
      <c r="I206" s="12">
        <v>8</v>
      </c>
    </row>
    <row r="207" spans="1:9" x14ac:dyDescent="0.25">
      <c r="A207" s="12">
        <v>20</v>
      </c>
      <c r="B207" s="12">
        <v>14</v>
      </c>
      <c r="C207" s="12">
        <v>15</v>
      </c>
      <c r="D207" s="12">
        <v>3</v>
      </c>
      <c r="E207" s="12">
        <v>6</v>
      </c>
      <c r="F207" s="12">
        <v>4</v>
      </c>
      <c r="G207" s="12">
        <v>7</v>
      </c>
      <c r="H207" s="12">
        <v>4</v>
      </c>
      <c r="I207" s="12">
        <v>10</v>
      </c>
    </row>
    <row r="208" spans="1:9" x14ac:dyDescent="0.25">
      <c r="A208" s="12">
        <v>21</v>
      </c>
      <c r="B208" s="12">
        <v>2</v>
      </c>
      <c r="C208" s="12">
        <v>2</v>
      </c>
      <c r="D208" s="12">
        <v>4</v>
      </c>
      <c r="E208" s="12">
        <v>15</v>
      </c>
      <c r="F208" s="12">
        <v>7</v>
      </c>
      <c r="G208" s="12">
        <v>12</v>
      </c>
      <c r="H208" s="12">
        <v>9</v>
      </c>
      <c r="I208" s="12">
        <v>3</v>
      </c>
    </row>
    <row r="209" spans="1:9" x14ac:dyDescent="0.25">
      <c r="A209" s="12">
        <v>22</v>
      </c>
      <c r="B209" s="12">
        <v>13</v>
      </c>
      <c r="C209" s="12">
        <v>8</v>
      </c>
      <c r="D209" s="12">
        <v>6</v>
      </c>
      <c r="E209" s="12">
        <v>0</v>
      </c>
      <c r="F209" s="12">
        <v>13</v>
      </c>
      <c r="G209" s="12">
        <v>9</v>
      </c>
      <c r="H209" s="12">
        <v>1</v>
      </c>
      <c r="I209" s="12">
        <v>7</v>
      </c>
    </row>
    <row r="210" spans="1:9" x14ac:dyDescent="0.25">
      <c r="A210" s="12">
        <v>23</v>
      </c>
      <c r="B210" s="12">
        <v>1</v>
      </c>
      <c r="C210" s="12">
        <v>14</v>
      </c>
      <c r="D210" s="12">
        <v>10</v>
      </c>
      <c r="E210" s="12">
        <v>3</v>
      </c>
      <c r="F210" s="12">
        <v>1</v>
      </c>
      <c r="G210" s="12">
        <v>5</v>
      </c>
      <c r="H210" s="12">
        <v>10</v>
      </c>
      <c r="I210" s="12">
        <v>4</v>
      </c>
    </row>
    <row r="211" spans="1:9" x14ac:dyDescent="0.25">
      <c r="A211" s="12">
        <v>24</v>
      </c>
      <c r="B211" s="12">
        <v>10</v>
      </c>
      <c r="C211" s="12">
        <v>12</v>
      </c>
      <c r="D211" s="12">
        <v>2</v>
      </c>
      <c r="E211" s="12">
        <v>4</v>
      </c>
      <c r="F211" s="12">
        <v>5</v>
      </c>
      <c r="G211" s="12">
        <v>6</v>
      </c>
      <c r="H211" s="12">
        <v>14</v>
      </c>
      <c r="I211" s="12">
        <v>12</v>
      </c>
    </row>
    <row r="212" spans="1:9" x14ac:dyDescent="0.25">
      <c r="A212" s="12">
        <v>25</v>
      </c>
      <c r="B212" s="12">
        <v>6</v>
      </c>
      <c r="C212" s="12">
        <v>0</v>
      </c>
      <c r="D212" s="12">
        <v>8</v>
      </c>
      <c r="E212" s="12">
        <v>7</v>
      </c>
      <c r="F212" s="12">
        <v>0</v>
      </c>
      <c r="G212" s="12">
        <v>1</v>
      </c>
      <c r="H212" s="12">
        <v>3</v>
      </c>
      <c r="I212" s="12">
        <v>5</v>
      </c>
    </row>
    <row r="213" spans="1:9" x14ac:dyDescent="0.25">
      <c r="A213" s="12">
        <v>26</v>
      </c>
      <c r="B213" s="12">
        <v>12</v>
      </c>
      <c r="C213" s="12">
        <v>1</v>
      </c>
      <c r="D213" s="12">
        <v>5</v>
      </c>
      <c r="E213" s="12">
        <v>2</v>
      </c>
      <c r="F213" s="12">
        <v>15</v>
      </c>
      <c r="G213" s="12">
        <v>13</v>
      </c>
      <c r="H213" s="12">
        <v>5</v>
      </c>
      <c r="I213" s="12">
        <v>6</v>
      </c>
    </row>
    <row r="214" spans="1:9" x14ac:dyDescent="0.25">
      <c r="A214" s="12">
        <v>27</v>
      </c>
      <c r="B214" s="12">
        <v>11</v>
      </c>
      <c r="C214" s="12">
        <v>10</v>
      </c>
      <c r="D214" s="12">
        <v>14</v>
      </c>
      <c r="E214" s="12">
        <v>12</v>
      </c>
      <c r="F214" s="12">
        <v>10</v>
      </c>
      <c r="G214" s="12">
        <v>14</v>
      </c>
      <c r="H214" s="12">
        <v>12</v>
      </c>
      <c r="I214" s="12">
        <v>11</v>
      </c>
    </row>
    <row r="215" spans="1:9" x14ac:dyDescent="0.25">
      <c r="A215" s="12">
        <v>28</v>
      </c>
      <c r="B215" s="12">
        <v>9</v>
      </c>
      <c r="C215" s="12">
        <v>6</v>
      </c>
      <c r="D215" s="12">
        <v>12</v>
      </c>
      <c r="E215" s="12">
        <v>1</v>
      </c>
      <c r="F215" s="12">
        <v>3</v>
      </c>
      <c r="G215" s="12">
        <v>0</v>
      </c>
      <c r="H215" s="12">
        <v>2</v>
      </c>
      <c r="I215" s="12">
        <v>0</v>
      </c>
    </row>
    <row r="216" spans="1:9" x14ac:dyDescent="0.25">
      <c r="A216" s="12">
        <v>29</v>
      </c>
      <c r="B216" s="12">
        <v>5</v>
      </c>
      <c r="C216" s="12">
        <v>9</v>
      </c>
      <c r="D216" s="12">
        <v>11</v>
      </c>
      <c r="E216" s="12">
        <v>10</v>
      </c>
      <c r="F216" s="12">
        <v>9</v>
      </c>
      <c r="G216" s="12">
        <v>11</v>
      </c>
      <c r="H216" s="12">
        <v>15</v>
      </c>
      <c r="I216" s="12">
        <v>14</v>
      </c>
    </row>
    <row r="217" spans="1:9" x14ac:dyDescent="0.25">
      <c r="A217" s="12">
        <v>30</v>
      </c>
      <c r="B217" s="12">
        <v>3</v>
      </c>
      <c r="C217" s="12">
        <v>11</v>
      </c>
      <c r="D217" s="12">
        <v>15</v>
      </c>
      <c r="E217" s="12">
        <v>14</v>
      </c>
      <c r="F217" s="12">
        <v>8</v>
      </c>
      <c r="G217" s="12">
        <v>3</v>
      </c>
      <c r="H217" s="12">
        <v>8</v>
      </c>
      <c r="I217" s="12">
        <v>9</v>
      </c>
    </row>
    <row r="218" spans="1:9" x14ac:dyDescent="0.25">
      <c r="A218" s="12">
        <v>31</v>
      </c>
      <c r="B218" s="12">
        <v>8</v>
      </c>
      <c r="C218" s="12">
        <v>5</v>
      </c>
      <c r="D218" s="12">
        <v>1</v>
      </c>
      <c r="E218" s="12">
        <v>9</v>
      </c>
      <c r="F218" s="12">
        <v>6</v>
      </c>
      <c r="G218" s="12">
        <v>8</v>
      </c>
      <c r="H218" s="12">
        <v>6</v>
      </c>
      <c r="I218" s="12">
        <v>2</v>
      </c>
    </row>
    <row r="219" spans="1:9" x14ac:dyDescent="0.25">
      <c r="A219" s="12">
        <v>32</v>
      </c>
      <c r="B219" s="12">
        <v>4</v>
      </c>
      <c r="C219" s="12">
        <v>0</v>
      </c>
      <c r="D219" s="12">
        <v>13</v>
      </c>
      <c r="E219" s="12">
        <v>10</v>
      </c>
      <c r="F219" s="12">
        <v>4</v>
      </c>
      <c r="G219" s="12">
        <v>9</v>
      </c>
      <c r="H219" s="12">
        <v>1</v>
      </c>
      <c r="I219" s="12">
        <v>7</v>
      </c>
    </row>
    <row r="220" spans="1:9" x14ac:dyDescent="0.25">
      <c r="A220" s="12">
        <v>33</v>
      </c>
      <c r="B220" s="12">
        <v>1</v>
      </c>
      <c r="C220" s="12">
        <v>14</v>
      </c>
      <c r="D220" s="12">
        <v>6</v>
      </c>
      <c r="E220" s="12">
        <v>6</v>
      </c>
      <c r="F220" s="12">
        <v>2</v>
      </c>
      <c r="G220" s="12">
        <v>14</v>
      </c>
      <c r="H220" s="12">
        <v>4</v>
      </c>
      <c r="I220" s="12">
        <v>11</v>
      </c>
    </row>
    <row r="221" spans="1:9" x14ac:dyDescent="0.25">
      <c r="A221" s="12">
        <v>34</v>
      </c>
      <c r="B221" s="12">
        <v>14</v>
      </c>
      <c r="C221" s="12">
        <v>7</v>
      </c>
      <c r="D221" s="12">
        <v>4</v>
      </c>
      <c r="E221" s="12">
        <v>9</v>
      </c>
      <c r="F221" s="12">
        <v>1</v>
      </c>
      <c r="G221" s="12">
        <v>15</v>
      </c>
      <c r="H221" s="12">
        <v>11</v>
      </c>
      <c r="I221" s="12">
        <v>4</v>
      </c>
    </row>
    <row r="222" spans="1:9" x14ac:dyDescent="0.25">
      <c r="A222" s="12">
        <v>35</v>
      </c>
      <c r="B222" s="12">
        <v>8</v>
      </c>
      <c r="C222" s="12">
        <v>11</v>
      </c>
      <c r="D222" s="12">
        <v>9</v>
      </c>
      <c r="E222" s="12">
        <v>0</v>
      </c>
      <c r="F222" s="12">
        <v>11</v>
      </c>
      <c r="G222" s="12">
        <v>5</v>
      </c>
      <c r="H222" s="12">
        <v>13</v>
      </c>
      <c r="I222" s="12">
        <v>1</v>
      </c>
    </row>
    <row r="223" spans="1:9" x14ac:dyDescent="0.25">
      <c r="A223" s="12">
        <v>36</v>
      </c>
      <c r="B223" s="12">
        <v>13</v>
      </c>
      <c r="C223" s="12">
        <v>10</v>
      </c>
      <c r="D223" s="12">
        <v>8</v>
      </c>
      <c r="E223" s="12">
        <v>12</v>
      </c>
      <c r="F223" s="12">
        <v>10</v>
      </c>
      <c r="G223" s="12">
        <v>2</v>
      </c>
      <c r="H223" s="12">
        <v>12</v>
      </c>
      <c r="I223" s="12">
        <v>9</v>
      </c>
    </row>
    <row r="224" spans="1:9" x14ac:dyDescent="0.25">
      <c r="A224" s="12">
        <v>37</v>
      </c>
      <c r="B224" s="12">
        <v>6</v>
      </c>
      <c r="C224" s="12">
        <v>4</v>
      </c>
      <c r="D224" s="12">
        <v>15</v>
      </c>
      <c r="E224" s="12">
        <v>11</v>
      </c>
      <c r="F224" s="12">
        <v>13</v>
      </c>
      <c r="G224" s="12">
        <v>8</v>
      </c>
      <c r="H224" s="12">
        <v>3</v>
      </c>
      <c r="I224" s="12">
        <v>12</v>
      </c>
    </row>
    <row r="225" spans="1:9" x14ac:dyDescent="0.25">
      <c r="A225" s="12">
        <v>38</v>
      </c>
      <c r="B225" s="12">
        <v>2</v>
      </c>
      <c r="C225" s="12">
        <v>13</v>
      </c>
      <c r="D225" s="12">
        <v>3</v>
      </c>
      <c r="E225" s="12">
        <v>7</v>
      </c>
      <c r="F225" s="12">
        <v>7</v>
      </c>
      <c r="G225" s="12">
        <v>12</v>
      </c>
      <c r="H225" s="12">
        <v>7</v>
      </c>
      <c r="I225" s="12">
        <v>14</v>
      </c>
    </row>
    <row r="226" spans="1:9" x14ac:dyDescent="0.25">
      <c r="A226" s="12">
        <v>39</v>
      </c>
      <c r="B226" s="12">
        <v>11</v>
      </c>
      <c r="C226" s="12">
        <v>1</v>
      </c>
      <c r="D226" s="12">
        <v>0</v>
      </c>
      <c r="E226" s="12">
        <v>13</v>
      </c>
      <c r="F226" s="12">
        <v>8</v>
      </c>
      <c r="G226" s="12">
        <v>3</v>
      </c>
      <c r="H226" s="12">
        <v>14</v>
      </c>
      <c r="I226" s="12">
        <v>2</v>
      </c>
    </row>
    <row r="227" spans="1:9" x14ac:dyDescent="0.25">
      <c r="A227" s="12">
        <v>40</v>
      </c>
      <c r="B227" s="12">
        <v>15</v>
      </c>
      <c r="C227" s="12">
        <v>5</v>
      </c>
      <c r="D227" s="12">
        <v>11</v>
      </c>
      <c r="E227" s="12">
        <v>15</v>
      </c>
      <c r="F227" s="12">
        <v>15</v>
      </c>
      <c r="G227" s="12">
        <v>7</v>
      </c>
      <c r="H227" s="12">
        <v>10</v>
      </c>
      <c r="I227" s="12">
        <v>0</v>
      </c>
    </row>
    <row r="228" spans="1:9" x14ac:dyDescent="0.25">
      <c r="A228" s="12">
        <v>41</v>
      </c>
      <c r="B228" s="12">
        <v>12</v>
      </c>
      <c r="C228" s="12">
        <v>8</v>
      </c>
      <c r="D228" s="12">
        <v>1</v>
      </c>
      <c r="E228" s="12">
        <v>1</v>
      </c>
      <c r="F228" s="12">
        <v>9</v>
      </c>
      <c r="G228" s="12">
        <v>0</v>
      </c>
      <c r="H228" s="12">
        <v>15</v>
      </c>
      <c r="I228" s="12">
        <v>6</v>
      </c>
    </row>
    <row r="229" spans="1:9" x14ac:dyDescent="0.25">
      <c r="A229" s="12">
        <v>42</v>
      </c>
      <c r="B229" s="12">
        <v>9</v>
      </c>
      <c r="C229" s="12">
        <v>12</v>
      </c>
      <c r="D229" s="12">
        <v>2</v>
      </c>
      <c r="E229" s="12">
        <v>3</v>
      </c>
      <c r="F229" s="12">
        <v>12</v>
      </c>
      <c r="G229" s="12">
        <v>4</v>
      </c>
      <c r="H229" s="12">
        <v>6</v>
      </c>
      <c r="I229" s="12">
        <v>10</v>
      </c>
    </row>
    <row r="230" spans="1:9" x14ac:dyDescent="0.25">
      <c r="A230" s="12">
        <v>43</v>
      </c>
      <c r="B230" s="12">
        <v>7</v>
      </c>
      <c r="C230" s="12">
        <v>6</v>
      </c>
      <c r="D230" s="12">
        <v>12</v>
      </c>
      <c r="E230" s="12">
        <v>14</v>
      </c>
      <c r="F230" s="12">
        <v>5</v>
      </c>
      <c r="G230" s="12">
        <v>10</v>
      </c>
      <c r="H230" s="12">
        <v>8</v>
      </c>
      <c r="I230" s="12">
        <v>13</v>
      </c>
    </row>
    <row r="231" spans="1:9" x14ac:dyDescent="0.25">
      <c r="A231" s="12">
        <v>44</v>
      </c>
      <c r="B231" s="12">
        <v>3</v>
      </c>
      <c r="C231" s="12">
        <v>9</v>
      </c>
      <c r="D231" s="12">
        <v>5</v>
      </c>
      <c r="E231" s="12">
        <v>5</v>
      </c>
      <c r="F231" s="12">
        <v>6</v>
      </c>
      <c r="G231" s="12">
        <v>1</v>
      </c>
      <c r="H231" s="12">
        <v>0</v>
      </c>
      <c r="I231" s="12">
        <v>15</v>
      </c>
    </row>
    <row r="232" spans="1:9" x14ac:dyDescent="0.25">
      <c r="A232" s="12">
        <v>45</v>
      </c>
      <c r="B232" s="12">
        <v>10</v>
      </c>
      <c r="C232" s="12">
        <v>3</v>
      </c>
      <c r="D232" s="12">
        <v>10</v>
      </c>
      <c r="E232" s="12">
        <v>2</v>
      </c>
      <c r="F232" s="12">
        <v>3</v>
      </c>
      <c r="G232" s="12">
        <v>13</v>
      </c>
      <c r="H232" s="12">
        <v>5</v>
      </c>
      <c r="I232" s="12">
        <v>3</v>
      </c>
    </row>
    <row r="233" spans="1:9" x14ac:dyDescent="0.25">
      <c r="A233" s="12">
        <v>46</v>
      </c>
      <c r="B233" s="12">
        <v>5</v>
      </c>
      <c r="C233" s="12">
        <v>2</v>
      </c>
      <c r="D233" s="12">
        <v>14</v>
      </c>
      <c r="E233" s="12">
        <v>8</v>
      </c>
      <c r="F233" s="12">
        <v>0</v>
      </c>
      <c r="G233" s="12">
        <v>11</v>
      </c>
      <c r="H233" s="12">
        <v>9</v>
      </c>
      <c r="I233" s="12">
        <v>5</v>
      </c>
    </row>
    <row r="234" spans="1:9" x14ac:dyDescent="0.25">
      <c r="A234" s="12">
        <v>47</v>
      </c>
      <c r="B234" s="12">
        <v>0</v>
      </c>
      <c r="C234" s="12">
        <v>15</v>
      </c>
      <c r="D234" s="12">
        <v>7</v>
      </c>
      <c r="E234" s="12">
        <v>4</v>
      </c>
      <c r="F234" s="12">
        <v>14</v>
      </c>
      <c r="G234" s="12">
        <v>6</v>
      </c>
      <c r="H234" s="12">
        <v>2</v>
      </c>
      <c r="I234" s="12">
        <v>8</v>
      </c>
    </row>
    <row r="235" spans="1:9" x14ac:dyDescent="0.25">
      <c r="A235" s="12">
        <v>48</v>
      </c>
      <c r="B235" s="12">
        <v>15</v>
      </c>
      <c r="C235" s="12">
        <v>13</v>
      </c>
      <c r="D235" s="12">
        <v>1</v>
      </c>
      <c r="E235" s="12">
        <v>3</v>
      </c>
      <c r="F235" s="12">
        <v>11</v>
      </c>
      <c r="G235" s="12">
        <v>4</v>
      </c>
      <c r="H235" s="12">
        <v>6</v>
      </c>
      <c r="I235" s="12">
        <v>2</v>
      </c>
    </row>
    <row r="236" spans="1:9" x14ac:dyDescent="0.25">
      <c r="A236" s="12">
        <v>49</v>
      </c>
      <c r="B236" s="12">
        <v>12</v>
      </c>
      <c r="C236" s="12">
        <v>8</v>
      </c>
      <c r="D236" s="12">
        <v>10</v>
      </c>
      <c r="E236" s="12">
        <v>15</v>
      </c>
      <c r="F236" s="12">
        <v>8</v>
      </c>
      <c r="G236" s="12">
        <v>3</v>
      </c>
      <c r="H236" s="12">
        <v>11</v>
      </c>
      <c r="I236" s="12">
        <v>1</v>
      </c>
    </row>
    <row r="237" spans="1:9" x14ac:dyDescent="0.25">
      <c r="A237" s="12">
        <v>50</v>
      </c>
      <c r="B237" s="12">
        <v>8</v>
      </c>
      <c r="C237" s="12">
        <v>10</v>
      </c>
      <c r="D237" s="12">
        <v>13</v>
      </c>
      <c r="E237" s="12">
        <v>0</v>
      </c>
      <c r="F237" s="12">
        <v>12</v>
      </c>
      <c r="G237" s="12">
        <v>2</v>
      </c>
      <c r="H237" s="12">
        <v>13</v>
      </c>
      <c r="I237" s="12">
        <v>14</v>
      </c>
    </row>
    <row r="238" spans="1:9" x14ac:dyDescent="0.25">
      <c r="A238" s="12">
        <v>51</v>
      </c>
      <c r="B238" s="12">
        <v>2</v>
      </c>
      <c r="C238" s="12">
        <v>1</v>
      </c>
      <c r="D238" s="12">
        <v>0</v>
      </c>
      <c r="E238" s="12">
        <v>6</v>
      </c>
      <c r="F238" s="12">
        <v>7</v>
      </c>
      <c r="G238" s="12">
        <v>12</v>
      </c>
      <c r="H238" s="12">
        <v>8</v>
      </c>
      <c r="I238" s="12">
        <v>7</v>
      </c>
    </row>
    <row r="239" spans="1:9" x14ac:dyDescent="0.25">
      <c r="A239" s="12">
        <v>52</v>
      </c>
      <c r="B239" s="12">
        <v>4</v>
      </c>
      <c r="C239" s="12">
        <v>3</v>
      </c>
      <c r="D239" s="12">
        <v>6</v>
      </c>
      <c r="E239" s="12">
        <v>10</v>
      </c>
      <c r="F239" s="12">
        <v>1</v>
      </c>
      <c r="G239" s="12">
        <v>9</v>
      </c>
      <c r="H239" s="12">
        <v>1</v>
      </c>
      <c r="I239" s="12">
        <v>4</v>
      </c>
    </row>
    <row r="240" spans="1:9" x14ac:dyDescent="0.25">
      <c r="A240" s="12">
        <v>53</v>
      </c>
      <c r="B240" s="12">
        <v>9</v>
      </c>
      <c r="C240" s="12">
        <v>15</v>
      </c>
      <c r="D240" s="12">
        <v>9</v>
      </c>
      <c r="E240" s="12">
        <v>1</v>
      </c>
      <c r="F240" s="12">
        <v>14</v>
      </c>
      <c r="G240" s="12">
        <v>5</v>
      </c>
      <c r="H240" s="12">
        <v>4</v>
      </c>
      <c r="I240" s="12">
        <v>10</v>
      </c>
    </row>
    <row r="241" spans="1:9" x14ac:dyDescent="0.25">
      <c r="A241" s="12">
        <v>54</v>
      </c>
      <c r="B241" s="12">
        <v>1</v>
      </c>
      <c r="C241" s="12">
        <v>4</v>
      </c>
      <c r="D241" s="12">
        <v>8</v>
      </c>
      <c r="E241" s="12">
        <v>13</v>
      </c>
      <c r="F241" s="12">
        <v>2</v>
      </c>
      <c r="G241" s="12">
        <v>15</v>
      </c>
      <c r="H241" s="12">
        <v>10</v>
      </c>
      <c r="I241" s="12">
        <v>8</v>
      </c>
    </row>
    <row r="242" spans="1:9" x14ac:dyDescent="0.25">
      <c r="A242" s="12">
        <v>55</v>
      </c>
      <c r="B242" s="12">
        <v>7</v>
      </c>
      <c r="C242" s="12">
        <v>2</v>
      </c>
      <c r="D242" s="12">
        <v>7</v>
      </c>
      <c r="E242" s="12">
        <v>8</v>
      </c>
      <c r="F242" s="12">
        <v>13</v>
      </c>
      <c r="G242" s="12">
        <v>10</v>
      </c>
      <c r="H242" s="12">
        <v>7</v>
      </c>
      <c r="I242" s="12">
        <v>13</v>
      </c>
    </row>
    <row r="243" spans="1:9" x14ac:dyDescent="0.25">
      <c r="A243" s="12">
        <v>56</v>
      </c>
      <c r="B243" s="12">
        <v>5</v>
      </c>
      <c r="C243" s="12">
        <v>11</v>
      </c>
      <c r="D243" s="12">
        <v>4</v>
      </c>
      <c r="E243" s="12">
        <v>9</v>
      </c>
      <c r="F243" s="12">
        <v>6</v>
      </c>
      <c r="G243" s="12">
        <v>11</v>
      </c>
      <c r="H243" s="12">
        <v>9</v>
      </c>
      <c r="I243" s="12">
        <v>15</v>
      </c>
    </row>
    <row r="244" spans="1:9" x14ac:dyDescent="0.25">
      <c r="A244" s="12">
        <v>57</v>
      </c>
      <c r="B244" s="12">
        <v>11</v>
      </c>
      <c r="C244" s="12">
        <v>6</v>
      </c>
      <c r="D244" s="12">
        <v>15</v>
      </c>
      <c r="E244" s="12">
        <v>4</v>
      </c>
      <c r="F244" s="12">
        <v>15</v>
      </c>
      <c r="G244" s="12">
        <v>14</v>
      </c>
      <c r="H244" s="12">
        <v>5</v>
      </c>
      <c r="I244" s="12">
        <v>12</v>
      </c>
    </row>
    <row r="245" spans="1:9" x14ac:dyDescent="0.25">
      <c r="A245" s="12">
        <v>58</v>
      </c>
      <c r="B245" s="12">
        <v>3</v>
      </c>
      <c r="C245" s="12">
        <v>7</v>
      </c>
      <c r="D245" s="12">
        <v>14</v>
      </c>
      <c r="E245" s="12">
        <v>5</v>
      </c>
      <c r="F245" s="12">
        <v>0</v>
      </c>
      <c r="G245" s="12">
        <v>1</v>
      </c>
      <c r="H245" s="12">
        <v>0</v>
      </c>
      <c r="I245" s="12">
        <v>9</v>
      </c>
    </row>
    <row r="246" spans="1:9" x14ac:dyDescent="0.25">
      <c r="A246" s="12">
        <v>59</v>
      </c>
      <c r="B246" s="12">
        <v>14</v>
      </c>
      <c r="C246" s="12">
        <v>12</v>
      </c>
      <c r="D246" s="12">
        <v>3</v>
      </c>
      <c r="E246" s="12">
        <v>11</v>
      </c>
      <c r="F246" s="12">
        <v>9</v>
      </c>
      <c r="G246" s="12">
        <v>7</v>
      </c>
      <c r="H246" s="12">
        <v>15</v>
      </c>
      <c r="I246" s="12">
        <v>0</v>
      </c>
    </row>
    <row r="247" spans="1:9" x14ac:dyDescent="0.25">
      <c r="A247" s="12">
        <v>60</v>
      </c>
      <c r="B247" s="12">
        <v>10</v>
      </c>
      <c r="C247" s="12">
        <v>0</v>
      </c>
      <c r="D247" s="12">
        <v>11</v>
      </c>
      <c r="E247" s="12">
        <v>12</v>
      </c>
      <c r="F247" s="12">
        <v>10</v>
      </c>
      <c r="G247" s="12">
        <v>6</v>
      </c>
      <c r="H247" s="12">
        <v>14</v>
      </c>
      <c r="I247" s="12">
        <v>3</v>
      </c>
    </row>
    <row r="248" spans="1:9" x14ac:dyDescent="0.25">
      <c r="A248" s="12">
        <v>61</v>
      </c>
      <c r="B248" s="12">
        <v>0</v>
      </c>
      <c r="C248" s="12">
        <v>5</v>
      </c>
      <c r="D248" s="12">
        <v>5</v>
      </c>
      <c r="E248" s="12">
        <v>7</v>
      </c>
      <c r="F248" s="12">
        <v>4</v>
      </c>
      <c r="G248" s="12">
        <v>0</v>
      </c>
      <c r="H248" s="12">
        <v>2</v>
      </c>
      <c r="I248" s="12">
        <v>5</v>
      </c>
    </row>
    <row r="249" spans="1:9" x14ac:dyDescent="0.25">
      <c r="A249" s="12">
        <v>62</v>
      </c>
      <c r="B249" s="12">
        <v>6</v>
      </c>
      <c r="C249" s="12">
        <v>14</v>
      </c>
      <c r="D249" s="12">
        <v>2</v>
      </c>
      <c r="E249" s="12">
        <v>2</v>
      </c>
      <c r="F249" s="12">
        <v>5</v>
      </c>
      <c r="G249" s="12">
        <v>8</v>
      </c>
      <c r="H249" s="12">
        <v>3</v>
      </c>
      <c r="I249" s="12">
        <v>6</v>
      </c>
    </row>
    <row r="250" spans="1:9" x14ac:dyDescent="0.25">
      <c r="A250" s="12">
        <v>63</v>
      </c>
      <c r="B250" s="12">
        <v>13</v>
      </c>
      <c r="C250" s="12">
        <v>9</v>
      </c>
      <c r="D250" s="12">
        <v>12</v>
      </c>
      <c r="E250" s="12">
        <v>14</v>
      </c>
      <c r="F250" s="12">
        <v>3</v>
      </c>
      <c r="G250" s="12">
        <v>13</v>
      </c>
      <c r="H250" s="12">
        <v>12</v>
      </c>
      <c r="I250" s="12">
        <v>11</v>
      </c>
    </row>
    <row r="253" spans="1:9" ht="18.75" x14ac:dyDescent="0.3">
      <c r="B253" s="15" t="s">
        <v>50</v>
      </c>
      <c r="C253" s="15" t="str">
        <f>J177</f>
        <v>10010101110100111010110101010000</v>
      </c>
      <c r="D253" s="15"/>
      <c r="E253" s="15"/>
      <c r="F253" s="15"/>
    </row>
    <row r="254" spans="1:9" ht="24" x14ac:dyDescent="0.4">
      <c r="A254" s="13" t="s">
        <v>51</v>
      </c>
      <c r="B254" s="14"/>
    </row>
    <row r="255" spans="1:9" x14ac:dyDescent="0.25">
      <c r="A255" t="s">
        <v>5</v>
      </c>
      <c r="B255" t="s">
        <v>52</v>
      </c>
      <c r="C255" t="s">
        <v>35</v>
      </c>
    </row>
    <row r="256" spans="1:9" x14ac:dyDescent="0.25">
      <c r="A256">
        <v>1</v>
      </c>
      <c r="B256">
        <v>16</v>
      </c>
      <c r="C256" t="str">
        <f>MID($C$253,B256,1)</f>
        <v>1</v>
      </c>
      <c r="D256" t="str">
        <f t="shared" ref="D256:D284" si="29">C256&amp;D257</f>
        <v>10010111110100010110000110011010</v>
      </c>
    </row>
    <row r="257" spans="1:4" x14ac:dyDescent="0.25">
      <c r="A257">
        <v>2</v>
      </c>
      <c r="B257">
        <v>7</v>
      </c>
      <c r="C257" t="str">
        <f t="shared" ref="C257:C287" si="30">MID($C$253,B257,1)</f>
        <v>0</v>
      </c>
      <c r="D257" t="str">
        <f t="shared" si="29"/>
        <v>0010111110100010110000110011010</v>
      </c>
    </row>
    <row r="258" spans="1:4" x14ac:dyDescent="0.25">
      <c r="A258">
        <v>3</v>
      </c>
      <c r="B258">
        <v>20</v>
      </c>
      <c r="C258" t="str">
        <f t="shared" si="30"/>
        <v>0</v>
      </c>
      <c r="D258" t="str">
        <f t="shared" si="29"/>
        <v>010111110100010110000110011010</v>
      </c>
    </row>
    <row r="259" spans="1:4" x14ac:dyDescent="0.25">
      <c r="A259">
        <v>4</v>
      </c>
      <c r="B259">
        <v>21</v>
      </c>
      <c r="C259" t="str">
        <f t="shared" si="30"/>
        <v>1</v>
      </c>
      <c r="D259" t="str">
        <f t="shared" si="29"/>
        <v>10111110100010110000110011010</v>
      </c>
    </row>
    <row r="260" spans="1:4" x14ac:dyDescent="0.25">
      <c r="A260">
        <v>5</v>
      </c>
      <c r="B260">
        <v>29</v>
      </c>
      <c r="C260" t="str">
        <f t="shared" si="30"/>
        <v>0</v>
      </c>
      <c r="D260" t="str">
        <f t="shared" si="29"/>
        <v>0111110100010110000110011010</v>
      </c>
    </row>
    <row r="261" spans="1:4" x14ac:dyDescent="0.25">
      <c r="A261">
        <v>6</v>
      </c>
      <c r="B261">
        <v>12</v>
      </c>
      <c r="C261" t="str">
        <f t="shared" si="30"/>
        <v>1</v>
      </c>
      <c r="D261" t="str">
        <f t="shared" si="29"/>
        <v>111110100010110000110011010</v>
      </c>
    </row>
    <row r="262" spans="1:4" x14ac:dyDescent="0.25">
      <c r="A262">
        <v>7</v>
      </c>
      <c r="B262">
        <v>28</v>
      </c>
      <c r="C262" t="str">
        <f t="shared" si="30"/>
        <v>1</v>
      </c>
      <c r="D262" t="str">
        <f t="shared" si="29"/>
        <v>11110100010110000110011010</v>
      </c>
    </row>
    <row r="263" spans="1:4" x14ac:dyDescent="0.25">
      <c r="A263">
        <v>8</v>
      </c>
      <c r="B263">
        <v>17</v>
      </c>
      <c r="C263" t="str">
        <f t="shared" si="30"/>
        <v>1</v>
      </c>
      <c r="D263" t="str">
        <f t="shared" si="29"/>
        <v>1110100010110000110011010</v>
      </c>
    </row>
    <row r="264" spans="1:4" x14ac:dyDescent="0.25">
      <c r="A264">
        <v>9</v>
      </c>
      <c r="B264">
        <v>1</v>
      </c>
      <c r="C264" t="str">
        <f t="shared" si="30"/>
        <v>1</v>
      </c>
      <c r="D264" t="str">
        <f t="shared" si="29"/>
        <v>110100010110000110011010</v>
      </c>
    </row>
    <row r="265" spans="1:4" x14ac:dyDescent="0.25">
      <c r="A265">
        <v>10</v>
      </c>
      <c r="B265">
        <v>15</v>
      </c>
      <c r="C265" t="str">
        <f t="shared" si="30"/>
        <v>1</v>
      </c>
      <c r="D265" t="str">
        <f t="shared" si="29"/>
        <v>10100010110000110011010</v>
      </c>
    </row>
    <row r="266" spans="1:4" x14ac:dyDescent="0.25">
      <c r="A266">
        <v>11</v>
      </c>
      <c r="B266">
        <v>23</v>
      </c>
      <c r="C266" t="str">
        <f t="shared" si="30"/>
        <v>0</v>
      </c>
      <c r="D266" t="str">
        <f t="shared" si="29"/>
        <v>0100010110000110011010</v>
      </c>
    </row>
    <row r="267" spans="1:4" x14ac:dyDescent="0.25">
      <c r="A267">
        <v>12</v>
      </c>
      <c r="B267">
        <v>26</v>
      </c>
      <c r="C267" t="str">
        <f t="shared" si="30"/>
        <v>1</v>
      </c>
      <c r="D267" t="str">
        <f t="shared" si="29"/>
        <v>100010110000110011010</v>
      </c>
    </row>
    <row r="268" spans="1:4" x14ac:dyDescent="0.25">
      <c r="A268">
        <v>13</v>
      </c>
      <c r="B268">
        <v>5</v>
      </c>
      <c r="C268" t="str">
        <f t="shared" si="30"/>
        <v>0</v>
      </c>
      <c r="D268" t="str">
        <f t="shared" si="29"/>
        <v>00010110000110011010</v>
      </c>
    </row>
    <row r="269" spans="1:4" x14ac:dyDescent="0.25">
      <c r="A269">
        <v>14</v>
      </c>
      <c r="B269">
        <v>18</v>
      </c>
      <c r="C269" t="str">
        <f t="shared" si="30"/>
        <v>0</v>
      </c>
      <c r="D269" t="str">
        <f t="shared" si="29"/>
        <v>0010110000110011010</v>
      </c>
    </row>
    <row r="270" spans="1:4" x14ac:dyDescent="0.25">
      <c r="A270">
        <v>15</v>
      </c>
      <c r="B270">
        <v>31</v>
      </c>
      <c r="C270" t="str">
        <f t="shared" si="30"/>
        <v>0</v>
      </c>
      <c r="D270" t="str">
        <f t="shared" si="29"/>
        <v>010110000110011010</v>
      </c>
    </row>
    <row r="271" spans="1:4" x14ac:dyDescent="0.25">
      <c r="A271">
        <v>16</v>
      </c>
      <c r="B271">
        <v>10</v>
      </c>
      <c r="C271" t="str">
        <f t="shared" si="30"/>
        <v>1</v>
      </c>
      <c r="D271" t="str">
        <f t="shared" si="29"/>
        <v>10110000110011010</v>
      </c>
    </row>
    <row r="272" spans="1:4" x14ac:dyDescent="0.25">
      <c r="A272">
        <v>17</v>
      </c>
      <c r="B272">
        <v>2</v>
      </c>
      <c r="C272" t="str">
        <f t="shared" si="30"/>
        <v>0</v>
      </c>
      <c r="D272" t="str">
        <f t="shared" si="29"/>
        <v>0110000110011010</v>
      </c>
    </row>
    <row r="273" spans="1:4" x14ac:dyDescent="0.25">
      <c r="A273">
        <v>18</v>
      </c>
      <c r="B273">
        <v>8</v>
      </c>
      <c r="C273" t="str">
        <f t="shared" si="30"/>
        <v>1</v>
      </c>
      <c r="D273" t="str">
        <f t="shared" si="29"/>
        <v>110000110011010</v>
      </c>
    </row>
    <row r="274" spans="1:4" x14ac:dyDescent="0.25">
      <c r="A274">
        <v>19</v>
      </c>
      <c r="B274">
        <v>24</v>
      </c>
      <c r="C274" t="str">
        <f t="shared" si="30"/>
        <v>1</v>
      </c>
      <c r="D274" t="str">
        <f t="shared" si="29"/>
        <v>10000110011010</v>
      </c>
    </row>
    <row r="275" spans="1:4" x14ac:dyDescent="0.25">
      <c r="A275">
        <v>20</v>
      </c>
      <c r="B275">
        <v>14</v>
      </c>
      <c r="C275" t="str">
        <f t="shared" si="30"/>
        <v>0</v>
      </c>
      <c r="D275" t="str">
        <f t="shared" si="29"/>
        <v>0000110011010</v>
      </c>
    </row>
    <row r="276" spans="1:4" x14ac:dyDescent="0.25">
      <c r="A276">
        <v>21</v>
      </c>
      <c r="B276">
        <v>32</v>
      </c>
      <c r="C276" t="str">
        <f t="shared" si="30"/>
        <v>0</v>
      </c>
      <c r="D276" t="str">
        <f t="shared" si="29"/>
        <v>000110011010</v>
      </c>
    </row>
    <row r="277" spans="1:4" x14ac:dyDescent="0.25">
      <c r="A277">
        <v>22</v>
      </c>
      <c r="B277">
        <v>27</v>
      </c>
      <c r="C277" t="str">
        <f t="shared" si="30"/>
        <v>0</v>
      </c>
      <c r="D277" t="str">
        <f t="shared" si="29"/>
        <v>00110011010</v>
      </c>
    </row>
    <row r="278" spans="1:4" x14ac:dyDescent="0.25">
      <c r="A278">
        <v>23</v>
      </c>
      <c r="B278">
        <v>3</v>
      </c>
      <c r="C278" t="str">
        <f t="shared" si="30"/>
        <v>0</v>
      </c>
      <c r="D278" t="str">
        <f t="shared" si="29"/>
        <v>0110011010</v>
      </c>
    </row>
    <row r="279" spans="1:4" x14ac:dyDescent="0.25">
      <c r="A279">
        <v>24</v>
      </c>
      <c r="B279">
        <v>9</v>
      </c>
      <c r="C279" t="str">
        <f t="shared" si="30"/>
        <v>1</v>
      </c>
      <c r="D279" t="str">
        <f t="shared" si="29"/>
        <v>110011010</v>
      </c>
    </row>
    <row r="280" spans="1:4" x14ac:dyDescent="0.25">
      <c r="A280">
        <v>25</v>
      </c>
      <c r="B280">
        <v>19</v>
      </c>
      <c r="C280" t="str">
        <f t="shared" si="30"/>
        <v>1</v>
      </c>
      <c r="D280" t="str">
        <f t="shared" si="29"/>
        <v>10011010</v>
      </c>
    </row>
    <row r="281" spans="1:4" x14ac:dyDescent="0.25">
      <c r="A281">
        <v>26</v>
      </c>
      <c r="B281">
        <v>13</v>
      </c>
      <c r="C281" t="str">
        <f t="shared" si="30"/>
        <v>0</v>
      </c>
      <c r="D281" t="str">
        <f t="shared" si="29"/>
        <v>0011010</v>
      </c>
    </row>
    <row r="282" spans="1:4" x14ac:dyDescent="0.25">
      <c r="A282">
        <v>27</v>
      </c>
      <c r="B282">
        <v>30</v>
      </c>
      <c r="C282" t="str">
        <f t="shared" si="30"/>
        <v>0</v>
      </c>
      <c r="D282" t="str">
        <f t="shared" si="29"/>
        <v>011010</v>
      </c>
    </row>
    <row r="283" spans="1:4" x14ac:dyDescent="0.25">
      <c r="A283">
        <v>28</v>
      </c>
      <c r="B283">
        <v>6</v>
      </c>
      <c r="C283" t="str">
        <f t="shared" si="30"/>
        <v>1</v>
      </c>
      <c r="D283" t="str">
        <f t="shared" si="29"/>
        <v>11010</v>
      </c>
    </row>
    <row r="284" spans="1:4" x14ac:dyDescent="0.25">
      <c r="A284">
        <v>29</v>
      </c>
      <c r="B284">
        <v>22</v>
      </c>
      <c r="C284" t="str">
        <f t="shared" si="30"/>
        <v>1</v>
      </c>
      <c r="D284" t="str">
        <f t="shared" si="29"/>
        <v>1010</v>
      </c>
    </row>
    <row r="285" spans="1:4" x14ac:dyDescent="0.25">
      <c r="A285">
        <v>30</v>
      </c>
      <c r="B285">
        <v>11</v>
      </c>
      <c r="C285" t="str">
        <f t="shared" si="30"/>
        <v>0</v>
      </c>
      <c r="D285" t="str">
        <f>C285&amp;D286</f>
        <v>010</v>
      </c>
    </row>
    <row r="286" spans="1:4" x14ac:dyDescent="0.25">
      <c r="A286">
        <v>31</v>
      </c>
      <c r="B286">
        <v>4</v>
      </c>
      <c r="C286" t="str">
        <f t="shared" si="30"/>
        <v>1</v>
      </c>
      <c r="D286" t="str">
        <f>C286&amp;C287</f>
        <v>10</v>
      </c>
    </row>
    <row r="287" spans="1:4" x14ac:dyDescent="0.25">
      <c r="A287">
        <v>32</v>
      </c>
      <c r="B287">
        <v>25</v>
      </c>
      <c r="C287" t="str">
        <f t="shared" si="30"/>
        <v>0</v>
      </c>
    </row>
    <row r="289" spans="1:11" ht="18.75" x14ac:dyDescent="0.3">
      <c r="A289" t="s">
        <v>234</v>
      </c>
      <c r="B289" s="16" t="str">
        <f>D256</f>
        <v>10010111110100010110000110011010</v>
      </c>
      <c r="C289" s="16"/>
      <c r="D289" s="16"/>
      <c r="E289" s="16"/>
      <c r="H289" s="7" t="s">
        <v>7</v>
      </c>
      <c r="I289" s="7" t="s">
        <v>7</v>
      </c>
      <c r="J289" s="7" t="s">
        <v>8</v>
      </c>
      <c r="K289" s="1" t="s">
        <v>53</v>
      </c>
    </row>
    <row r="290" spans="1:11" x14ac:dyDescent="0.25">
      <c r="H290" s="7">
        <v>1</v>
      </c>
      <c r="I290" s="7" t="str">
        <f>MID($B$289,(H290-1)*8+1,8)</f>
        <v>10010111</v>
      </c>
      <c r="J290" s="7" t="str">
        <f>BIN2HEX(I290,2)</f>
        <v>97</v>
      </c>
      <c r="K290">
        <f>BIN2DEC(I290)</f>
        <v>151</v>
      </c>
    </row>
    <row r="291" spans="1:11" x14ac:dyDescent="0.25">
      <c r="H291" s="7">
        <v>2</v>
      </c>
      <c r="I291" s="7" t="str">
        <f>MID($B$289,(H291-1)*8+1,8)</f>
        <v>11010001</v>
      </c>
      <c r="J291" s="7" t="str">
        <f t="shared" ref="J291:J293" si="31">BIN2HEX(I291,2)</f>
        <v>D1</v>
      </c>
      <c r="K291">
        <f t="shared" ref="K291:K293" si="32">BIN2DEC(I291)</f>
        <v>209</v>
      </c>
    </row>
    <row r="292" spans="1:11" x14ac:dyDescent="0.25">
      <c r="H292" s="7">
        <v>3</v>
      </c>
      <c r="I292" s="7" t="str">
        <f>MID($B$289,(H292-1)*8+1,8)</f>
        <v>01100001</v>
      </c>
      <c r="J292" s="7" t="str">
        <f t="shared" si="31"/>
        <v>61</v>
      </c>
      <c r="K292">
        <f t="shared" si="32"/>
        <v>97</v>
      </c>
    </row>
    <row r="293" spans="1:11" x14ac:dyDescent="0.25">
      <c r="H293" s="7">
        <v>4</v>
      </c>
      <c r="I293" s="7" t="str">
        <f>MID($B$289,(H293-1)*8+1,8)</f>
        <v>10011010</v>
      </c>
      <c r="J293" s="7" t="str">
        <f t="shared" si="31"/>
        <v>9A</v>
      </c>
      <c r="K293">
        <f t="shared" si="32"/>
        <v>154</v>
      </c>
    </row>
    <row r="296" spans="1:11" x14ac:dyDescent="0.25">
      <c r="A296" t="s">
        <v>56</v>
      </c>
      <c r="B296" t="str">
        <f>B94</f>
        <v>10011000111111101100110000000000</v>
      </c>
      <c r="H296" s="7" t="s">
        <v>7</v>
      </c>
      <c r="I296" s="7" t="s">
        <v>7</v>
      </c>
      <c r="J296" s="7" t="s">
        <v>8</v>
      </c>
      <c r="K296" s="1" t="s">
        <v>53</v>
      </c>
    </row>
    <row r="297" spans="1:11" x14ac:dyDescent="0.25">
      <c r="H297" s="7">
        <v>1</v>
      </c>
      <c r="I297" s="7" t="str">
        <f>MID($B$296,(H297-1)*8+1,8)</f>
        <v>10011000</v>
      </c>
      <c r="J297" s="7" t="str">
        <f>BIN2HEX(I297,2)</f>
        <v>98</v>
      </c>
      <c r="K297">
        <f>BIN2DEC(I297)</f>
        <v>152</v>
      </c>
    </row>
    <row r="298" spans="1:11" x14ac:dyDescent="0.25">
      <c r="H298" s="7">
        <v>2</v>
      </c>
      <c r="I298" s="7" t="str">
        <f>MID($B$296,(H298-1)*8+1,8)</f>
        <v>11111110</v>
      </c>
      <c r="J298" s="7" t="str">
        <f t="shared" ref="J298:J300" si="33">BIN2HEX(I298,2)</f>
        <v>FE</v>
      </c>
      <c r="K298">
        <f t="shared" ref="K298:K300" si="34">BIN2DEC(I298)</f>
        <v>254</v>
      </c>
    </row>
    <row r="299" spans="1:11" x14ac:dyDescent="0.25">
      <c r="H299" s="7">
        <v>3</v>
      </c>
      <c r="I299" s="7" t="str">
        <f>MID($B$296,(H299-1)*8+1,8)</f>
        <v>11001100</v>
      </c>
      <c r="J299" s="7" t="str">
        <f t="shared" si="33"/>
        <v>CC</v>
      </c>
      <c r="K299">
        <f t="shared" si="34"/>
        <v>204</v>
      </c>
    </row>
    <row r="300" spans="1:11" x14ac:dyDescent="0.25">
      <c r="H300" s="7">
        <v>4</v>
      </c>
      <c r="I300" s="7" t="str">
        <f>MID($B$296,(H300-1)*8+1,8)</f>
        <v>00000000</v>
      </c>
      <c r="J300" s="7" t="str">
        <f t="shared" si="33"/>
        <v>00</v>
      </c>
      <c r="K300">
        <f t="shared" si="34"/>
        <v>0</v>
      </c>
    </row>
    <row r="302" spans="1:11" ht="21" x14ac:dyDescent="0.35">
      <c r="A302" t="s">
        <v>235</v>
      </c>
      <c r="G302" t="s">
        <v>29</v>
      </c>
      <c r="H302" s="8" t="str">
        <f>E304&amp;E305&amp;E306&amp;E307</f>
        <v>00001111001011111010110110011010</v>
      </c>
      <c r="I302" s="8"/>
      <c r="J302" s="8"/>
      <c r="K302" s="8"/>
    </row>
    <row r="303" spans="1:11" x14ac:dyDescent="0.25">
      <c r="B303" s="7" t="s">
        <v>7</v>
      </c>
      <c r="C303" s="7" t="s">
        <v>34</v>
      </c>
      <c r="D303" s="7" t="s">
        <v>8</v>
      </c>
      <c r="E303" s="17" t="s">
        <v>35</v>
      </c>
      <c r="G303" t="s">
        <v>54</v>
      </c>
    </row>
    <row r="304" spans="1:11" ht="21" x14ac:dyDescent="0.35">
      <c r="B304" s="7">
        <v>1</v>
      </c>
      <c r="C304" s="7">
        <f>_xlfn.BITXOR(K290,K297)</f>
        <v>15</v>
      </c>
      <c r="D304" s="7" t="str">
        <f>DEC2HEX(C304)</f>
        <v>F</v>
      </c>
      <c r="E304" s="7" t="str">
        <f>DEC2BIN(C304,8)</f>
        <v>00001111</v>
      </c>
      <c r="G304" t="s">
        <v>28</v>
      </c>
      <c r="H304" s="8" t="str">
        <f>B95</f>
        <v>11100000010101001111000010101010</v>
      </c>
      <c r="I304" s="8"/>
      <c r="J304" s="8"/>
      <c r="K304" s="8"/>
    </row>
    <row r="305" spans="2:5" x14ac:dyDescent="0.25">
      <c r="B305" s="7">
        <v>2</v>
      </c>
      <c r="C305" s="7">
        <f t="shared" ref="C305:C307" si="35">_xlfn.BITXOR(K291,K298)</f>
        <v>47</v>
      </c>
      <c r="D305" s="7" t="str">
        <f t="shared" ref="D305:D307" si="36">DEC2HEX(C305)</f>
        <v>2F</v>
      </c>
      <c r="E305" s="7" t="str">
        <f t="shared" ref="E305:E307" si="37">DEC2BIN(C305,8)</f>
        <v>00101111</v>
      </c>
    </row>
    <row r="306" spans="2:5" x14ac:dyDescent="0.25">
      <c r="B306" s="7">
        <v>3</v>
      </c>
      <c r="C306" s="7">
        <f t="shared" si="35"/>
        <v>173</v>
      </c>
      <c r="D306" s="7" t="str">
        <f t="shared" si="36"/>
        <v>AD</v>
      </c>
      <c r="E306" s="7" t="str">
        <f t="shared" si="37"/>
        <v>10101101</v>
      </c>
    </row>
    <row r="307" spans="2:5" x14ac:dyDescent="0.25">
      <c r="B307" s="7">
        <v>4</v>
      </c>
      <c r="C307" s="7">
        <f t="shared" si="35"/>
        <v>154</v>
      </c>
      <c r="D307" s="7" t="str">
        <f t="shared" si="36"/>
        <v>9A</v>
      </c>
      <c r="E307" s="7" t="str">
        <f t="shared" si="37"/>
        <v>10011010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4496-DDB3-4D49-8F56-445813CCE67A}">
  <dimension ref="A1:N58"/>
  <sheetViews>
    <sheetView workbookViewId="0">
      <selection activeCell="K9" sqref="K9"/>
    </sheetView>
  </sheetViews>
  <sheetFormatPr defaultRowHeight="15" x14ac:dyDescent="0.25"/>
  <sheetData>
    <row r="1" spans="1:14" ht="21" x14ac:dyDescent="0.35">
      <c r="A1" s="18" t="s">
        <v>13</v>
      </c>
      <c r="B1" s="19" t="s">
        <v>15</v>
      </c>
      <c r="C1" s="19"/>
      <c r="D1" s="19"/>
      <c r="E1" s="18"/>
      <c r="F1" s="18"/>
      <c r="I1" s="18" t="s">
        <v>14</v>
      </c>
      <c r="J1" s="19" t="s">
        <v>16</v>
      </c>
      <c r="K1" s="19"/>
      <c r="L1" s="19"/>
      <c r="M1" s="18"/>
      <c r="N1" s="5"/>
    </row>
    <row r="3" spans="1:14" x14ac:dyDescent="0.25">
      <c r="A3" t="s">
        <v>59</v>
      </c>
      <c r="B3" s="20" t="s">
        <v>60</v>
      </c>
      <c r="I3" t="s">
        <v>61</v>
      </c>
      <c r="J3" s="20" t="s">
        <v>62</v>
      </c>
    </row>
    <row r="8" spans="1:14" x14ac:dyDescent="0.25">
      <c r="A8" t="s">
        <v>69</v>
      </c>
      <c r="D8" s="1" t="s">
        <v>64</v>
      </c>
      <c r="E8" s="1"/>
      <c r="F8" s="1"/>
      <c r="G8" s="1"/>
      <c r="H8" s="1"/>
      <c r="I8" s="1"/>
      <c r="J8" s="7" t="s">
        <v>7</v>
      </c>
      <c r="K8" s="7" t="s">
        <v>7</v>
      </c>
      <c r="L8" s="7" t="s">
        <v>8</v>
      </c>
    </row>
    <row r="9" spans="1:14" x14ac:dyDescent="0.25">
      <c r="B9" t="s">
        <v>82</v>
      </c>
      <c r="C9" s="6" t="s">
        <v>63</v>
      </c>
      <c r="D9" s="5"/>
      <c r="E9" s="5"/>
      <c r="F9" s="5"/>
      <c r="G9" s="5"/>
      <c r="H9" s="5"/>
      <c r="I9" s="5"/>
      <c r="J9" s="7">
        <v>1</v>
      </c>
      <c r="K9" s="7" t="str">
        <f>MID($D$8,(J9-1)*8+1,8)</f>
        <v>01101001</v>
      </c>
      <c r="L9" s="7" t="str">
        <f>BIN2HEX(K9,2)</f>
        <v>69</v>
      </c>
      <c r="N9" s="20"/>
    </row>
    <row r="10" spans="1:14" x14ac:dyDescent="0.25">
      <c r="A10" t="s">
        <v>5</v>
      </c>
      <c r="B10" t="s">
        <v>19</v>
      </c>
      <c r="C10" t="s">
        <v>18</v>
      </c>
      <c r="J10" s="7">
        <v>2</v>
      </c>
      <c r="K10" s="7" t="str">
        <f t="shared" ref="K10:K14" si="0">MID($D$8,(J10-1)*8+1,8)</f>
        <v>10101110</v>
      </c>
      <c r="L10" s="7" t="str">
        <f t="shared" ref="L10:L14" si="1">BIN2HEX(K10,2)</f>
        <v>AE</v>
      </c>
    </row>
    <row r="11" spans="1:14" x14ac:dyDescent="0.25">
      <c r="A11">
        <v>1</v>
      </c>
      <c r="B11">
        <v>14</v>
      </c>
      <c r="C11" t="str">
        <f>MID($C$9,B11,1)</f>
        <v>0</v>
      </c>
      <c r="D11" t="str">
        <f t="shared" ref="D11:D55" si="2">C11&amp;D12</f>
        <v>011010011010111011011001001001011110101001100110</v>
      </c>
      <c r="J11" s="7">
        <v>3</v>
      </c>
      <c r="K11" s="7" t="str">
        <f t="shared" si="0"/>
        <v>11011001</v>
      </c>
      <c r="L11" s="7" t="str">
        <f t="shared" si="1"/>
        <v>D9</v>
      </c>
    </row>
    <row r="12" spans="1:14" x14ac:dyDescent="0.25">
      <c r="A12">
        <v>2</v>
      </c>
      <c r="B12">
        <v>17</v>
      </c>
      <c r="C12" t="str">
        <f t="shared" ref="C12:C58" si="3">MID($C$9,B12,1)</f>
        <v>1</v>
      </c>
      <c r="D12" t="str">
        <f t="shared" si="2"/>
        <v>11010011010111011011001001001011110101001100110</v>
      </c>
      <c r="J12" s="7">
        <v>4</v>
      </c>
      <c r="K12" s="7" t="str">
        <f t="shared" si="0"/>
        <v>00100101</v>
      </c>
      <c r="L12" s="7" t="str">
        <f t="shared" si="1"/>
        <v>25</v>
      </c>
    </row>
    <row r="13" spans="1:14" x14ac:dyDescent="0.25">
      <c r="A13">
        <v>3</v>
      </c>
      <c r="B13">
        <v>11</v>
      </c>
      <c r="C13" t="str">
        <f t="shared" si="3"/>
        <v>1</v>
      </c>
      <c r="D13" t="str">
        <f t="shared" si="2"/>
        <v>1010011010111011011001001001011110101001100110</v>
      </c>
      <c r="J13" s="7">
        <v>5</v>
      </c>
      <c r="K13" s="7" t="str">
        <f t="shared" si="0"/>
        <v>11101010</v>
      </c>
      <c r="L13" s="7" t="str">
        <f t="shared" si="1"/>
        <v>EA</v>
      </c>
    </row>
    <row r="14" spans="1:14" x14ac:dyDescent="0.25">
      <c r="A14">
        <v>4</v>
      </c>
      <c r="B14">
        <v>24</v>
      </c>
      <c r="C14" t="str">
        <f t="shared" si="3"/>
        <v>0</v>
      </c>
      <c r="D14" t="str">
        <f t="shared" si="2"/>
        <v>010011010111011011001001001011110101001100110</v>
      </c>
      <c r="J14" s="7">
        <v>6</v>
      </c>
      <c r="K14" s="7" t="str">
        <f t="shared" si="0"/>
        <v>01100110</v>
      </c>
      <c r="L14" s="7" t="str">
        <f t="shared" si="1"/>
        <v>66</v>
      </c>
    </row>
    <row r="15" spans="1:14" x14ac:dyDescent="0.25">
      <c r="A15">
        <v>5</v>
      </c>
      <c r="B15">
        <v>1</v>
      </c>
      <c r="C15" t="str">
        <f t="shared" si="3"/>
        <v>1</v>
      </c>
      <c r="D15" t="str">
        <f t="shared" si="2"/>
        <v>10011010111011011001001001011110101001100110</v>
      </c>
    </row>
    <row r="16" spans="1:14" x14ac:dyDescent="0.25">
      <c r="A16">
        <v>6</v>
      </c>
      <c r="B16">
        <v>5</v>
      </c>
      <c r="C16" t="str">
        <f t="shared" si="3"/>
        <v>0</v>
      </c>
      <c r="D16" t="str">
        <f t="shared" si="2"/>
        <v>0011010111011011001001001011110101001100110</v>
      </c>
    </row>
    <row r="17" spans="1:4" x14ac:dyDescent="0.25">
      <c r="A17">
        <v>7</v>
      </c>
      <c r="B17">
        <v>3</v>
      </c>
      <c r="C17" t="str">
        <f t="shared" si="3"/>
        <v>0</v>
      </c>
      <c r="D17" t="str">
        <f t="shared" si="2"/>
        <v>011010111011011001001001011110101001100110</v>
      </c>
    </row>
    <row r="18" spans="1:4" x14ac:dyDescent="0.25">
      <c r="A18">
        <v>8</v>
      </c>
      <c r="B18">
        <v>28</v>
      </c>
      <c r="C18" t="str">
        <f t="shared" si="3"/>
        <v>1</v>
      </c>
      <c r="D18" t="str">
        <f t="shared" si="2"/>
        <v>11010111011011001001001011110101001100110</v>
      </c>
    </row>
    <row r="19" spans="1:4" x14ac:dyDescent="0.25">
      <c r="A19">
        <v>9</v>
      </c>
      <c r="B19">
        <v>15</v>
      </c>
      <c r="C19" t="str">
        <f t="shared" si="3"/>
        <v>1</v>
      </c>
      <c r="D19" t="str">
        <f t="shared" si="2"/>
        <v>1010111011011001001001011110101001100110</v>
      </c>
    </row>
    <row r="20" spans="1:4" x14ac:dyDescent="0.25">
      <c r="A20">
        <v>10</v>
      </c>
      <c r="B20">
        <v>6</v>
      </c>
      <c r="C20" t="str">
        <f t="shared" si="3"/>
        <v>0</v>
      </c>
      <c r="D20" t="str">
        <f t="shared" si="2"/>
        <v>010111011011001001001011110101001100110</v>
      </c>
    </row>
    <row r="21" spans="1:4" x14ac:dyDescent="0.25">
      <c r="A21">
        <v>11</v>
      </c>
      <c r="B21">
        <v>21</v>
      </c>
      <c r="C21" t="str">
        <f t="shared" si="3"/>
        <v>1</v>
      </c>
      <c r="D21" t="str">
        <f t="shared" si="2"/>
        <v>10111011011001001001011110101001100110</v>
      </c>
    </row>
    <row r="22" spans="1:4" x14ac:dyDescent="0.25">
      <c r="A22">
        <v>12</v>
      </c>
      <c r="B22">
        <v>10</v>
      </c>
      <c r="C22" t="str">
        <f t="shared" si="3"/>
        <v>0</v>
      </c>
      <c r="D22" t="str">
        <f t="shared" si="2"/>
        <v>0111011011001001001011110101001100110</v>
      </c>
    </row>
    <row r="23" spans="1:4" x14ac:dyDescent="0.25">
      <c r="A23">
        <v>13</v>
      </c>
      <c r="B23">
        <v>23</v>
      </c>
      <c r="C23" t="str">
        <f t="shared" si="3"/>
        <v>1</v>
      </c>
      <c r="D23" t="str">
        <f t="shared" si="2"/>
        <v>111011011001001001011110101001100110</v>
      </c>
    </row>
    <row r="24" spans="1:4" x14ac:dyDescent="0.25">
      <c r="A24">
        <v>14</v>
      </c>
      <c r="B24">
        <v>19</v>
      </c>
      <c r="C24" t="str">
        <f t="shared" si="3"/>
        <v>1</v>
      </c>
      <c r="D24" t="str">
        <f t="shared" si="2"/>
        <v>11011011001001001011110101001100110</v>
      </c>
    </row>
    <row r="25" spans="1:4" x14ac:dyDescent="0.25">
      <c r="A25">
        <v>15</v>
      </c>
      <c r="B25">
        <v>12</v>
      </c>
      <c r="C25" t="str">
        <f t="shared" si="3"/>
        <v>1</v>
      </c>
      <c r="D25" t="str">
        <f t="shared" si="2"/>
        <v>1011011001001001011110101001100110</v>
      </c>
    </row>
    <row r="26" spans="1:4" x14ac:dyDescent="0.25">
      <c r="A26">
        <v>16</v>
      </c>
      <c r="B26">
        <v>4</v>
      </c>
      <c r="C26" t="str">
        <f t="shared" si="3"/>
        <v>0</v>
      </c>
      <c r="D26" t="str">
        <f t="shared" si="2"/>
        <v>011011001001001011110101001100110</v>
      </c>
    </row>
    <row r="27" spans="1:4" x14ac:dyDescent="0.25">
      <c r="A27">
        <v>17</v>
      </c>
      <c r="B27">
        <v>26</v>
      </c>
      <c r="C27" t="str">
        <f t="shared" si="3"/>
        <v>1</v>
      </c>
      <c r="D27" t="str">
        <f t="shared" si="2"/>
        <v>11011001001001011110101001100110</v>
      </c>
    </row>
    <row r="28" spans="1:4" x14ac:dyDescent="0.25">
      <c r="A28">
        <v>18</v>
      </c>
      <c r="B28">
        <v>8</v>
      </c>
      <c r="C28" t="str">
        <f t="shared" si="3"/>
        <v>1</v>
      </c>
      <c r="D28" t="str">
        <f t="shared" si="2"/>
        <v>1011001001001011110101001100110</v>
      </c>
    </row>
    <row r="29" spans="1:4" x14ac:dyDescent="0.25">
      <c r="A29">
        <v>19</v>
      </c>
      <c r="B29">
        <v>16</v>
      </c>
      <c r="C29" t="str">
        <f t="shared" si="3"/>
        <v>0</v>
      </c>
      <c r="D29" t="str">
        <f t="shared" si="2"/>
        <v>011001001001011110101001100110</v>
      </c>
    </row>
    <row r="30" spans="1:4" x14ac:dyDescent="0.25">
      <c r="A30">
        <v>20</v>
      </c>
      <c r="B30">
        <v>7</v>
      </c>
      <c r="C30" t="str">
        <f t="shared" si="3"/>
        <v>1</v>
      </c>
      <c r="D30" t="str">
        <f t="shared" si="2"/>
        <v>11001001001011110101001100110</v>
      </c>
    </row>
    <row r="31" spans="1:4" x14ac:dyDescent="0.25">
      <c r="A31">
        <v>21</v>
      </c>
      <c r="B31">
        <v>27</v>
      </c>
      <c r="C31" t="str">
        <f t="shared" si="3"/>
        <v>1</v>
      </c>
      <c r="D31" t="str">
        <f t="shared" si="2"/>
        <v>1001001001011110101001100110</v>
      </c>
    </row>
    <row r="32" spans="1:4" x14ac:dyDescent="0.25">
      <c r="A32">
        <v>22</v>
      </c>
      <c r="B32">
        <v>20</v>
      </c>
      <c r="C32" t="str">
        <f t="shared" si="3"/>
        <v>0</v>
      </c>
      <c r="D32" t="str">
        <f t="shared" si="2"/>
        <v>001001001011110101001100110</v>
      </c>
    </row>
    <row r="33" spans="1:4" x14ac:dyDescent="0.25">
      <c r="A33">
        <v>23</v>
      </c>
      <c r="B33">
        <v>13</v>
      </c>
      <c r="C33" t="str">
        <f t="shared" si="3"/>
        <v>0</v>
      </c>
      <c r="D33" t="str">
        <f t="shared" si="2"/>
        <v>01001001011110101001100110</v>
      </c>
    </row>
    <row r="34" spans="1:4" x14ac:dyDescent="0.25">
      <c r="A34">
        <v>24</v>
      </c>
      <c r="B34">
        <v>2</v>
      </c>
      <c r="C34" t="str">
        <f t="shared" si="3"/>
        <v>1</v>
      </c>
      <c r="D34" t="str">
        <f t="shared" si="2"/>
        <v>1001001011110101001100110</v>
      </c>
    </row>
    <row r="35" spans="1:4" x14ac:dyDescent="0.25">
      <c r="A35">
        <v>25</v>
      </c>
      <c r="B35">
        <v>41</v>
      </c>
      <c r="C35" t="str">
        <f t="shared" si="3"/>
        <v>0</v>
      </c>
      <c r="D35" t="str">
        <f t="shared" si="2"/>
        <v>001001011110101001100110</v>
      </c>
    </row>
    <row r="36" spans="1:4" x14ac:dyDescent="0.25">
      <c r="A36">
        <v>26</v>
      </c>
      <c r="B36">
        <v>52</v>
      </c>
      <c r="C36" t="str">
        <f t="shared" si="3"/>
        <v>0</v>
      </c>
      <c r="D36" t="str">
        <f t="shared" si="2"/>
        <v>01001011110101001100110</v>
      </c>
    </row>
    <row r="37" spans="1:4" x14ac:dyDescent="0.25">
      <c r="A37">
        <v>27</v>
      </c>
      <c r="B37">
        <v>31</v>
      </c>
      <c r="C37" t="str">
        <f t="shared" si="3"/>
        <v>1</v>
      </c>
      <c r="D37" t="str">
        <f t="shared" si="2"/>
        <v>1001011110101001100110</v>
      </c>
    </row>
    <row r="38" spans="1:4" x14ac:dyDescent="0.25">
      <c r="A38">
        <v>28</v>
      </c>
      <c r="B38">
        <v>37</v>
      </c>
      <c r="C38" t="str">
        <f t="shared" si="3"/>
        <v>0</v>
      </c>
      <c r="D38" t="str">
        <f t="shared" si="2"/>
        <v>001011110101001100110</v>
      </c>
    </row>
    <row r="39" spans="1:4" x14ac:dyDescent="0.25">
      <c r="A39">
        <v>29</v>
      </c>
      <c r="B39">
        <v>47</v>
      </c>
      <c r="C39" t="str">
        <f t="shared" si="3"/>
        <v>0</v>
      </c>
      <c r="D39" t="str">
        <f t="shared" si="2"/>
        <v>01011110101001100110</v>
      </c>
    </row>
    <row r="40" spans="1:4" x14ac:dyDescent="0.25">
      <c r="A40">
        <v>30</v>
      </c>
      <c r="B40">
        <v>55</v>
      </c>
      <c r="C40" t="str">
        <f t="shared" si="3"/>
        <v>1</v>
      </c>
      <c r="D40" t="str">
        <f t="shared" si="2"/>
        <v>1011110101001100110</v>
      </c>
    </row>
    <row r="41" spans="1:4" x14ac:dyDescent="0.25">
      <c r="A41">
        <v>31</v>
      </c>
      <c r="B41">
        <v>30</v>
      </c>
      <c r="C41" t="str">
        <f t="shared" si="3"/>
        <v>0</v>
      </c>
      <c r="D41" t="str">
        <f t="shared" si="2"/>
        <v>011110101001100110</v>
      </c>
    </row>
    <row r="42" spans="1:4" x14ac:dyDescent="0.25">
      <c r="A42">
        <v>32</v>
      </c>
      <c r="B42">
        <v>40</v>
      </c>
      <c r="C42" t="str">
        <f t="shared" si="3"/>
        <v>1</v>
      </c>
      <c r="D42" t="str">
        <f t="shared" si="2"/>
        <v>11110101001100110</v>
      </c>
    </row>
    <row r="43" spans="1:4" x14ac:dyDescent="0.25">
      <c r="A43">
        <v>33</v>
      </c>
      <c r="B43">
        <v>51</v>
      </c>
      <c r="C43" t="str">
        <f t="shared" si="3"/>
        <v>1</v>
      </c>
      <c r="D43" t="str">
        <f t="shared" si="2"/>
        <v>1110101001100110</v>
      </c>
    </row>
    <row r="44" spans="1:4" x14ac:dyDescent="0.25">
      <c r="A44">
        <v>34</v>
      </c>
      <c r="B44">
        <v>45</v>
      </c>
      <c r="C44" t="str">
        <f t="shared" si="3"/>
        <v>1</v>
      </c>
      <c r="D44" t="str">
        <f t="shared" si="2"/>
        <v>110101001100110</v>
      </c>
    </row>
    <row r="45" spans="1:4" x14ac:dyDescent="0.25">
      <c r="A45">
        <v>35</v>
      </c>
      <c r="B45">
        <v>33</v>
      </c>
      <c r="C45" t="str">
        <f t="shared" si="3"/>
        <v>1</v>
      </c>
      <c r="D45" t="str">
        <f t="shared" si="2"/>
        <v>10101001100110</v>
      </c>
    </row>
    <row r="46" spans="1:4" x14ac:dyDescent="0.25">
      <c r="A46">
        <v>36</v>
      </c>
      <c r="B46">
        <v>48</v>
      </c>
      <c r="C46" t="str">
        <f t="shared" si="3"/>
        <v>0</v>
      </c>
      <c r="D46" t="str">
        <f t="shared" si="2"/>
        <v>0101001100110</v>
      </c>
    </row>
    <row r="47" spans="1:4" x14ac:dyDescent="0.25">
      <c r="A47">
        <v>37</v>
      </c>
      <c r="B47">
        <v>44</v>
      </c>
      <c r="C47" t="str">
        <f t="shared" si="3"/>
        <v>1</v>
      </c>
      <c r="D47" t="str">
        <f t="shared" si="2"/>
        <v>101001100110</v>
      </c>
    </row>
    <row r="48" spans="1:4" x14ac:dyDescent="0.25">
      <c r="A48">
        <v>38</v>
      </c>
      <c r="B48">
        <v>49</v>
      </c>
      <c r="C48" t="str">
        <f t="shared" si="3"/>
        <v>0</v>
      </c>
      <c r="D48" t="str">
        <f t="shared" si="2"/>
        <v>01001100110</v>
      </c>
    </row>
    <row r="49" spans="1:4" x14ac:dyDescent="0.25">
      <c r="A49">
        <v>39</v>
      </c>
      <c r="B49">
        <v>39</v>
      </c>
      <c r="C49" t="str">
        <f t="shared" si="3"/>
        <v>1</v>
      </c>
      <c r="D49" t="str">
        <f t="shared" si="2"/>
        <v>1001100110</v>
      </c>
    </row>
    <row r="50" spans="1:4" x14ac:dyDescent="0.25">
      <c r="A50">
        <v>40</v>
      </c>
      <c r="B50">
        <v>56</v>
      </c>
      <c r="C50" t="str">
        <f t="shared" si="3"/>
        <v>0</v>
      </c>
      <c r="D50" t="str">
        <f t="shared" si="2"/>
        <v>001100110</v>
      </c>
    </row>
    <row r="51" spans="1:4" x14ac:dyDescent="0.25">
      <c r="A51">
        <v>41</v>
      </c>
      <c r="B51">
        <v>34</v>
      </c>
      <c r="C51" t="str">
        <f t="shared" si="3"/>
        <v>0</v>
      </c>
      <c r="D51" t="str">
        <f t="shared" si="2"/>
        <v>01100110</v>
      </c>
    </row>
    <row r="52" spans="1:4" x14ac:dyDescent="0.25">
      <c r="A52">
        <v>42</v>
      </c>
      <c r="B52">
        <v>53</v>
      </c>
      <c r="C52" t="str">
        <f t="shared" si="3"/>
        <v>1</v>
      </c>
      <c r="D52" t="str">
        <f t="shared" si="2"/>
        <v>1100110</v>
      </c>
    </row>
    <row r="53" spans="1:4" x14ac:dyDescent="0.25">
      <c r="A53">
        <v>43</v>
      </c>
      <c r="B53">
        <v>46</v>
      </c>
      <c r="C53" t="str">
        <f t="shared" si="3"/>
        <v>1</v>
      </c>
      <c r="D53" t="str">
        <f t="shared" si="2"/>
        <v>100110</v>
      </c>
    </row>
    <row r="54" spans="1:4" x14ac:dyDescent="0.25">
      <c r="A54">
        <v>44</v>
      </c>
      <c r="B54">
        <v>42</v>
      </c>
      <c r="C54" t="str">
        <f t="shared" si="3"/>
        <v>0</v>
      </c>
      <c r="D54" t="str">
        <f t="shared" si="2"/>
        <v>00110</v>
      </c>
    </row>
    <row r="55" spans="1:4" x14ac:dyDescent="0.25">
      <c r="A55">
        <v>45</v>
      </c>
      <c r="B55">
        <v>50</v>
      </c>
      <c r="C55" t="str">
        <f t="shared" si="3"/>
        <v>0</v>
      </c>
      <c r="D55" t="str">
        <f t="shared" si="2"/>
        <v>0110</v>
      </c>
    </row>
    <row r="56" spans="1:4" x14ac:dyDescent="0.25">
      <c r="A56">
        <v>46</v>
      </c>
      <c r="B56">
        <v>36</v>
      </c>
      <c r="C56" t="str">
        <f t="shared" si="3"/>
        <v>1</v>
      </c>
      <c r="D56" t="str">
        <f>C56&amp;D57</f>
        <v>110</v>
      </c>
    </row>
    <row r="57" spans="1:4" x14ac:dyDescent="0.25">
      <c r="A57">
        <v>47</v>
      </c>
      <c r="B57">
        <v>29</v>
      </c>
      <c r="C57" t="str">
        <f t="shared" si="3"/>
        <v>1</v>
      </c>
      <c r="D57" t="str">
        <f>C57&amp;C58</f>
        <v>10</v>
      </c>
    </row>
    <row r="58" spans="1:4" x14ac:dyDescent="0.25">
      <c r="A58">
        <v>48</v>
      </c>
      <c r="B58">
        <v>32</v>
      </c>
      <c r="C58" t="str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503C-E47B-41C6-BD0D-2C18331E4F1C}">
  <dimension ref="A1:O220"/>
  <sheetViews>
    <sheetView topLeftCell="A195" workbookViewId="0">
      <selection activeCell="A211" sqref="A211"/>
    </sheetView>
  </sheetViews>
  <sheetFormatPr defaultRowHeight="15" x14ac:dyDescent="0.25"/>
  <sheetData>
    <row r="1" spans="1:15" ht="21" x14ac:dyDescent="0.35">
      <c r="A1" t="s">
        <v>29</v>
      </c>
      <c r="B1" s="8" t="s">
        <v>216</v>
      </c>
      <c r="C1" s="8"/>
      <c r="D1" s="8"/>
      <c r="E1" s="8"/>
      <c r="F1" s="1"/>
      <c r="G1" s="1"/>
    </row>
    <row r="2" spans="1:15" x14ac:dyDescent="0.25">
      <c r="A2" t="s">
        <v>54</v>
      </c>
    </row>
    <row r="3" spans="1:15" ht="21" x14ac:dyDescent="0.35">
      <c r="A3" t="s">
        <v>28</v>
      </c>
      <c r="B3" s="8" t="s">
        <v>57</v>
      </c>
      <c r="C3" s="8"/>
      <c r="D3" s="8"/>
      <c r="E3" s="8"/>
      <c r="F3" s="8"/>
      <c r="G3" s="1"/>
    </row>
    <row r="4" spans="1:15" ht="21" x14ac:dyDescent="0.35">
      <c r="A4" s="9" t="s">
        <v>239</v>
      </c>
      <c r="B4" s="9"/>
      <c r="C4" s="9"/>
      <c r="G4" s="8" t="s">
        <v>64</v>
      </c>
      <c r="H4" s="8"/>
      <c r="I4" s="8"/>
      <c r="J4" s="8"/>
      <c r="K4" s="8"/>
      <c r="L4" s="8"/>
      <c r="M4" s="1"/>
      <c r="N4" s="1"/>
      <c r="O4" s="1"/>
    </row>
    <row r="5" spans="1:15" x14ac:dyDescent="0.25">
      <c r="A5" t="s">
        <v>5</v>
      </c>
      <c r="B5" t="s">
        <v>30</v>
      </c>
      <c r="C5" t="s">
        <v>18</v>
      </c>
    </row>
    <row r="6" spans="1:15" x14ac:dyDescent="0.25">
      <c r="A6">
        <v>1</v>
      </c>
      <c r="B6">
        <v>32</v>
      </c>
      <c r="C6" t="str">
        <f>MID($B$1,B6,1)</f>
        <v>0</v>
      </c>
      <c r="D6" t="str">
        <f t="shared" ref="D6:D51" si="0">C6&amp;D7</f>
        <v>000001011110100101011111110101011011110011110100</v>
      </c>
    </row>
    <row r="7" spans="1:15" x14ac:dyDescent="0.25">
      <c r="A7">
        <v>2</v>
      </c>
      <c r="B7">
        <v>1</v>
      </c>
      <c r="C7" t="str">
        <f t="shared" ref="C7:C53" si="1">MID($B$1,B7,1)</f>
        <v>0</v>
      </c>
      <c r="D7" t="str">
        <f t="shared" si="0"/>
        <v>00001011110100101011111110101011011110011110100</v>
      </c>
    </row>
    <row r="8" spans="1:15" x14ac:dyDescent="0.25">
      <c r="A8">
        <v>3</v>
      </c>
      <c r="B8">
        <v>2</v>
      </c>
      <c r="C8" t="str">
        <f t="shared" si="1"/>
        <v>0</v>
      </c>
      <c r="D8" t="str">
        <f t="shared" si="0"/>
        <v>0001011110100101011111110101011011110011110100</v>
      </c>
    </row>
    <row r="9" spans="1:15" x14ac:dyDescent="0.25">
      <c r="A9">
        <v>4</v>
      </c>
      <c r="B9">
        <v>3</v>
      </c>
      <c r="C9" t="str">
        <f t="shared" si="1"/>
        <v>0</v>
      </c>
      <c r="D9" t="str">
        <f t="shared" si="0"/>
        <v>001011110100101011111110101011011110011110100</v>
      </c>
    </row>
    <row r="10" spans="1:15" x14ac:dyDescent="0.25">
      <c r="A10">
        <v>5</v>
      </c>
      <c r="B10">
        <v>4</v>
      </c>
      <c r="C10" t="str">
        <f t="shared" si="1"/>
        <v>0</v>
      </c>
      <c r="D10" t="str">
        <f t="shared" si="0"/>
        <v>01011110100101011111110101011011110011110100</v>
      </c>
    </row>
    <row r="11" spans="1:15" x14ac:dyDescent="0.25">
      <c r="A11">
        <v>6</v>
      </c>
      <c r="B11">
        <v>5</v>
      </c>
      <c r="C11" t="str">
        <f t="shared" si="1"/>
        <v>1</v>
      </c>
      <c r="D11" t="str">
        <f t="shared" si="0"/>
        <v>1011110100101011111110101011011110011110100</v>
      </c>
    </row>
    <row r="12" spans="1:15" x14ac:dyDescent="0.25">
      <c r="A12">
        <v>7</v>
      </c>
      <c r="B12">
        <v>4</v>
      </c>
      <c r="C12" t="str">
        <f t="shared" si="1"/>
        <v>0</v>
      </c>
      <c r="D12" t="str">
        <f t="shared" si="0"/>
        <v>011110100101011111110101011011110011110100</v>
      </c>
    </row>
    <row r="13" spans="1:15" x14ac:dyDescent="0.25">
      <c r="A13">
        <v>8</v>
      </c>
      <c r="B13">
        <v>5</v>
      </c>
      <c r="C13" t="str">
        <f t="shared" si="1"/>
        <v>1</v>
      </c>
      <c r="D13" t="str">
        <f t="shared" si="0"/>
        <v>11110100101011111110101011011110011110100</v>
      </c>
    </row>
    <row r="14" spans="1:15" x14ac:dyDescent="0.25">
      <c r="A14">
        <v>9</v>
      </c>
      <c r="B14">
        <v>6</v>
      </c>
      <c r="C14" t="str">
        <f t="shared" si="1"/>
        <v>1</v>
      </c>
      <c r="D14" t="str">
        <f t="shared" si="0"/>
        <v>1110100101011111110101011011110011110100</v>
      </c>
    </row>
    <row r="15" spans="1:15" x14ac:dyDescent="0.25">
      <c r="A15">
        <v>10</v>
      </c>
      <c r="B15">
        <v>7</v>
      </c>
      <c r="C15" t="str">
        <f t="shared" si="1"/>
        <v>1</v>
      </c>
      <c r="D15" t="str">
        <f t="shared" si="0"/>
        <v>110100101011111110101011011110011110100</v>
      </c>
    </row>
    <row r="16" spans="1:15" x14ac:dyDescent="0.25">
      <c r="A16">
        <v>11</v>
      </c>
      <c r="B16">
        <v>8</v>
      </c>
      <c r="C16" t="str">
        <f t="shared" si="1"/>
        <v>1</v>
      </c>
      <c r="D16" t="str">
        <f t="shared" si="0"/>
        <v>10100101011111110101011011110011110100</v>
      </c>
    </row>
    <row r="17" spans="1:4" x14ac:dyDescent="0.25">
      <c r="A17">
        <v>12</v>
      </c>
      <c r="B17">
        <v>9</v>
      </c>
      <c r="C17" t="str">
        <f t="shared" si="1"/>
        <v>0</v>
      </c>
      <c r="D17" t="str">
        <f t="shared" si="0"/>
        <v>0100101011111110101011011110011110100</v>
      </c>
    </row>
    <row r="18" spans="1:4" x14ac:dyDescent="0.25">
      <c r="A18">
        <v>13</v>
      </c>
      <c r="B18">
        <v>8</v>
      </c>
      <c r="C18" t="str">
        <f t="shared" si="1"/>
        <v>1</v>
      </c>
      <c r="D18" t="str">
        <f t="shared" si="0"/>
        <v>100101011111110101011011110011110100</v>
      </c>
    </row>
    <row r="19" spans="1:4" x14ac:dyDescent="0.25">
      <c r="A19">
        <v>14</v>
      </c>
      <c r="B19">
        <v>9</v>
      </c>
      <c r="C19" t="str">
        <f t="shared" si="1"/>
        <v>0</v>
      </c>
      <c r="D19" t="str">
        <f t="shared" si="0"/>
        <v>00101011111110101011011110011110100</v>
      </c>
    </row>
    <row r="20" spans="1:4" x14ac:dyDescent="0.25">
      <c r="A20">
        <v>15</v>
      </c>
      <c r="B20">
        <v>10</v>
      </c>
      <c r="C20" t="str">
        <f t="shared" si="1"/>
        <v>0</v>
      </c>
      <c r="D20" t="str">
        <f t="shared" si="0"/>
        <v>0101011111110101011011110011110100</v>
      </c>
    </row>
    <row r="21" spans="1:4" x14ac:dyDescent="0.25">
      <c r="A21">
        <v>16</v>
      </c>
      <c r="B21">
        <v>11</v>
      </c>
      <c r="C21" t="str">
        <f t="shared" si="1"/>
        <v>1</v>
      </c>
      <c r="D21" t="str">
        <f t="shared" si="0"/>
        <v>101011111110101011011110011110100</v>
      </c>
    </row>
    <row r="22" spans="1:4" x14ac:dyDescent="0.25">
      <c r="A22">
        <v>17</v>
      </c>
      <c r="B22">
        <v>12</v>
      </c>
      <c r="C22" t="str">
        <f t="shared" si="1"/>
        <v>0</v>
      </c>
      <c r="D22" t="str">
        <f t="shared" si="0"/>
        <v>01011111110101011011110011110100</v>
      </c>
    </row>
    <row r="23" spans="1:4" x14ac:dyDescent="0.25">
      <c r="A23">
        <v>18</v>
      </c>
      <c r="B23">
        <v>13</v>
      </c>
      <c r="C23" t="str">
        <f t="shared" si="1"/>
        <v>1</v>
      </c>
      <c r="D23" t="str">
        <f t="shared" si="0"/>
        <v>1011111110101011011110011110100</v>
      </c>
    </row>
    <row r="24" spans="1:4" x14ac:dyDescent="0.25">
      <c r="A24">
        <v>19</v>
      </c>
      <c r="B24">
        <v>12</v>
      </c>
      <c r="C24" t="str">
        <f t="shared" si="1"/>
        <v>0</v>
      </c>
      <c r="D24" t="str">
        <f t="shared" si="0"/>
        <v>011111110101011011110011110100</v>
      </c>
    </row>
    <row r="25" spans="1:4" x14ac:dyDescent="0.25">
      <c r="A25">
        <v>20</v>
      </c>
      <c r="B25">
        <v>13</v>
      </c>
      <c r="C25" t="str">
        <f t="shared" si="1"/>
        <v>1</v>
      </c>
      <c r="D25" t="str">
        <f t="shared" si="0"/>
        <v>11111110101011011110011110100</v>
      </c>
    </row>
    <row r="26" spans="1:4" x14ac:dyDescent="0.25">
      <c r="A26">
        <v>21</v>
      </c>
      <c r="B26">
        <v>14</v>
      </c>
      <c r="C26" t="str">
        <f t="shared" si="1"/>
        <v>1</v>
      </c>
      <c r="D26" t="str">
        <f t="shared" si="0"/>
        <v>1111110101011011110011110100</v>
      </c>
    </row>
    <row r="27" spans="1:4" x14ac:dyDescent="0.25">
      <c r="A27">
        <v>22</v>
      </c>
      <c r="B27">
        <v>15</v>
      </c>
      <c r="C27" t="str">
        <f t="shared" si="1"/>
        <v>1</v>
      </c>
      <c r="D27" t="str">
        <f t="shared" si="0"/>
        <v>111110101011011110011110100</v>
      </c>
    </row>
    <row r="28" spans="1:4" x14ac:dyDescent="0.25">
      <c r="A28">
        <v>23</v>
      </c>
      <c r="B28">
        <v>16</v>
      </c>
      <c r="C28" t="str">
        <f t="shared" si="1"/>
        <v>1</v>
      </c>
      <c r="D28" t="str">
        <f t="shared" si="0"/>
        <v>11110101011011110011110100</v>
      </c>
    </row>
    <row r="29" spans="1:4" x14ac:dyDescent="0.25">
      <c r="A29">
        <v>24</v>
      </c>
      <c r="B29">
        <v>17</v>
      </c>
      <c r="C29" t="str">
        <f t="shared" si="1"/>
        <v>1</v>
      </c>
      <c r="D29" t="str">
        <f t="shared" si="0"/>
        <v>1110101011011110011110100</v>
      </c>
    </row>
    <row r="30" spans="1:4" x14ac:dyDescent="0.25">
      <c r="A30">
        <v>25</v>
      </c>
      <c r="B30">
        <v>16</v>
      </c>
      <c r="C30" t="str">
        <f t="shared" si="1"/>
        <v>1</v>
      </c>
      <c r="D30" t="str">
        <f t="shared" si="0"/>
        <v>110101011011110011110100</v>
      </c>
    </row>
    <row r="31" spans="1:4" x14ac:dyDescent="0.25">
      <c r="A31">
        <v>26</v>
      </c>
      <c r="B31">
        <v>17</v>
      </c>
      <c r="C31" t="str">
        <f t="shared" si="1"/>
        <v>1</v>
      </c>
      <c r="D31" t="str">
        <f t="shared" si="0"/>
        <v>10101011011110011110100</v>
      </c>
    </row>
    <row r="32" spans="1:4" x14ac:dyDescent="0.25">
      <c r="A32">
        <v>27</v>
      </c>
      <c r="B32">
        <v>18</v>
      </c>
      <c r="C32" t="str">
        <f t="shared" si="1"/>
        <v>0</v>
      </c>
      <c r="D32" t="str">
        <f t="shared" si="0"/>
        <v>0101011011110011110100</v>
      </c>
    </row>
    <row r="33" spans="1:4" x14ac:dyDescent="0.25">
      <c r="A33">
        <v>28</v>
      </c>
      <c r="B33">
        <v>19</v>
      </c>
      <c r="C33" t="str">
        <f t="shared" si="1"/>
        <v>1</v>
      </c>
      <c r="D33" t="str">
        <f t="shared" si="0"/>
        <v>101011011110011110100</v>
      </c>
    </row>
    <row r="34" spans="1:4" x14ac:dyDescent="0.25">
      <c r="A34">
        <v>29</v>
      </c>
      <c r="B34">
        <v>20</v>
      </c>
      <c r="C34" t="str">
        <f t="shared" si="1"/>
        <v>0</v>
      </c>
      <c r="D34" t="str">
        <f t="shared" si="0"/>
        <v>01011011110011110100</v>
      </c>
    </row>
    <row r="35" spans="1:4" x14ac:dyDescent="0.25">
      <c r="A35">
        <v>30</v>
      </c>
      <c r="B35">
        <v>21</v>
      </c>
      <c r="C35" t="str">
        <f t="shared" si="1"/>
        <v>1</v>
      </c>
      <c r="D35" t="str">
        <f t="shared" si="0"/>
        <v>1011011110011110100</v>
      </c>
    </row>
    <row r="36" spans="1:4" x14ac:dyDescent="0.25">
      <c r="A36">
        <v>31</v>
      </c>
      <c r="B36">
        <v>20</v>
      </c>
      <c r="C36" t="str">
        <f t="shared" si="1"/>
        <v>0</v>
      </c>
      <c r="D36" t="str">
        <f t="shared" si="0"/>
        <v>011011110011110100</v>
      </c>
    </row>
    <row r="37" spans="1:4" x14ac:dyDescent="0.25">
      <c r="A37">
        <v>32</v>
      </c>
      <c r="B37">
        <v>21</v>
      </c>
      <c r="C37" t="str">
        <f t="shared" si="1"/>
        <v>1</v>
      </c>
      <c r="D37" t="str">
        <f t="shared" si="0"/>
        <v>11011110011110100</v>
      </c>
    </row>
    <row r="38" spans="1:4" x14ac:dyDescent="0.25">
      <c r="A38">
        <v>33</v>
      </c>
      <c r="B38">
        <v>22</v>
      </c>
      <c r="C38" t="str">
        <f t="shared" si="1"/>
        <v>1</v>
      </c>
      <c r="D38" t="str">
        <f t="shared" si="0"/>
        <v>1011110011110100</v>
      </c>
    </row>
    <row r="39" spans="1:4" x14ac:dyDescent="0.25">
      <c r="A39">
        <v>34</v>
      </c>
      <c r="B39">
        <v>23</v>
      </c>
      <c r="C39" t="str">
        <f t="shared" si="1"/>
        <v>0</v>
      </c>
      <c r="D39" t="str">
        <f t="shared" si="0"/>
        <v>011110011110100</v>
      </c>
    </row>
    <row r="40" spans="1:4" x14ac:dyDescent="0.25">
      <c r="A40">
        <v>35</v>
      </c>
      <c r="B40">
        <v>24</v>
      </c>
      <c r="C40" t="str">
        <f t="shared" si="1"/>
        <v>1</v>
      </c>
      <c r="D40" t="str">
        <f t="shared" si="0"/>
        <v>11110011110100</v>
      </c>
    </row>
    <row r="41" spans="1:4" x14ac:dyDescent="0.25">
      <c r="A41">
        <v>36</v>
      </c>
      <c r="B41">
        <v>25</v>
      </c>
      <c r="C41" t="str">
        <f t="shared" si="1"/>
        <v>1</v>
      </c>
      <c r="D41" t="str">
        <f t="shared" si="0"/>
        <v>1110011110100</v>
      </c>
    </row>
    <row r="42" spans="1:4" x14ac:dyDescent="0.25">
      <c r="A42">
        <v>37</v>
      </c>
      <c r="B42">
        <v>24</v>
      </c>
      <c r="C42" t="str">
        <f t="shared" si="1"/>
        <v>1</v>
      </c>
      <c r="D42" t="str">
        <f t="shared" si="0"/>
        <v>110011110100</v>
      </c>
    </row>
    <row r="43" spans="1:4" x14ac:dyDescent="0.25">
      <c r="A43">
        <v>38</v>
      </c>
      <c r="B43">
        <v>25</v>
      </c>
      <c r="C43" t="str">
        <f t="shared" si="1"/>
        <v>1</v>
      </c>
      <c r="D43" t="str">
        <f t="shared" si="0"/>
        <v>10011110100</v>
      </c>
    </row>
    <row r="44" spans="1:4" x14ac:dyDescent="0.25">
      <c r="A44">
        <v>39</v>
      </c>
      <c r="B44">
        <v>26</v>
      </c>
      <c r="C44" t="str">
        <f t="shared" si="1"/>
        <v>0</v>
      </c>
      <c r="D44" t="str">
        <f t="shared" si="0"/>
        <v>0011110100</v>
      </c>
    </row>
    <row r="45" spans="1:4" x14ac:dyDescent="0.25">
      <c r="A45">
        <v>40</v>
      </c>
      <c r="B45">
        <v>27</v>
      </c>
      <c r="C45" t="str">
        <f t="shared" si="1"/>
        <v>0</v>
      </c>
      <c r="D45" t="str">
        <f t="shared" si="0"/>
        <v>011110100</v>
      </c>
    </row>
    <row r="46" spans="1:4" x14ac:dyDescent="0.25">
      <c r="A46">
        <v>41</v>
      </c>
      <c r="B46">
        <v>28</v>
      </c>
      <c r="C46" t="str">
        <f t="shared" si="1"/>
        <v>1</v>
      </c>
      <c r="D46" t="str">
        <f t="shared" si="0"/>
        <v>11110100</v>
      </c>
    </row>
    <row r="47" spans="1:4" x14ac:dyDescent="0.25">
      <c r="A47">
        <v>42</v>
      </c>
      <c r="B47">
        <v>29</v>
      </c>
      <c r="C47" t="str">
        <f t="shared" si="1"/>
        <v>1</v>
      </c>
      <c r="D47" t="str">
        <f t="shared" si="0"/>
        <v>1110100</v>
      </c>
    </row>
    <row r="48" spans="1:4" x14ac:dyDescent="0.25">
      <c r="A48">
        <v>43</v>
      </c>
      <c r="B48">
        <v>28</v>
      </c>
      <c r="C48" t="str">
        <f t="shared" si="1"/>
        <v>1</v>
      </c>
      <c r="D48" t="str">
        <f t="shared" si="0"/>
        <v>110100</v>
      </c>
    </row>
    <row r="49" spans="1:4" x14ac:dyDescent="0.25">
      <c r="A49">
        <v>44</v>
      </c>
      <c r="B49">
        <v>29</v>
      </c>
      <c r="C49" t="str">
        <f t="shared" si="1"/>
        <v>1</v>
      </c>
      <c r="D49" t="str">
        <f t="shared" si="0"/>
        <v>10100</v>
      </c>
    </row>
    <row r="50" spans="1:4" x14ac:dyDescent="0.25">
      <c r="A50">
        <v>45</v>
      </c>
      <c r="B50">
        <v>30</v>
      </c>
      <c r="C50" t="str">
        <f t="shared" si="1"/>
        <v>0</v>
      </c>
      <c r="D50" t="str">
        <f t="shared" si="0"/>
        <v>0100</v>
      </c>
    </row>
    <row r="51" spans="1:4" x14ac:dyDescent="0.25">
      <c r="A51">
        <v>46</v>
      </c>
      <c r="B51">
        <v>31</v>
      </c>
      <c r="C51" t="str">
        <f t="shared" si="1"/>
        <v>1</v>
      </c>
      <c r="D51" t="str">
        <f t="shared" si="0"/>
        <v>100</v>
      </c>
    </row>
    <row r="52" spans="1:4" x14ac:dyDescent="0.25">
      <c r="A52">
        <v>47</v>
      </c>
      <c r="B52">
        <v>32</v>
      </c>
      <c r="C52" t="str">
        <f t="shared" si="1"/>
        <v>0</v>
      </c>
      <c r="D52" t="str">
        <f>C52&amp;C53</f>
        <v>00</v>
      </c>
    </row>
    <row r="53" spans="1:4" x14ac:dyDescent="0.25">
      <c r="A53">
        <v>48</v>
      </c>
      <c r="B53">
        <v>1</v>
      </c>
      <c r="C53" t="str">
        <f t="shared" si="1"/>
        <v>0</v>
      </c>
    </row>
    <row r="55" spans="1:4" x14ac:dyDescent="0.25">
      <c r="A55" t="s">
        <v>58</v>
      </c>
      <c r="B55" t="str">
        <f>D6</f>
        <v>000001011110100101011111110101011011110011110100</v>
      </c>
    </row>
    <row r="57" spans="1:4" x14ac:dyDescent="0.25">
      <c r="A57" s="7" t="s">
        <v>7</v>
      </c>
      <c r="B57" s="7" t="s">
        <v>7</v>
      </c>
      <c r="C57" s="7" t="s">
        <v>8</v>
      </c>
    </row>
    <row r="58" spans="1:4" x14ac:dyDescent="0.25">
      <c r="A58" s="7">
        <v>1</v>
      </c>
      <c r="B58" s="7" t="str">
        <f>MID($B$55,(A58-1)*8+1,8)</f>
        <v>00000101</v>
      </c>
      <c r="C58" s="7" t="str">
        <f t="shared" ref="C58:C63" si="2">BIN2HEX(B58,2)</f>
        <v>05</v>
      </c>
    </row>
    <row r="59" spans="1:4" x14ac:dyDescent="0.25">
      <c r="A59" s="7">
        <v>2</v>
      </c>
      <c r="B59" s="7" t="str">
        <f t="shared" ref="B59:B63" si="3">MID($B$55,(A59-1)*8+1,8)</f>
        <v>11101001</v>
      </c>
      <c r="C59" s="7" t="str">
        <f t="shared" si="2"/>
        <v>E9</v>
      </c>
    </row>
    <row r="60" spans="1:4" x14ac:dyDescent="0.25">
      <c r="A60" s="7">
        <v>3</v>
      </c>
      <c r="B60" s="7" t="str">
        <f t="shared" si="3"/>
        <v>01011111</v>
      </c>
      <c r="C60" s="7" t="str">
        <f t="shared" si="2"/>
        <v>5F</v>
      </c>
    </row>
    <row r="61" spans="1:4" x14ac:dyDescent="0.25">
      <c r="A61" s="7">
        <v>4</v>
      </c>
      <c r="B61" s="7" t="str">
        <f t="shared" si="3"/>
        <v>11010101</v>
      </c>
      <c r="C61" s="7" t="str">
        <f t="shared" si="2"/>
        <v>D5</v>
      </c>
    </row>
    <row r="62" spans="1:4" x14ac:dyDescent="0.25">
      <c r="A62" s="7">
        <v>5</v>
      </c>
      <c r="B62" s="7" t="str">
        <f t="shared" si="3"/>
        <v>10111100</v>
      </c>
      <c r="C62" s="7" t="str">
        <f t="shared" si="2"/>
        <v>BC</v>
      </c>
    </row>
    <row r="63" spans="1:4" x14ac:dyDescent="0.25">
      <c r="A63" s="7">
        <v>6</v>
      </c>
      <c r="B63" s="7" t="str">
        <f t="shared" si="3"/>
        <v>11110100</v>
      </c>
      <c r="C63" s="7" t="str">
        <f t="shared" si="2"/>
        <v>F4</v>
      </c>
    </row>
    <row r="64" spans="1:4" x14ac:dyDescent="0.25">
      <c r="A64" t="s">
        <v>237</v>
      </c>
    </row>
    <row r="66" spans="1:10" x14ac:dyDescent="0.25">
      <c r="A66" s="7" t="s">
        <v>7</v>
      </c>
      <c r="B66" s="7" t="s">
        <v>7</v>
      </c>
      <c r="C66" s="7" t="s">
        <v>8</v>
      </c>
      <c r="G66" s="7" t="s">
        <v>7</v>
      </c>
      <c r="H66" s="7" t="s">
        <v>7</v>
      </c>
      <c r="I66" s="7" t="s">
        <v>8</v>
      </c>
    </row>
    <row r="67" spans="1:10" x14ac:dyDescent="0.25">
      <c r="A67" s="7">
        <v>1</v>
      </c>
      <c r="B67" s="7" t="str">
        <f>MID($G$4,(A67-1)*8+1,8)</f>
        <v>01101001</v>
      </c>
      <c r="C67" s="7" t="str">
        <f>BIN2HEX(B67,2)</f>
        <v>69</v>
      </c>
      <c r="D67">
        <f>BIN2DEC(B67)</f>
        <v>105</v>
      </c>
      <c r="G67" s="7">
        <v>1</v>
      </c>
      <c r="H67" s="7" t="str">
        <f>MID($B$55,(G67-1)*8+1,8)</f>
        <v>00000101</v>
      </c>
      <c r="I67" s="7" t="str">
        <f>BIN2HEX(H67,2)</f>
        <v>05</v>
      </c>
      <c r="J67">
        <f>BIN2DEC(H67)</f>
        <v>5</v>
      </c>
    </row>
    <row r="68" spans="1:10" x14ac:dyDescent="0.25">
      <c r="A68" s="7">
        <v>2</v>
      </c>
      <c r="B68" s="7" t="str">
        <f t="shared" ref="B68:B72" si="4">MID($G$4,(A68-1)*8+1,8)</f>
        <v>10101110</v>
      </c>
      <c r="C68" s="7" t="str">
        <f t="shared" ref="C68:C72" si="5">BIN2HEX(B68,2)</f>
        <v>AE</v>
      </c>
      <c r="D68">
        <f t="shared" ref="D68:D72" si="6">BIN2DEC(B68)</f>
        <v>174</v>
      </c>
      <c r="G68" s="7">
        <v>2</v>
      </c>
      <c r="H68" s="7" t="str">
        <f t="shared" ref="H68:H72" si="7">MID($B$55,(G68-1)*8+1,8)</f>
        <v>11101001</v>
      </c>
      <c r="I68" s="7" t="str">
        <f t="shared" ref="I68:I72" si="8">BIN2HEX(H68,2)</f>
        <v>E9</v>
      </c>
      <c r="J68">
        <f t="shared" ref="J68:J72" si="9">BIN2DEC(H68)</f>
        <v>233</v>
      </c>
    </row>
    <row r="69" spans="1:10" x14ac:dyDescent="0.25">
      <c r="A69" s="7">
        <v>3</v>
      </c>
      <c r="B69" s="7" t="str">
        <f t="shared" si="4"/>
        <v>11011001</v>
      </c>
      <c r="C69" s="7" t="str">
        <f t="shared" si="5"/>
        <v>D9</v>
      </c>
      <c r="D69">
        <f t="shared" si="6"/>
        <v>217</v>
      </c>
      <c r="G69" s="7">
        <v>3</v>
      </c>
      <c r="H69" s="7" t="str">
        <f t="shared" si="7"/>
        <v>01011111</v>
      </c>
      <c r="I69" s="7" t="str">
        <f t="shared" si="8"/>
        <v>5F</v>
      </c>
      <c r="J69">
        <f t="shared" si="9"/>
        <v>95</v>
      </c>
    </row>
    <row r="70" spans="1:10" x14ac:dyDescent="0.25">
      <c r="A70" s="7">
        <v>4</v>
      </c>
      <c r="B70" s="7" t="str">
        <f t="shared" si="4"/>
        <v>00100101</v>
      </c>
      <c r="C70" s="7" t="str">
        <f t="shared" si="5"/>
        <v>25</v>
      </c>
      <c r="D70">
        <f t="shared" si="6"/>
        <v>37</v>
      </c>
      <c r="G70" s="7">
        <v>4</v>
      </c>
      <c r="H70" s="7" t="str">
        <f t="shared" si="7"/>
        <v>11010101</v>
      </c>
      <c r="I70" s="7" t="str">
        <f t="shared" si="8"/>
        <v>D5</v>
      </c>
      <c r="J70">
        <f t="shared" si="9"/>
        <v>213</v>
      </c>
    </row>
    <row r="71" spans="1:10" x14ac:dyDescent="0.25">
      <c r="A71" s="7">
        <v>5</v>
      </c>
      <c r="B71" s="7" t="str">
        <f t="shared" si="4"/>
        <v>11101010</v>
      </c>
      <c r="C71" s="7" t="str">
        <f t="shared" si="5"/>
        <v>EA</v>
      </c>
      <c r="D71">
        <f t="shared" si="6"/>
        <v>234</v>
      </c>
      <c r="G71" s="7">
        <v>5</v>
      </c>
      <c r="H71" s="7" t="str">
        <f t="shared" si="7"/>
        <v>10111100</v>
      </c>
      <c r="I71" s="7" t="str">
        <f t="shared" si="8"/>
        <v>BC</v>
      </c>
      <c r="J71">
        <f t="shared" si="9"/>
        <v>188</v>
      </c>
    </row>
    <row r="72" spans="1:10" x14ac:dyDescent="0.25">
      <c r="A72" s="7">
        <v>6</v>
      </c>
      <c r="B72" s="7" t="str">
        <f t="shared" si="4"/>
        <v>01100110</v>
      </c>
      <c r="C72" s="7" t="str">
        <f t="shared" si="5"/>
        <v>66</v>
      </c>
      <c r="D72">
        <f t="shared" si="6"/>
        <v>102</v>
      </c>
      <c r="G72" s="7">
        <v>6</v>
      </c>
      <c r="H72" s="7" t="str">
        <f t="shared" si="7"/>
        <v>11110100</v>
      </c>
      <c r="I72" s="7" t="str">
        <f t="shared" si="8"/>
        <v>F4</v>
      </c>
      <c r="J72">
        <f t="shared" si="9"/>
        <v>244</v>
      </c>
    </row>
    <row r="74" spans="1:10" x14ac:dyDescent="0.25">
      <c r="A74" s="10" t="s">
        <v>5</v>
      </c>
      <c r="B74" s="10" t="s">
        <v>34</v>
      </c>
      <c r="C74" s="10" t="s">
        <v>35</v>
      </c>
      <c r="D74" s="10" t="s">
        <v>8</v>
      </c>
    </row>
    <row r="75" spans="1:10" x14ac:dyDescent="0.25">
      <c r="A75" s="11">
        <v>1</v>
      </c>
      <c r="B75" s="10">
        <f>_xlfn.BITXOR(D67,J67)</f>
        <v>108</v>
      </c>
      <c r="C75" s="10" t="str">
        <f>DEC2BIN(B75,8)</f>
        <v>01101100</v>
      </c>
      <c r="D75" s="10" t="str">
        <f>DEC2HEX(B75,2)</f>
        <v>6C</v>
      </c>
    </row>
    <row r="76" spans="1:10" x14ac:dyDescent="0.25">
      <c r="A76" s="11">
        <v>2</v>
      </c>
      <c r="B76" s="10">
        <f t="shared" ref="B76:B80" si="10">_xlfn.BITXOR(D68,J68)</f>
        <v>71</v>
      </c>
      <c r="C76" s="10" t="str">
        <f t="shared" ref="C76:C80" si="11">DEC2BIN(B76,8)</f>
        <v>01000111</v>
      </c>
      <c r="D76" s="10" t="str">
        <f t="shared" ref="D76:D80" si="12">DEC2HEX(B76,2)</f>
        <v>47</v>
      </c>
    </row>
    <row r="77" spans="1:10" x14ac:dyDescent="0.25">
      <c r="A77" s="11">
        <v>3</v>
      </c>
      <c r="B77" s="10">
        <f t="shared" si="10"/>
        <v>134</v>
      </c>
      <c r="C77" s="10" t="str">
        <f t="shared" si="11"/>
        <v>10000110</v>
      </c>
      <c r="D77" s="10" t="str">
        <f t="shared" si="12"/>
        <v>86</v>
      </c>
    </row>
    <row r="78" spans="1:10" x14ac:dyDescent="0.25">
      <c r="A78" s="11">
        <v>4</v>
      </c>
      <c r="B78" s="10">
        <f t="shared" si="10"/>
        <v>240</v>
      </c>
      <c r="C78" s="10" t="str">
        <f t="shared" si="11"/>
        <v>11110000</v>
      </c>
      <c r="D78" s="10" t="str">
        <f t="shared" si="12"/>
        <v>F0</v>
      </c>
    </row>
    <row r="79" spans="1:10" x14ac:dyDescent="0.25">
      <c r="A79" s="11">
        <v>5</v>
      </c>
      <c r="B79" s="10">
        <f t="shared" si="10"/>
        <v>86</v>
      </c>
      <c r="C79" s="10" t="str">
        <f t="shared" si="11"/>
        <v>01010110</v>
      </c>
      <c r="D79" s="10" t="str">
        <f t="shared" si="12"/>
        <v>56</v>
      </c>
    </row>
    <row r="80" spans="1:10" x14ac:dyDescent="0.25">
      <c r="A80" s="11">
        <v>6</v>
      </c>
      <c r="B80" s="10">
        <f t="shared" si="10"/>
        <v>146</v>
      </c>
      <c r="C80" s="10" t="str">
        <f t="shared" si="11"/>
        <v>10010010</v>
      </c>
      <c r="D80" s="10" t="str">
        <f t="shared" si="12"/>
        <v>92</v>
      </c>
    </row>
    <row r="82" spans="1:10" ht="21" x14ac:dyDescent="0.35">
      <c r="B82" t="s">
        <v>238</v>
      </c>
      <c r="D82" s="8" t="str">
        <f>C75&amp;C76&amp;C77&amp;C78&amp;C79&amp;C80</f>
        <v>011011000100011110000110111100000101011010010010</v>
      </c>
      <c r="E82" s="8"/>
      <c r="F82" s="8"/>
      <c r="G82" s="8"/>
      <c r="H82" s="8"/>
      <c r="I82" s="8"/>
    </row>
    <row r="84" spans="1:10" x14ac:dyDescent="0.25">
      <c r="A84" s="10" t="s">
        <v>36</v>
      </c>
      <c r="B84" s="10"/>
      <c r="C84" s="10" t="s">
        <v>37</v>
      </c>
      <c r="D84" s="10" t="s">
        <v>38</v>
      </c>
      <c r="E84" s="10"/>
      <c r="F84" s="10" t="s">
        <v>39</v>
      </c>
      <c r="G84" s="10"/>
      <c r="H84" s="10" t="s">
        <v>49</v>
      </c>
      <c r="I84" s="10" t="s">
        <v>35</v>
      </c>
    </row>
    <row r="85" spans="1:10" x14ac:dyDescent="0.25">
      <c r="A85" s="10">
        <v>1</v>
      </c>
      <c r="B85" s="10" t="str">
        <f>MID($D$82,(A85-1)*6+1,6)</f>
        <v>011011</v>
      </c>
      <c r="C85" s="10" t="str">
        <f>LEFT(B85,1)&amp;RIGHT(B85,1)</f>
        <v>01</v>
      </c>
      <c r="D85" s="10" t="str">
        <f>MID(B85,2,4)</f>
        <v>1101</v>
      </c>
      <c r="E85" s="10" t="str">
        <f>C85&amp;D85</f>
        <v>011101</v>
      </c>
      <c r="F85" s="10">
        <f>BIN2DEC(E85)</f>
        <v>29</v>
      </c>
      <c r="G85" s="10"/>
      <c r="H85" s="10">
        <f>VLOOKUP(F85,$A$95:$I$158,2,TRUE)</f>
        <v>5</v>
      </c>
      <c r="I85" s="10" t="str">
        <f>DEC2BIN(H85,4)</f>
        <v>0101</v>
      </c>
      <c r="J85" t="str">
        <f t="shared" ref="J85:J89" si="13">I85&amp;J86</f>
        <v>01011000100000110000010010101001</v>
      </c>
    </row>
    <row r="86" spans="1:10" x14ac:dyDescent="0.25">
      <c r="A86" s="10">
        <v>2</v>
      </c>
      <c r="B86" s="10" t="str">
        <f t="shared" ref="B86:B92" si="14">MID($D$82,(A86-1)*6+1,6)</f>
        <v>000100</v>
      </c>
      <c r="C86" s="10" t="str">
        <f t="shared" ref="C86:C92" si="15">LEFT(B86,1)&amp;RIGHT(B86,1)</f>
        <v>00</v>
      </c>
      <c r="D86" s="10" t="str">
        <f t="shared" ref="D86:D92" si="16">MID(B86,2,4)</f>
        <v>0010</v>
      </c>
      <c r="E86" s="10" t="str">
        <f t="shared" ref="E86:E92" si="17">C86&amp;D86</f>
        <v>000010</v>
      </c>
      <c r="F86" s="10">
        <f t="shared" ref="F86:F92" si="18">BIN2DEC(E86)</f>
        <v>2</v>
      </c>
      <c r="G86" s="10"/>
      <c r="H86" s="10">
        <f>VLOOKUP(F86,$A$95:$I$158,3,TRUE)</f>
        <v>8</v>
      </c>
      <c r="I86" s="10" t="str">
        <f>DEC2BIN(H86,4)</f>
        <v>1000</v>
      </c>
      <c r="J86" t="str">
        <f t="shared" si="13"/>
        <v>1000100000110000010010101001</v>
      </c>
    </row>
    <row r="87" spans="1:10" x14ac:dyDescent="0.25">
      <c r="A87" s="10">
        <v>3</v>
      </c>
      <c r="B87" s="10" t="str">
        <f t="shared" si="14"/>
        <v>011110</v>
      </c>
      <c r="C87" s="10" t="str">
        <f t="shared" si="15"/>
        <v>00</v>
      </c>
      <c r="D87" s="10" t="str">
        <f t="shared" si="16"/>
        <v>1111</v>
      </c>
      <c r="E87" s="10" t="str">
        <f t="shared" si="17"/>
        <v>001111</v>
      </c>
      <c r="F87" s="10">
        <f t="shared" si="18"/>
        <v>15</v>
      </c>
      <c r="G87" s="10"/>
      <c r="H87" s="10">
        <f>VLOOKUP(F87,$A$95:$I$158,4,TRUE)</f>
        <v>8</v>
      </c>
      <c r="I87" s="10" t="str">
        <f t="shared" ref="I87:I92" si="19">DEC2BIN(H87,4)</f>
        <v>1000</v>
      </c>
      <c r="J87" t="str">
        <f t="shared" si="13"/>
        <v>100000110000010010101001</v>
      </c>
    </row>
    <row r="88" spans="1:10" x14ac:dyDescent="0.25">
      <c r="A88" s="10">
        <v>4</v>
      </c>
      <c r="B88" s="10" t="str">
        <f t="shared" si="14"/>
        <v>000110</v>
      </c>
      <c r="C88" s="10" t="str">
        <f t="shared" si="15"/>
        <v>00</v>
      </c>
      <c r="D88" s="10" t="str">
        <f t="shared" si="16"/>
        <v>0011</v>
      </c>
      <c r="E88" s="10" t="str">
        <f t="shared" si="17"/>
        <v>000011</v>
      </c>
      <c r="F88" s="10">
        <f t="shared" si="18"/>
        <v>3</v>
      </c>
      <c r="G88" s="10"/>
      <c r="H88" s="10">
        <f>VLOOKUP(F88,$A$95:$I$158,5,TRUE)</f>
        <v>3</v>
      </c>
      <c r="I88" s="10" t="str">
        <f t="shared" si="19"/>
        <v>0011</v>
      </c>
      <c r="J88" t="str">
        <f t="shared" si="13"/>
        <v>00110000010010101001</v>
      </c>
    </row>
    <row r="89" spans="1:10" x14ac:dyDescent="0.25">
      <c r="A89" s="10">
        <v>5</v>
      </c>
      <c r="B89" s="10" t="str">
        <f t="shared" si="14"/>
        <v>111100</v>
      </c>
      <c r="C89" s="10" t="str">
        <f t="shared" si="15"/>
        <v>10</v>
      </c>
      <c r="D89" s="10" t="str">
        <f t="shared" si="16"/>
        <v>1110</v>
      </c>
      <c r="E89" s="10" t="str">
        <f t="shared" si="17"/>
        <v>101110</v>
      </c>
      <c r="F89" s="10">
        <f t="shared" si="18"/>
        <v>46</v>
      </c>
      <c r="G89" s="10"/>
      <c r="H89" s="10">
        <f>VLOOKUP(F89,$A$95:$I$158,6,TRUE)</f>
        <v>0</v>
      </c>
      <c r="I89" s="10" t="str">
        <f t="shared" si="19"/>
        <v>0000</v>
      </c>
      <c r="J89" t="str">
        <f t="shared" si="13"/>
        <v>0000010010101001</v>
      </c>
    </row>
    <row r="90" spans="1:10" x14ac:dyDescent="0.25">
      <c r="A90" s="10">
        <v>6</v>
      </c>
      <c r="B90" s="10" t="str">
        <f t="shared" si="14"/>
        <v>000101</v>
      </c>
      <c r="C90" s="10" t="str">
        <f t="shared" si="15"/>
        <v>01</v>
      </c>
      <c r="D90" s="10" t="str">
        <f t="shared" si="16"/>
        <v>0010</v>
      </c>
      <c r="E90" s="10" t="str">
        <f t="shared" si="17"/>
        <v>010010</v>
      </c>
      <c r="F90" s="10">
        <f t="shared" si="18"/>
        <v>18</v>
      </c>
      <c r="G90" s="10"/>
      <c r="H90" s="10">
        <f>VLOOKUP(F90,$A$95:$I$158,7,TRUE)</f>
        <v>4</v>
      </c>
      <c r="I90" s="10" t="str">
        <f t="shared" si="19"/>
        <v>0100</v>
      </c>
      <c r="J90" t="str">
        <f>I90&amp;J91</f>
        <v>010010101001</v>
      </c>
    </row>
    <row r="91" spans="1:10" x14ac:dyDescent="0.25">
      <c r="A91" s="10">
        <v>7</v>
      </c>
      <c r="B91" s="10" t="str">
        <f t="shared" si="14"/>
        <v>011010</v>
      </c>
      <c r="C91" s="10" t="str">
        <f t="shared" si="15"/>
        <v>00</v>
      </c>
      <c r="D91" s="10" t="str">
        <f t="shared" si="16"/>
        <v>1101</v>
      </c>
      <c r="E91" s="10" t="str">
        <f t="shared" si="17"/>
        <v>001101</v>
      </c>
      <c r="F91" s="10">
        <f t="shared" si="18"/>
        <v>13</v>
      </c>
      <c r="G91" s="10"/>
      <c r="H91" s="10">
        <f>VLOOKUP(F91,$A$95:$I$158,8,TRUE)</f>
        <v>10</v>
      </c>
      <c r="I91" s="10" t="str">
        <f t="shared" si="19"/>
        <v>1010</v>
      </c>
      <c r="J91" t="str">
        <f>I91&amp;I92</f>
        <v>10101001</v>
      </c>
    </row>
    <row r="92" spans="1:10" x14ac:dyDescent="0.25">
      <c r="A92" s="10">
        <v>8</v>
      </c>
      <c r="B92" s="10" t="str">
        <f t="shared" si="14"/>
        <v>010010</v>
      </c>
      <c r="C92" s="10" t="str">
        <f t="shared" si="15"/>
        <v>00</v>
      </c>
      <c r="D92" s="10" t="str">
        <f t="shared" si="16"/>
        <v>1001</v>
      </c>
      <c r="E92" s="10" t="str">
        <f t="shared" si="17"/>
        <v>001001</v>
      </c>
      <c r="F92" s="10">
        <f t="shared" si="18"/>
        <v>9</v>
      </c>
      <c r="G92" s="10"/>
      <c r="H92" s="10">
        <f>VLOOKUP(F92,$A$95:$I$158,9,TRUE)</f>
        <v>9</v>
      </c>
      <c r="I92" s="10" t="str">
        <f t="shared" si="19"/>
        <v>1001</v>
      </c>
    </row>
    <row r="94" spans="1:10" x14ac:dyDescent="0.25">
      <c r="A94" s="12" t="s">
        <v>40</v>
      </c>
      <c r="B94" s="12" t="s">
        <v>41</v>
      </c>
      <c r="C94" s="12" t="s">
        <v>42</v>
      </c>
      <c r="D94" s="12" t="s">
        <v>43</v>
      </c>
      <c r="E94" s="12" t="s">
        <v>44</v>
      </c>
      <c r="F94" s="12" t="s">
        <v>45</v>
      </c>
      <c r="G94" s="12" t="s">
        <v>46</v>
      </c>
      <c r="H94" s="12" t="s">
        <v>47</v>
      </c>
      <c r="I94" s="12" t="s">
        <v>48</v>
      </c>
    </row>
    <row r="95" spans="1:10" x14ac:dyDescent="0.25">
      <c r="A95" s="12">
        <v>0</v>
      </c>
      <c r="B95" s="12">
        <v>14</v>
      </c>
      <c r="C95" s="12">
        <v>15</v>
      </c>
      <c r="D95" s="12">
        <v>10</v>
      </c>
      <c r="E95" s="12">
        <v>7</v>
      </c>
      <c r="F95" s="12">
        <v>2</v>
      </c>
      <c r="G95" s="12">
        <v>12</v>
      </c>
      <c r="H95" s="12">
        <v>4</v>
      </c>
      <c r="I95" s="12">
        <v>13</v>
      </c>
    </row>
    <row r="96" spans="1:10" x14ac:dyDescent="0.25">
      <c r="A96" s="12">
        <v>1</v>
      </c>
      <c r="B96" s="12">
        <v>4</v>
      </c>
      <c r="C96" s="12">
        <v>1</v>
      </c>
      <c r="D96" s="12">
        <v>0</v>
      </c>
      <c r="E96" s="12">
        <v>13</v>
      </c>
      <c r="F96" s="12">
        <v>12</v>
      </c>
      <c r="G96" s="12">
        <v>1</v>
      </c>
      <c r="H96" s="12">
        <v>11</v>
      </c>
      <c r="I96" s="12">
        <v>2</v>
      </c>
    </row>
    <row r="97" spans="1:9" x14ac:dyDescent="0.25">
      <c r="A97" s="12">
        <v>2</v>
      </c>
      <c r="B97" s="12">
        <v>13</v>
      </c>
      <c r="C97" s="12">
        <v>8</v>
      </c>
      <c r="D97" s="12">
        <v>9</v>
      </c>
      <c r="E97" s="12">
        <v>14</v>
      </c>
      <c r="F97" s="12">
        <v>4</v>
      </c>
      <c r="G97" s="12">
        <v>10</v>
      </c>
      <c r="H97" s="12">
        <v>2</v>
      </c>
      <c r="I97" s="12">
        <v>8</v>
      </c>
    </row>
    <row r="98" spans="1:9" x14ac:dyDescent="0.25">
      <c r="A98" s="12">
        <v>3</v>
      </c>
      <c r="B98" s="12">
        <v>1</v>
      </c>
      <c r="C98" s="12">
        <v>14</v>
      </c>
      <c r="D98" s="12">
        <v>14</v>
      </c>
      <c r="E98" s="12">
        <v>3</v>
      </c>
      <c r="F98" s="12">
        <v>1</v>
      </c>
      <c r="G98" s="12">
        <v>15</v>
      </c>
      <c r="H98" s="12">
        <v>14</v>
      </c>
      <c r="I98" s="12">
        <v>4</v>
      </c>
    </row>
    <row r="99" spans="1:9" x14ac:dyDescent="0.25">
      <c r="A99" s="12">
        <v>4</v>
      </c>
      <c r="B99" s="12">
        <v>2</v>
      </c>
      <c r="C99" s="12">
        <v>6</v>
      </c>
      <c r="D99" s="12">
        <v>6</v>
      </c>
      <c r="E99" s="12">
        <v>0</v>
      </c>
      <c r="F99" s="12">
        <v>7</v>
      </c>
      <c r="G99" s="12">
        <v>9</v>
      </c>
      <c r="H99" s="12">
        <v>15</v>
      </c>
      <c r="I99" s="12">
        <v>6</v>
      </c>
    </row>
    <row r="100" spans="1:9" x14ac:dyDescent="0.25">
      <c r="A100" s="12">
        <v>5</v>
      </c>
      <c r="B100" s="12">
        <v>15</v>
      </c>
      <c r="C100" s="12">
        <v>11</v>
      </c>
      <c r="D100" s="12">
        <v>3</v>
      </c>
      <c r="E100" s="12">
        <v>6</v>
      </c>
      <c r="F100" s="12">
        <v>10</v>
      </c>
      <c r="G100" s="12">
        <v>2</v>
      </c>
      <c r="H100" s="12">
        <v>0</v>
      </c>
      <c r="I100" s="12">
        <v>15</v>
      </c>
    </row>
    <row r="101" spans="1:9" x14ac:dyDescent="0.25">
      <c r="A101" s="12">
        <v>6</v>
      </c>
      <c r="B101" s="12">
        <v>11</v>
      </c>
      <c r="C101" s="12">
        <v>3</v>
      </c>
      <c r="D101" s="12">
        <v>15</v>
      </c>
      <c r="E101" s="12">
        <v>9</v>
      </c>
      <c r="F101" s="12">
        <v>11</v>
      </c>
      <c r="G101" s="12">
        <v>6</v>
      </c>
      <c r="H101" s="12">
        <v>8</v>
      </c>
      <c r="I101" s="12">
        <v>11</v>
      </c>
    </row>
    <row r="102" spans="1:9" x14ac:dyDescent="0.25">
      <c r="A102" s="12">
        <v>7</v>
      </c>
      <c r="B102" s="12">
        <v>8</v>
      </c>
      <c r="C102" s="12">
        <v>4</v>
      </c>
      <c r="D102" s="12">
        <v>5</v>
      </c>
      <c r="E102" s="12">
        <v>10</v>
      </c>
      <c r="F102" s="12">
        <v>6</v>
      </c>
      <c r="G102" s="12">
        <v>8</v>
      </c>
      <c r="H102" s="12">
        <v>13</v>
      </c>
      <c r="I102" s="12">
        <v>1</v>
      </c>
    </row>
    <row r="103" spans="1:9" x14ac:dyDescent="0.25">
      <c r="A103" s="12">
        <v>8</v>
      </c>
      <c r="B103" s="12">
        <v>3</v>
      </c>
      <c r="C103" s="12">
        <v>9</v>
      </c>
      <c r="D103" s="12">
        <v>1</v>
      </c>
      <c r="E103" s="12">
        <v>1</v>
      </c>
      <c r="F103" s="12">
        <v>8</v>
      </c>
      <c r="G103" s="12">
        <v>0</v>
      </c>
      <c r="H103" s="12">
        <v>3</v>
      </c>
      <c r="I103" s="12">
        <v>10</v>
      </c>
    </row>
    <row r="104" spans="1:9" x14ac:dyDescent="0.25">
      <c r="A104" s="12">
        <v>9</v>
      </c>
      <c r="B104" s="12">
        <v>10</v>
      </c>
      <c r="C104" s="12">
        <v>7</v>
      </c>
      <c r="D104" s="12">
        <v>13</v>
      </c>
      <c r="E104" s="12">
        <v>2</v>
      </c>
      <c r="F104" s="12">
        <v>5</v>
      </c>
      <c r="G104" s="12">
        <v>13</v>
      </c>
      <c r="H104" s="12">
        <v>12</v>
      </c>
      <c r="I104" s="12">
        <v>9</v>
      </c>
    </row>
    <row r="105" spans="1:9" x14ac:dyDescent="0.25">
      <c r="A105" s="12">
        <v>10</v>
      </c>
      <c r="B105" s="12">
        <v>6</v>
      </c>
      <c r="C105" s="12">
        <v>2</v>
      </c>
      <c r="D105" s="12">
        <v>12</v>
      </c>
      <c r="E105" s="12">
        <v>8</v>
      </c>
      <c r="F105" s="12">
        <v>3</v>
      </c>
      <c r="G105" s="12">
        <v>3</v>
      </c>
      <c r="H105" s="12">
        <v>9</v>
      </c>
      <c r="I105" s="12">
        <v>3</v>
      </c>
    </row>
    <row r="106" spans="1:9" x14ac:dyDescent="0.25">
      <c r="A106" s="12">
        <v>11</v>
      </c>
      <c r="B106" s="12">
        <v>12</v>
      </c>
      <c r="C106" s="12">
        <v>13</v>
      </c>
      <c r="D106" s="12">
        <v>7</v>
      </c>
      <c r="E106" s="12">
        <v>5</v>
      </c>
      <c r="F106" s="12">
        <v>15</v>
      </c>
      <c r="G106" s="12">
        <v>4</v>
      </c>
      <c r="H106" s="12">
        <v>7</v>
      </c>
      <c r="I106" s="12">
        <v>14</v>
      </c>
    </row>
    <row r="107" spans="1:9" x14ac:dyDescent="0.25">
      <c r="A107" s="12">
        <v>12</v>
      </c>
      <c r="B107" s="12">
        <v>5</v>
      </c>
      <c r="C107" s="12">
        <v>12</v>
      </c>
      <c r="D107" s="12">
        <v>11</v>
      </c>
      <c r="E107" s="12">
        <v>11</v>
      </c>
      <c r="F107" s="12">
        <v>13</v>
      </c>
      <c r="G107" s="12">
        <v>14</v>
      </c>
      <c r="H107" s="12">
        <v>5</v>
      </c>
      <c r="I107" s="12">
        <v>5</v>
      </c>
    </row>
    <row r="108" spans="1:9" x14ac:dyDescent="0.25">
      <c r="A108" s="12">
        <v>13</v>
      </c>
      <c r="B108" s="12">
        <v>9</v>
      </c>
      <c r="C108" s="12">
        <v>0</v>
      </c>
      <c r="D108" s="12">
        <v>4</v>
      </c>
      <c r="E108" s="12">
        <v>12</v>
      </c>
      <c r="F108" s="12">
        <v>0</v>
      </c>
      <c r="G108" s="12">
        <v>7</v>
      </c>
      <c r="H108" s="12">
        <v>10</v>
      </c>
      <c r="I108" s="12">
        <v>0</v>
      </c>
    </row>
    <row r="109" spans="1:9" x14ac:dyDescent="0.25">
      <c r="A109" s="12">
        <v>14</v>
      </c>
      <c r="B109" s="12">
        <v>0</v>
      </c>
      <c r="C109" s="12">
        <v>5</v>
      </c>
      <c r="D109" s="12">
        <v>2</v>
      </c>
      <c r="E109" s="12">
        <v>4</v>
      </c>
      <c r="F109" s="12">
        <v>14</v>
      </c>
      <c r="G109" s="12">
        <v>5</v>
      </c>
      <c r="H109" s="12">
        <v>6</v>
      </c>
      <c r="I109" s="12">
        <v>12</v>
      </c>
    </row>
    <row r="110" spans="1:9" x14ac:dyDescent="0.25">
      <c r="A110" s="12">
        <v>15</v>
      </c>
      <c r="B110" s="12">
        <v>7</v>
      </c>
      <c r="C110" s="12">
        <v>10</v>
      </c>
      <c r="D110" s="12">
        <v>8</v>
      </c>
      <c r="E110" s="12">
        <v>15</v>
      </c>
      <c r="F110" s="12">
        <v>9</v>
      </c>
      <c r="G110" s="12">
        <v>11</v>
      </c>
      <c r="H110" s="12">
        <v>1</v>
      </c>
      <c r="I110" s="12">
        <v>7</v>
      </c>
    </row>
    <row r="111" spans="1:9" x14ac:dyDescent="0.25">
      <c r="A111" s="12">
        <v>16</v>
      </c>
      <c r="B111" s="12">
        <v>0</v>
      </c>
      <c r="C111" s="12">
        <v>3</v>
      </c>
      <c r="D111" s="12">
        <v>13</v>
      </c>
      <c r="E111" s="12">
        <v>13</v>
      </c>
      <c r="F111" s="12">
        <v>14</v>
      </c>
      <c r="G111" s="12">
        <v>10</v>
      </c>
      <c r="H111" s="12">
        <v>13</v>
      </c>
      <c r="I111" s="12">
        <v>1</v>
      </c>
    </row>
    <row r="112" spans="1:9" x14ac:dyDescent="0.25">
      <c r="A112" s="12">
        <v>17</v>
      </c>
      <c r="B112" s="12">
        <v>15</v>
      </c>
      <c r="C112" s="12">
        <v>13</v>
      </c>
      <c r="D112" s="12">
        <v>7</v>
      </c>
      <c r="E112" s="12">
        <v>8</v>
      </c>
      <c r="F112" s="12">
        <v>11</v>
      </c>
      <c r="G112" s="12">
        <v>15</v>
      </c>
      <c r="H112" s="12">
        <v>0</v>
      </c>
      <c r="I112" s="12">
        <v>15</v>
      </c>
    </row>
    <row r="113" spans="1:9" x14ac:dyDescent="0.25">
      <c r="A113" s="12">
        <v>18</v>
      </c>
      <c r="B113" s="12">
        <v>7</v>
      </c>
      <c r="C113" s="12">
        <v>4</v>
      </c>
      <c r="D113" s="12">
        <v>0</v>
      </c>
      <c r="E113" s="12">
        <v>11</v>
      </c>
      <c r="F113" s="12">
        <v>2</v>
      </c>
      <c r="G113" s="12">
        <v>4</v>
      </c>
      <c r="H113" s="12">
        <v>11</v>
      </c>
      <c r="I113" s="12">
        <v>13</v>
      </c>
    </row>
    <row r="114" spans="1:9" x14ac:dyDescent="0.25">
      <c r="A114" s="12">
        <v>19</v>
      </c>
      <c r="B114" s="12">
        <v>4</v>
      </c>
      <c r="C114" s="12">
        <v>7</v>
      </c>
      <c r="D114" s="12">
        <v>9</v>
      </c>
      <c r="E114" s="12">
        <v>5</v>
      </c>
      <c r="F114" s="12">
        <v>12</v>
      </c>
      <c r="G114" s="12">
        <v>2</v>
      </c>
      <c r="H114" s="12">
        <v>7</v>
      </c>
      <c r="I114" s="12">
        <v>8</v>
      </c>
    </row>
    <row r="115" spans="1:9" x14ac:dyDescent="0.25">
      <c r="A115" s="12">
        <v>20</v>
      </c>
      <c r="B115" s="12">
        <v>14</v>
      </c>
      <c r="C115" s="12">
        <v>15</v>
      </c>
      <c r="D115" s="12">
        <v>3</v>
      </c>
      <c r="E115" s="12">
        <v>6</v>
      </c>
      <c r="F115" s="12">
        <v>4</v>
      </c>
      <c r="G115" s="12">
        <v>7</v>
      </c>
      <c r="H115" s="12">
        <v>4</v>
      </c>
      <c r="I115" s="12">
        <v>10</v>
      </c>
    </row>
    <row r="116" spans="1:9" x14ac:dyDescent="0.25">
      <c r="A116" s="12">
        <v>21</v>
      </c>
      <c r="B116" s="12">
        <v>2</v>
      </c>
      <c r="C116" s="12">
        <v>2</v>
      </c>
      <c r="D116" s="12">
        <v>4</v>
      </c>
      <c r="E116" s="12">
        <v>15</v>
      </c>
      <c r="F116" s="12">
        <v>7</v>
      </c>
      <c r="G116" s="12">
        <v>12</v>
      </c>
      <c r="H116" s="12">
        <v>9</v>
      </c>
      <c r="I116" s="12">
        <v>3</v>
      </c>
    </row>
    <row r="117" spans="1:9" x14ac:dyDescent="0.25">
      <c r="A117" s="12">
        <v>22</v>
      </c>
      <c r="B117" s="12">
        <v>13</v>
      </c>
      <c r="C117" s="12">
        <v>8</v>
      </c>
      <c r="D117" s="12">
        <v>6</v>
      </c>
      <c r="E117" s="12">
        <v>0</v>
      </c>
      <c r="F117" s="12">
        <v>13</v>
      </c>
      <c r="G117" s="12">
        <v>9</v>
      </c>
      <c r="H117" s="12">
        <v>1</v>
      </c>
      <c r="I117" s="12">
        <v>7</v>
      </c>
    </row>
    <row r="118" spans="1:9" x14ac:dyDescent="0.25">
      <c r="A118" s="12">
        <v>23</v>
      </c>
      <c r="B118" s="12">
        <v>1</v>
      </c>
      <c r="C118" s="12">
        <v>14</v>
      </c>
      <c r="D118" s="12">
        <v>10</v>
      </c>
      <c r="E118" s="12">
        <v>3</v>
      </c>
      <c r="F118" s="12">
        <v>1</v>
      </c>
      <c r="G118" s="12">
        <v>5</v>
      </c>
      <c r="H118" s="12">
        <v>10</v>
      </c>
      <c r="I118" s="12">
        <v>4</v>
      </c>
    </row>
    <row r="119" spans="1:9" x14ac:dyDescent="0.25">
      <c r="A119" s="12">
        <v>24</v>
      </c>
      <c r="B119" s="12">
        <v>10</v>
      </c>
      <c r="C119" s="12">
        <v>12</v>
      </c>
      <c r="D119" s="12">
        <v>2</v>
      </c>
      <c r="E119" s="12">
        <v>4</v>
      </c>
      <c r="F119" s="12">
        <v>5</v>
      </c>
      <c r="G119" s="12">
        <v>6</v>
      </c>
      <c r="H119" s="12">
        <v>14</v>
      </c>
      <c r="I119" s="12">
        <v>12</v>
      </c>
    </row>
    <row r="120" spans="1:9" x14ac:dyDescent="0.25">
      <c r="A120" s="12">
        <v>25</v>
      </c>
      <c r="B120" s="12">
        <v>6</v>
      </c>
      <c r="C120" s="12">
        <v>0</v>
      </c>
      <c r="D120" s="12">
        <v>8</v>
      </c>
      <c r="E120" s="12">
        <v>7</v>
      </c>
      <c r="F120" s="12">
        <v>0</v>
      </c>
      <c r="G120" s="12">
        <v>1</v>
      </c>
      <c r="H120" s="12">
        <v>3</v>
      </c>
      <c r="I120" s="12">
        <v>5</v>
      </c>
    </row>
    <row r="121" spans="1:9" x14ac:dyDescent="0.25">
      <c r="A121" s="12">
        <v>26</v>
      </c>
      <c r="B121" s="12">
        <v>12</v>
      </c>
      <c r="C121" s="12">
        <v>1</v>
      </c>
      <c r="D121" s="12">
        <v>5</v>
      </c>
      <c r="E121" s="12">
        <v>2</v>
      </c>
      <c r="F121" s="12">
        <v>15</v>
      </c>
      <c r="G121" s="12">
        <v>13</v>
      </c>
      <c r="H121" s="12">
        <v>5</v>
      </c>
      <c r="I121" s="12">
        <v>6</v>
      </c>
    </row>
    <row r="122" spans="1:9" x14ac:dyDescent="0.25">
      <c r="A122" s="12">
        <v>27</v>
      </c>
      <c r="B122" s="12">
        <v>11</v>
      </c>
      <c r="C122" s="12">
        <v>10</v>
      </c>
      <c r="D122" s="12">
        <v>14</v>
      </c>
      <c r="E122" s="12">
        <v>12</v>
      </c>
      <c r="F122" s="12">
        <v>10</v>
      </c>
      <c r="G122" s="12">
        <v>14</v>
      </c>
      <c r="H122" s="12">
        <v>12</v>
      </c>
      <c r="I122" s="12">
        <v>11</v>
      </c>
    </row>
    <row r="123" spans="1:9" x14ac:dyDescent="0.25">
      <c r="A123" s="12">
        <v>28</v>
      </c>
      <c r="B123" s="12">
        <v>9</v>
      </c>
      <c r="C123" s="12">
        <v>6</v>
      </c>
      <c r="D123" s="12">
        <v>12</v>
      </c>
      <c r="E123" s="12">
        <v>1</v>
      </c>
      <c r="F123" s="12">
        <v>3</v>
      </c>
      <c r="G123" s="12">
        <v>0</v>
      </c>
      <c r="H123" s="12">
        <v>2</v>
      </c>
      <c r="I123" s="12">
        <v>0</v>
      </c>
    </row>
    <row r="124" spans="1:9" x14ac:dyDescent="0.25">
      <c r="A124" s="12">
        <v>29</v>
      </c>
      <c r="B124" s="12">
        <v>5</v>
      </c>
      <c r="C124" s="12">
        <v>9</v>
      </c>
      <c r="D124" s="12">
        <v>11</v>
      </c>
      <c r="E124" s="12">
        <v>10</v>
      </c>
      <c r="F124" s="12">
        <v>9</v>
      </c>
      <c r="G124" s="12">
        <v>11</v>
      </c>
      <c r="H124" s="12">
        <v>15</v>
      </c>
      <c r="I124" s="12">
        <v>14</v>
      </c>
    </row>
    <row r="125" spans="1:9" x14ac:dyDescent="0.25">
      <c r="A125" s="12">
        <v>30</v>
      </c>
      <c r="B125" s="12">
        <v>3</v>
      </c>
      <c r="C125" s="12">
        <v>11</v>
      </c>
      <c r="D125" s="12">
        <v>15</v>
      </c>
      <c r="E125" s="12">
        <v>14</v>
      </c>
      <c r="F125" s="12">
        <v>8</v>
      </c>
      <c r="G125" s="12">
        <v>3</v>
      </c>
      <c r="H125" s="12">
        <v>8</v>
      </c>
      <c r="I125" s="12">
        <v>9</v>
      </c>
    </row>
    <row r="126" spans="1:9" x14ac:dyDescent="0.25">
      <c r="A126" s="12">
        <v>31</v>
      </c>
      <c r="B126" s="12">
        <v>8</v>
      </c>
      <c r="C126" s="12">
        <v>5</v>
      </c>
      <c r="D126" s="12">
        <v>1</v>
      </c>
      <c r="E126" s="12">
        <v>9</v>
      </c>
      <c r="F126" s="12">
        <v>6</v>
      </c>
      <c r="G126" s="12">
        <v>8</v>
      </c>
      <c r="H126" s="12">
        <v>6</v>
      </c>
      <c r="I126" s="12">
        <v>2</v>
      </c>
    </row>
    <row r="127" spans="1:9" x14ac:dyDescent="0.25">
      <c r="A127" s="12">
        <v>32</v>
      </c>
      <c r="B127" s="12">
        <v>4</v>
      </c>
      <c r="C127" s="12">
        <v>0</v>
      </c>
      <c r="D127" s="12">
        <v>13</v>
      </c>
      <c r="E127" s="12">
        <v>10</v>
      </c>
      <c r="F127" s="12">
        <v>4</v>
      </c>
      <c r="G127" s="12">
        <v>9</v>
      </c>
      <c r="H127" s="12">
        <v>1</v>
      </c>
      <c r="I127" s="12">
        <v>7</v>
      </c>
    </row>
    <row r="128" spans="1:9" x14ac:dyDescent="0.25">
      <c r="A128" s="12">
        <v>33</v>
      </c>
      <c r="B128" s="12">
        <v>1</v>
      </c>
      <c r="C128" s="12">
        <v>14</v>
      </c>
      <c r="D128" s="12">
        <v>6</v>
      </c>
      <c r="E128" s="12">
        <v>6</v>
      </c>
      <c r="F128" s="12">
        <v>2</v>
      </c>
      <c r="G128" s="12">
        <v>14</v>
      </c>
      <c r="H128" s="12">
        <v>4</v>
      </c>
      <c r="I128" s="12">
        <v>11</v>
      </c>
    </row>
    <row r="129" spans="1:9" x14ac:dyDescent="0.25">
      <c r="A129" s="12">
        <v>34</v>
      </c>
      <c r="B129" s="12">
        <v>14</v>
      </c>
      <c r="C129" s="12">
        <v>7</v>
      </c>
      <c r="D129" s="12">
        <v>4</v>
      </c>
      <c r="E129" s="12">
        <v>9</v>
      </c>
      <c r="F129" s="12">
        <v>1</v>
      </c>
      <c r="G129" s="12">
        <v>15</v>
      </c>
      <c r="H129" s="12">
        <v>11</v>
      </c>
      <c r="I129" s="12">
        <v>4</v>
      </c>
    </row>
    <row r="130" spans="1:9" x14ac:dyDescent="0.25">
      <c r="A130" s="12">
        <v>35</v>
      </c>
      <c r="B130" s="12">
        <v>8</v>
      </c>
      <c r="C130" s="12">
        <v>11</v>
      </c>
      <c r="D130" s="12">
        <v>9</v>
      </c>
      <c r="E130" s="12">
        <v>0</v>
      </c>
      <c r="F130" s="12">
        <v>11</v>
      </c>
      <c r="G130" s="12">
        <v>5</v>
      </c>
      <c r="H130" s="12">
        <v>13</v>
      </c>
      <c r="I130" s="12">
        <v>1</v>
      </c>
    </row>
    <row r="131" spans="1:9" x14ac:dyDescent="0.25">
      <c r="A131" s="12">
        <v>36</v>
      </c>
      <c r="B131" s="12">
        <v>13</v>
      </c>
      <c r="C131" s="12">
        <v>10</v>
      </c>
      <c r="D131" s="12">
        <v>8</v>
      </c>
      <c r="E131" s="12">
        <v>12</v>
      </c>
      <c r="F131" s="12">
        <v>10</v>
      </c>
      <c r="G131" s="12">
        <v>2</v>
      </c>
      <c r="H131" s="12">
        <v>12</v>
      </c>
      <c r="I131" s="12">
        <v>9</v>
      </c>
    </row>
    <row r="132" spans="1:9" x14ac:dyDescent="0.25">
      <c r="A132" s="12">
        <v>37</v>
      </c>
      <c r="B132" s="12">
        <v>6</v>
      </c>
      <c r="C132" s="12">
        <v>4</v>
      </c>
      <c r="D132" s="12">
        <v>15</v>
      </c>
      <c r="E132" s="12">
        <v>11</v>
      </c>
      <c r="F132" s="12">
        <v>13</v>
      </c>
      <c r="G132" s="12">
        <v>8</v>
      </c>
      <c r="H132" s="12">
        <v>3</v>
      </c>
      <c r="I132" s="12">
        <v>12</v>
      </c>
    </row>
    <row r="133" spans="1:9" x14ac:dyDescent="0.25">
      <c r="A133" s="12">
        <v>38</v>
      </c>
      <c r="B133" s="12">
        <v>2</v>
      </c>
      <c r="C133" s="12">
        <v>13</v>
      </c>
      <c r="D133" s="12">
        <v>3</v>
      </c>
      <c r="E133" s="12">
        <v>7</v>
      </c>
      <c r="F133" s="12">
        <v>7</v>
      </c>
      <c r="G133" s="12">
        <v>12</v>
      </c>
      <c r="H133" s="12">
        <v>7</v>
      </c>
      <c r="I133" s="12">
        <v>14</v>
      </c>
    </row>
    <row r="134" spans="1:9" x14ac:dyDescent="0.25">
      <c r="A134" s="12">
        <v>39</v>
      </c>
      <c r="B134" s="12">
        <v>11</v>
      </c>
      <c r="C134" s="12">
        <v>1</v>
      </c>
      <c r="D134" s="12">
        <v>0</v>
      </c>
      <c r="E134" s="12">
        <v>13</v>
      </c>
      <c r="F134" s="12">
        <v>8</v>
      </c>
      <c r="G134" s="12">
        <v>3</v>
      </c>
      <c r="H134" s="12">
        <v>14</v>
      </c>
      <c r="I134" s="12">
        <v>2</v>
      </c>
    </row>
    <row r="135" spans="1:9" x14ac:dyDescent="0.25">
      <c r="A135" s="12">
        <v>40</v>
      </c>
      <c r="B135" s="12">
        <v>15</v>
      </c>
      <c r="C135" s="12">
        <v>5</v>
      </c>
      <c r="D135" s="12">
        <v>11</v>
      </c>
      <c r="E135" s="12">
        <v>15</v>
      </c>
      <c r="F135" s="12">
        <v>15</v>
      </c>
      <c r="G135" s="12">
        <v>7</v>
      </c>
      <c r="H135" s="12">
        <v>10</v>
      </c>
      <c r="I135" s="12">
        <v>0</v>
      </c>
    </row>
    <row r="136" spans="1:9" x14ac:dyDescent="0.25">
      <c r="A136" s="12">
        <v>41</v>
      </c>
      <c r="B136" s="12">
        <v>12</v>
      </c>
      <c r="C136" s="12">
        <v>8</v>
      </c>
      <c r="D136" s="12">
        <v>1</v>
      </c>
      <c r="E136" s="12">
        <v>1</v>
      </c>
      <c r="F136" s="12">
        <v>9</v>
      </c>
      <c r="G136" s="12">
        <v>0</v>
      </c>
      <c r="H136" s="12">
        <v>15</v>
      </c>
      <c r="I136" s="12">
        <v>6</v>
      </c>
    </row>
    <row r="137" spans="1:9" x14ac:dyDescent="0.25">
      <c r="A137" s="12">
        <v>42</v>
      </c>
      <c r="B137" s="12">
        <v>9</v>
      </c>
      <c r="C137" s="12">
        <v>12</v>
      </c>
      <c r="D137" s="12">
        <v>2</v>
      </c>
      <c r="E137" s="12">
        <v>3</v>
      </c>
      <c r="F137" s="12">
        <v>12</v>
      </c>
      <c r="G137" s="12">
        <v>4</v>
      </c>
      <c r="H137" s="12">
        <v>6</v>
      </c>
      <c r="I137" s="12">
        <v>10</v>
      </c>
    </row>
    <row r="138" spans="1:9" x14ac:dyDescent="0.25">
      <c r="A138" s="12">
        <v>43</v>
      </c>
      <c r="B138" s="12">
        <v>7</v>
      </c>
      <c r="C138" s="12">
        <v>6</v>
      </c>
      <c r="D138" s="12">
        <v>12</v>
      </c>
      <c r="E138" s="12">
        <v>14</v>
      </c>
      <c r="F138" s="12">
        <v>5</v>
      </c>
      <c r="G138" s="12">
        <v>10</v>
      </c>
      <c r="H138" s="12">
        <v>8</v>
      </c>
      <c r="I138" s="12">
        <v>13</v>
      </c>
    </row>
    <row r="139" spans="1:9" x14ac:dyDescent="0.25">
      <c r="A139" s="12">
        <v>44</v>
      </c>
      <c r="B139" s="12">
        <v>3</v>
      </c>
      <c r="C139" s="12">
        <v>9</v>
      </c>
      <c r="D139" s="12">
        <v>5</v>
      </c>
      <c r="E139" s="12">
        <v>5</v>
      </c>
      <c r="F139" s="12">
        <v>6</v>
      </c>
      <c r="G139" s="12">
        <v>1</v>
      </c>
      <c r="H139" s="12">
        <v>0</v>
      </c>
      <c r="I139" s="12">
        <v>15</v>
      </c>
    </row>
    <row r="140" spans="1:9" x14ac:dyDescent="0.25">
      <c r="A140" s="12">
        <v>45</v>
      </c>
      <c r="B140" s="12">
        <v>10</v>
      </c>
      <c r="C140" s="12">
        <v>3</v>
      </c>
      <c r="D140" s="12">
        <v>10</v>
      </c>
      <c r="E140" s="12">
        <v>2</v>
      </c>
      <c r="F140" s="12">
        <v>3</v>
      </c>
      <c r="G140" s="12">
        <v>13</v>
      </c>
      <c r="H140" s="12">
        <v>5</v>
      </c>
      <c r="I140" s="12">
        <v>3</v>
      </c>
    </row>
    <row r="141" spans="1:9" x14ac:dyDescent="0.25">
      <c r="A141" s="12">
        <v>46</v>
      </c>
      <c r="B141" s="12">
        <v>5</v>
      </c>
      <c r="C141" s="12">
        <v>2</v>
      </c>
      <c r="D141" s="12">
        <v>14</v>
      </c>
      <c r="E141" s="12">
        <v>8</v>
      </c>
      <c r="F141" s="12">
        <v>0</v>
      </c>
      <c r="G141" s="12">
        <v>11</v>
      </c>
      <c r="H141" s="12">
        <v>9</v>
      </c>
      <c r="I141" s="12">
        <v>5</v>
      </c>
    </row>
    <row r="142" spans="1:9" x14ac:dyDescent="0.25">
      <c r="A142" s="12">
        <v>47</v>
      </c>
      <c r="B142" s="12">
        <v>0</v>
      </c>
      <c r="C142" s="12">
        <v>15</v>
      </c>
      <c r="D142" s="12">
        <v>7</v>
      </c>
      <c r="E142" s="12">
        <v>4</v>
      </c>
      <c r="F142" s="12">
        <v>14</v>
      </c>
      <c r="G142" s="12">
        <v>6</v>
      </c>
      <c r="H142" s="12">
        <v>2</v>
      </c>
      <c r="I142" s="12">
        <v>8</v>
      </c>
    </row>
    <row r="143" spans="1:9" x14ac:dyDescent="0.25">
      <c r="A143" s="12">
        <v>48</v>
      </c>
      <c r="B143" s="12">
        <v>15</v>
      </c>
      <c r="C143" s="12">
        <v>13</v>
      </c>
      <c r="D143" s="12">
        <v>1</v>
      </c>
      <c r="E143" s="12">
        <v>3</v>
      </c>
      <c r="F143" s="12">
        <v>11</v>
      </c>
      <c r="G143" s="12">
        <v>4</v>
      </c>
      <c r="H143" s="12">
        <v>6</v>
      </c>
      <c r="I143" s="12">
        <v>2</v>
      </c>
    </row>
    <row r="144" spans="1:9" x14ac:dyDescent="0.25">
      <c r="A144" s="12">
        <v>49</v>
      </c>
      <c r="B144" s="12">
        <v>12</v>
      </c>
      <c r="C144" s="12">
        <v>8</v>
      </c>
      <c r="D144" s="12">
        <v>10</v>
      </c>
      <c r="E144" s="12">
        <v>15</v>
      </c>
      <c r="F144" s="12">
        <v>8</v>
      </c>
      <c r="G144" s="12">
        <v>3</v>
      </c>
      <c r="H144" s="12">
        <v>11</v>
      </c>
      <c r="I144" s="12">
        <v>1</v>
      </c>
    </row>
    <row r="145" spans="1:9" x14ac:dyDescent="0.25">
      <c r="A145" s="12">
        <v>50</v>
      </c>
      <c r="B145" s="12">
        <v>8</v>
      </c>
      <c r="C145" s="12">
        <v>10</v>
      </c>
      <c r="D145" s="12">
        <v>13</v>
      </c>
      <c r="E145" s="12">
        <v>0</v>
      </c>
      <c r="F145" s="12">
        <v>12</v>
      </c>
      <c r="G145" s="12">
        <v>2</v>
      </c>
      <c r="H145" s="12">
        <v>13</v>
      </c>
      <c r="I145" s="12">
        <v>14</v>
      </c>
    </row>
    <row r="146" spans="1:9" x14ac:dyDescent="0.25">
      <c r="A146" s="12">
        <v>51</v>
      </c>
      <c r="B146" s="12">
        <v>2</v>
      </c>
      <c r="C146" s="12">
        <v>1</v>
      </c>
      <c r="D146" s="12">
        <v>0</v>
      </c>
      <c r="E146" s="12">
        <v>6</v>
      </c>
      <c r="F146" s="12">
        <v>7</v>
      </c>
      <c r="G146" s="12">
        <v>12</v>
      </c>
      <c r="H146" s="12">
        <v>8</v>
      </c>
      <c r="I146" s="12">
        <v>7</v>
      </c>
    </row>
    <row r="147" spans="1:9" x14ac:dyDescent="0.25">
      <c r="A147" s="12">
        <v>52</v>
      </c>
      <c r="B147" s="12">
        <v>4</v>
      </c>
      <c r="C147" s="12">
        <v>3</v>
      </c>
      <c r="D147" s="12">
        <v>6</v>
      </c>
      <c r="E147" s="12">
        <v>10</v>
      </c>
      <c r="F147" s="12">
        <v>1</v>
      </c>
      <c r="G147" s="12">
        <v>9</v>
      </c>
      <c r="H147" s="12">
        <v>1</v>
      </c>
      <c r="I147" s="12">
        <v>4</v>
      </c>
    </row>
    <row r="148" spans="1:9" x14ac:dyDescent="0.25">
      <c r="A148" s="12">
        <v>53</v>
      </c>
      <c r="B148" s="12">
        <v>9</v>
      </c>
      <c r="C148" s="12">
        <v>15</v>
      </c>
      <c r="D148" s="12">
        <v>9</v>
      </c>
      <c r="E148" s="12">
        <v>1</v>
      </c>
      <c r="F148" s="12">
        <v>14</v>
      </c>
      <c r="G148" s="12">
        <v>5</v>
      </c>
      <c r="H148" s="12">
        <v>4</v>
      </c>
      <c r="I148" s="12">
        <v>10</v>
      </c>
    </row>
    <row r="149" spans="1:9" x14ac:dyDescent="0.25">
      <c r="A149" s="12">
        <v>54</v>
      </c>
      <c r="B149" s="12">
        <v>1</v>
      </c>
      <c r="C149" s="12">
        <v>4</v>
      </c>
      <c r="D149" s="12">
        <v>8</v>
      </c>
      <c r="E149" s="12">
        <v>13</v>
      </c>
      <c r="F149" s="12">
        <v>2</v>
      </c>
      <c r="G149" s="12">
        <v>15</v>
      </c>
      <c r="H149" s="12">
        <v>10</v>
      </c>
      <c r="I149" s="12">
        <v>8</v>
      </c>
    </row>
    <row r="150" spans="1:9" x14ac:dyDescent="0.25">
      <c r="A150" s="12">
        <v>55</v>
      </c>
      <c r="B150" s="12">
        <v>7</v>
      </c>
      <c r="C150" s="12">
        <v>2</v>
      </c>
      <c r="D150" s="12">
        <v>7</v>
      </c>
      <c r="E150" s="12">
        <v>8</v>
      </c>
      <c r="F150" s="12">
        <v>13</v>
      </c>
      <c r="G150" s="12">
        <v>10</v>
      </c>
      <c r="H150" s="12">
        <v>7</v>
      </c>
      <c r="I150" s="12">
        <v>13</v>
      </c>
    </row>
    <row r="151" spans="1:9" x14ac:dyDescent="0.25">
      <c r="A151" s="12">
        <v>56</v>
      </c>
      <c r="B151" s="12">
        <v>5</v>
      </c>
      <c r="C151" s="12">
        <v>11</v>
      </c>
      <c r="D151" s="12">
        <v>4</v>
      </c>
      <c r="E151" s="12">
        <v>9</v>
      </c>
      <c r="F151" s="12">
        <v>6</v>
      </c>
      <c r="G151" s="12">
        <v>11</v>
      </c>
      <c r="H151" s="12">
        <v>9</v>
      </c>
      <c r="I151" s="12">
        <v>15</v>
      </c>
    </row>
    <row r="152" spans="1:9" x14ac:dyDescent="0.25">
      <c r="A152" s="12">
        <v>57</v>
      </c>
      <c r="B152" s="12">
        <v>11</v>
      </c>
      <c r="C152" s="12">
        <v>6</v>
      </c>
      <c r="D152" s="12">
        <v>15</v>
      </c>
      <c r="E152" s="12">
        <v>4</v>
      </c>
      <c r="F152" s="12">
        <v>15</v>
      </c>
      <c r="G152" s="12">
        <v>14</v>
      </c>
      <c r="H152" s="12">
        <v>5</v>
      </c>
      <c r="I152" s="12">
        <v>12</v>
      </c>
    </row>
    <row r="153" spans="1:9" x14ac:dyDescent="0.25">
      <c r="A153" s="12">
        <v>58</v>
      </c>
      <c r="B153" s="12">
        <v>3</v>
      </c>
      <c r="C153" s="12">
        <v>7</v>
      </c>
      <c r="D153" s="12">
        <v>14</v>
      </c>
      <c r="E153" s="12">
        <v>5</v>
      </c>
      <c r="F153" s="12">
        <v>0</v>
      </c>
      <c r="G153" s="12">
        <v>1</v>
      </c>
      <c r="H153" s="12">
        <v>0</v>
      </c>
      <c r="I153" s="12">
        <v>9</v>
      </c>
    </row>
    <row r="154" spans="1:9" x14ac:dyDescent="0.25">
      <c r="A154" s="12">
        <v>59</v>
      </c>
      <c r="B154" s="12">
        <v>14</v>
      </c>
      <c r="C154" s="12">
        <v>12</v>
      </c>
      <c r="D154" s="12">
        <v>3</v>
      </c>
      <c r="E154" s="12">
        <v>11</v>
      </c>
      <c r="F154" s="12">
        <v>9</v>
      </c>
      <c r="G154" s="12">
        <v>7</v>
      </c>
      <c r="H154" s="12">
        <v>15</v>
      </c>
      <c r="I154" s="12">
        <v>0</v>
      </c>
    </row>
    <row r="155" spans="1:9" x14ac:dyDescent="0.25">
      <c r="A155" s="12">
        <v>60</v>
      </c>
      <c r="B155" s="12">
        <v>10</v>
      </c>
      <c r="C155" s="12">
        <v>0</v>
      </c>
      <c r="D155" s="12">
        <v>11</v>
      </c>
      <c r="E155" s="12">
        <v>12</v>
      </c>
      <c r="F155" s="12">
        <v>10</v>
      </c>
      <c r="G155" s="12">
        <v>6</v>
      </c>
      <c r="H155" s="12">
        <v>14</v>
      </c>
      <c r="I155" s="12">
        <v>3</v>
      </c>
    </row>
    <row r="156" spans="1:9" x14ac:dyDescent="0.25">
      <c r="A156" s="12">
        <v>61</v>
      </c>
      <c r="B156" s="12">
        <v>0</v>
      </c>
      <c r="C156" s="12">
        <v>5</v>
      </c>
      <c r="D156" s="12">
        <v>5</v>
      </c>
      <c r="E156" s="12">
        <v>7</v>
      </c>
      <c r="F156" s="12">
        <v>4</v>
      </c>
      <c r="G156" s="12">
        <v>0</v>
      </c>
      <c r="H156" s="12">
        <v>2</v>
      </c>
      <c r="I156" s="12">
        <v>5</v>
      </c>
    </row>
    <row r="157" spans="1:9" x14ac:dyDescent="0.25">
      <c r="A157" s="12">
        <v>62</v>
      </c>
      <c r="B157" s="12">
        <v>6</v>
      </c>
      <c r="C157" s="12">
        <v>14</v>
      </c>
      <c r="D157" s="12">
        <v>2</v>
      </c>
      <c r="E157" s="12">
        <v>2</v>
      </c>
      <c r="F157" s="12">
        <v>5</v>
      </c>
      <c r="G157" s="12">
        <v>8</v>
      </c>
      <c r="H157" s="12">
        <v>3</v>
      </c>
      <c r="I157" s="12">
        <v>6</v>
      </c>
    </row>
    <row r="158" spans="1:9" x14ac:dyDescent="0.25">
      <c r="A158" s="12">
        <v>63</v>
      </c>
      <c r="B158" s="12">
        <v>13</v>
      </c>
      <c r="C158" s="12">
        <v>9</v>
      </c>
      <c r="D158" s="12">
        <v>12</v>
      </c>
      <c r="E158" s="12">
        <v>14</v>
      </c>
      <c r="F158" s="12">
        <v>3</v>
      </c>
      <c r="G158" s="12">
        <v>13</v>
      </c>
      <c r="H158" s="12">
        <v>12</v>
      </c>
      <c r="I158" s="12">
        <v>11</v>
      </c>
    </row>
    <row r="161" spans="1:6" ht="18.75" x14ac:dyDescent="0.3">
      <c r="B161" s="15" t="s">
        <v>50</v>
      </c>
      <c r="C161" s="15" t="str">
        <f>J85</f>
        <v>01011000100000110000010010101001</v>
      </c>
      <c r="D161" s="15"/>
      <c r="E161" s="15"/>
      <c r="F161" s="15"/>
    </row>
    <row r="162" spans="1:6" ht="24" x14ac:dyDescent="0.4">
      <c r="A162" s="13" t="s">
        <v>51</v>
      </c>
      <c r="B162" s="14"/>
    </row>
    <row r="163" spans="1:6" x14ac:dyDescent="0.25">
      <c r="A163" t="s">
        <v>5</v>
      </c>
      <c r="B163" t="s">
        <v>52</v>
      </c>
      <c r="C163" t="s">
        <v>35</v>
      </c>
    </row>
    <row r="164" spans="1:6" x14ac:dyDescent="0.25">
      <c r="A164">
        <v>1</v>
      </c>
      <c r="B164">
        <v>16</v>
      </c>
      <c r="C164" t="str">
        <f>MID($C$161,B164,1)</f>
        <v>1</v>
      </c>
      <c r="D164" t="str">
        <f t="shared" ref="D164:D191" si="20">C164&amp;D165</f>
        <v>10001000010010001000110100001011</v>
      </c>
    </row>
    <row r="165" spans="1:6" x14ac:dyDescent="0.25">
      <c r="A165">
        <v>2</v>
      </c>
      <c r="B165">
        <v>7</v>
      </c>
      <c r="C165" t="str">
        <f t="shared" ref="C165:C195" si="21">MID($C$161,B165,1)</f>
        <v>0</v>
      </c>
      <c r="D165" t="str">
        <f t="shared" si="20"/>
        <v>0001000010010001000110100001011</v>
      </c>
    </row>
    <row r="166" spans="1:6" x14ac:dyDescent="0.25">
      <c r="A166">
        <v>3</v>
      </c>
      <c r="B166">
        <v>20</v>
      </c>
      <c r="C166" t="str">
        <f t="shared" si="21"/>
        <v>0</v>
      </c>
      <c r="D166" t="str">
        <f t="shared" si="20"/>
        <v>001000010010001000110100001011</v>
      </c>
    </row>
    <row r="167" spans="1:6" x14ac:dyDescent="0.25">
      <c r="A167">
        <v>4</v>
      </c>
      <c r="B167">
        <v>21</v>
      </c>
      <c r="C167" t="str">
        <f t="shared" si="21"/>
        <v>0</v>
      </c>
      <c r="D167" t="str">
        <f t="shared" si="20"/>
        <v>01000010010001000110100001011</v>
      </c>
    </row>
    <row r="168" spans="1:6" x14ac:dyDescent="0.25">
      <c r="A168">
        <v>5</v>
      </c>
      <c r="B168">
        <v>29</v>
      </c>
      <c r="C168" t="str">
        <f t="shared" si="21"/>
        <v>1</v>
      </c>
      <c r="D168" t="str">
        <f t="shared" si="20"/>
        <v>1000010010001000110100001011</v>
      </c>
    </row>
    <row r="169" spans="1:6" x14ac:dyDescent="0.25">
      <c r="A169">
        <v>6</v>
      </c>
      <c r="B169">
        <v>12</v>
      </c>
      <c r="C169" t="str">
        <f t="shared" si="21"/>
        <v>0</v>
      </c>
      <c r="D169" t="str">
        <f t="shared" si="20"/>
        <v>000010010001000110100001011</v>
      </c>
    </row>
    <row r="170" spans="1:6" x14ac:dyDescent="0.25">
      <c r="A170">
        <v>7</v>
      </c>
      <c r="B170">
        <v>28</v>
      </c>
      <c r="C170" t="str">
        <f t="shared" si="21"/>
        <v>0</v>
      </c>
      <c r="D170" t="str">
        <f t="shared" si="20"/>
        <v>00010010001000110100001011</v>
      </c>
    </row>
    <row r="171" spans="1:6" x14ac:dyDescent="0.25">
      <c r="A171">
        <v>8</v>
      </c>
      <c r="B171">
        <v>17</v>
      </c>
      <c r="C171" t="str">
        <f t="shared" si="21"/>
        <v>0</v>
      </c>
      <c r="D171" t="str">
        <f t="shared" si="20"/>
        <v>0010010001000110100001011</v>
      </c>
    </row>
    <row r="172" spans="1:6" x14ac:dyDescent="0.25">
      <c r="A172">
        <v>9</v>
      </c>
      <c r="B172">
        <v>1</v>
      </c>
      <c r="C172" t="str">
        <f t="shared" si="21"/>
        <v>0</v>
      </c>
      <c r="D172" t="str">
        <f t="shared" si="20"/>
        <v>010010001000110100001011</v>
      </c>
    </row>
    <row r="173" spans="1:6" x14ac:dyDescent="0.25">
      <c r="A173">
        <v>10</v>
      </c>
      <c r="B173">
        <v>15</v>
      </c>
      <c r="C173" t="str">
        <f t="shared" si="21"/>
        <v>1</v>
      </c>
      <c r="D173" t="str">
        <f t="shared" si="20"/>
        <v>10010001000110100001011</v>
      </c>
    </row>
    <row r="174" spans="1:6" x14ac:dyDescent="0.25">
      <c r="A174">
        <v>11</v>
      </c>
      <c r="B174">
        <v>23</v>
      </c>
      <c r="C174" t="str">
        <f t="shared" si="21"/>
        <v>0</v>
      </c>
      <c r="D174" t="str">
        <f t="shared" si="20"/>
        <v>0010001000110100001011</v>
      </c>
    </row>
    <row r="175" spans="1:6" x14ac:dyDescent="0.25">
      <c r="A175">
        <v>12</v>
      </c>
      <c r="B175">
        <v>26</v>
      </c>
      <c r="C175" t="str">
        <f t="shared" si="21"/>
        <v>0</v>
      </c>
      <c r="D175" t="str">
        <f t="shared" si="20"/>
        <v>010001000110100001011</v>
      </c>
    </row>
    <row r="176" spans="1:6" x14ac:dyDescent="0.25">
      <c r="A176">
        <v>13</v>
      </c>
      <c r="B176">
        <v>5</v>
      </c>
      <c r="C176" t="str">
        <f t="shared" si="21"/>
        <v>1</v>
      </c>
      <c r="D176" t="str">
        <f t="shared" si="20"/>
        <v>10001000110100001011</v>
      </c>
    </row>
    <row r="177" spans="1:4" x14ac:dyDescent="0.25">
      <c r="A177">
        <v>14</v>
      </c>
      <c r="B177">
        <v>18</v>
      </c>
      <c r="C177" t="str">
        <f t="shared" si="21"/>
        <v>0</v>
      </c>
      <c r="D177" t="str">
        <f t="shared" si="20"/>
        <v>0001000110100001011</v>
      </c>
    </row>
    <row r="178" spans="1:4" x14ac:dyDescent="0.25">
      <c r="A178">
        <v>15</v>
      </c>
      <c r="B178">
        <v>31</v>
      </c>
      <c r="C178" t="str">
        <f t="shared" si="21"/>
        <v>0</v>
      </c>
      <c r="D178" t="str">
        <f t="shared" si="20"/>
        <v>001000110100001011</v>
      </c>
    </row>
    <row r="179" spans="1:4" x14ac:dyDescent="0.25">
      <c r="A179">
        <v>16</v>
      </c>
      <c r="B179">
        <v>10</v>
      </c>
      <c r="C179" t="str">
        <f t="shared" si="21"/>
        <v>0</v>
      </c>
      <c r="D179" t="str">
        <f t="shared" si="20"/>
        <v>01000110100001011</v>
      </c>
    </row>
    <row r="180" spans="1:4" x14ac:dyDescent="0.25">
      <c r="A180">
        <v>17</v>
      </c>
      <c r="B180">
        <v>2</v>
      </c>
      <c r="C180" t="str">
        <f t="shared" si="21"/>
        <v>1</v>
      </c>
      <c r="D180" t="str">
        <f t="shared" si="20"/>
        <v>1000110100001011</v>
      </c>
    </row>
    <row r="181" spans="1:4" x14ac:dyDescent="0.25">
      <c r="A181">
        <v>18</v>
      </c>
      <c r="B181">
        <v>8</v>
      </c>
      <c r="C181" t="str">
        <f t="shared" si="21"/>
        <v>0</v>
      </c>
      <c r="D181" t="str">
        <f t="shared" si="20"/>
        <v>000110100001011</v>
      </c>
    </row>
    <row r="182" spans="1:4" x14ac:dyDescent="0.25">
      <c r="A182">
        <v>19</v>
      </c>
      <c r="B182">
        <v>24</v>
      </c>
      <c r="C182" t="str">
        <f t="shared" si="21"/>
        <v>0</v>
      </c>
      <c r="D182" t="str">
        <f t="shared" si="20"/>
        <v>00110100001011</v>
      </c>
    </row>
    <row r="183" spans="1:4" x14ac:dyDescent="0.25">
      <c r="A183">
        <v>20</v>
      </c>
      <c r="B183">
        <v>14</v>
      </c>
      <c r="C183" t="str">
        <f t="shared" si="21"/>
        <v>0</v>
      </c>
      <c r="D183" t="str">
        <f t="shared" si="20"/>
        <v>0110100001011</v>
      </c>
    </row>
    <row r="184" spans="1:4" x14ac:dyDescent="0.25">
      <c r="A184">
        <v>21</v>
      </c>
      <c r="B184">
        <v>32</v>
      </c>
      <c r="C184" t="str">
        <f t="shared" si="21"/>
        <v>1</v>
      </c>
      <c r="D184" t="str">
        <f t="shared" si="20"/>
        <v>110100001011</v>
      </c>
    </row>
    <row r="185" spans="1:4" x14ac:dyDescent="0.25">
      <c r="A185">
        <v>22</v>
      </c>
      <c r="B185">
        <v>27</v>
      </c>
      <c r="C185" t="str">
        <f t="shared" si="21"/>
        <v>1</v>
      </c>
      <c r="D185" t="str">
        <f t="shared" si="20"/>
        <v>10100001011</v>
      </c>
    </row>
    <row r="186" spans="1:4" x14ac:dyDescent="0.25">
      <c r="A186">
        <v>23</v>
      </c>
      <c r="B186">
        <v>3</v>
      </c>
      <c r="C186" t="str">
        <f t="shared" si="21"/>
        <v>0</v>
      </c>
      <c r="D186" t="str">
        <f t="shared" si="20"/>
        <v>0100001011</v>
      </c>
    </row>
    <row r="187" spans="1:4" x14ac:dyDescent="0.25">
      <c r="A187">
        <v>24</v>
      </c>
      <c r="B187">
        <v>9</v>
      </c>
      <c r="C187" t="str">
        <f t="shared" si="21"/>
        <v>1</v>
      </c>
      <c r="D187" t="str">
        <f t="shared" si="20"/>
        <v>100001011</v>
      </c>
    </row>
    <row r="188" spans="1:4" x14ac:dyDescent="0.25">
      <c r="A188">
        <v>25</v>
      </c>
      <c r="B188">
        <v>19</v>
      </c>
      <c r="C188" t="str">
        <f t="shared" si="21"/>
        <v>0</v>
      </c>
      <c r="D188" t="str">
        <f t="shared" si="20"/>
        <v>00001011</v>
      </c>
    </row>
    <row r="189" spans="1:4" x14ac:dyDescent="0.25">
      <c r="A189">
        <v>26</v>
      </c>
      <c r="B189">
        <v>13</v>
      </c>
      <c r="C189" t="str">
        <f t="shared" si="21"/>
        <v>0</v>
      </c>
      <c r="D189" t="str">
        <f t="shared" si="20"/>
        <v>0001011</v>
      </c>
    </row>
    <row r="190" spans="1:4" x14ac:dyDescent="0.25">
      <c r="A190">
        <v>27</v>
      </c>
      <c r="B190">
        <v>30</v>
      </c>
      <c r="C190" t="str">
        <f t="shared" si="21"/>
        <v>0</v>
      </c>
      <c r="D190" t="str">
        <f t="shared" si="20"/>
        <v>001011</v>
      </c>
    </row>
    <row r="191" spans="1:4" x14ac:dyDescent="0.25">
      <c r="A191">
        <v>28</v>
      </c>
      <c r="B191">
        <v>6</v>
      </c>
      <c r="C191" t="str">
        <f t="shared" si="21"/>
        <v>0</v>
      </c>
      <c r="D191" t="str">
        <f t="shared" si="20"/>
        <v>01011</v>
      </c>
    </row>
    <row r="192" spans="1:4" x14ac:dyDescent="0.25">
      <c r="A192">
        <v>29</v>
      </c>
      <c r="B192">
        <v>22</v>
      </c>
      <c r="C192" t="str">
        <f t="shared" si="21"/>
        <v>1</v>
      </c>
      <c r="D192" t="str">
        <f>C192&amp;D193</f>
        <v>1011</v>
      </c>
    </row>
    <row r="193" spans="1:11" x14ac:dyDescent="0.25">
      <c r="A193">
        <v>30</v>
      </c>
      <c r="B193">
        <v>11</v>
      </c>
      <c r="C193" t="str">
        <f t="shared" si="21"/>
        <v>0</v>
      </c>
      <c r="D193" t="str">
        <f>C193&amp;D194</f>
        <v>011</v>
      </c>
    </row>
    <row r="194" spans="1:11" x14ac:dyDescent="0.25">
      <c r="A194">
        <v>31</v>
      </c>
      <c r="B194">
        <v>4</v>
      </c>
      <c r="C194" t="str">
        <f t="shared" si="21"/>
        <v>1</v>
      </c>
      <c r="D194" t="str">
        <f>C194&amp;C195</f>
        <v>11</v>
      </c>
    </row>
    <row r="195" spans="1:11" x14ac:dyDescent="0.25">
      <c r="A195">
        <v>32</v>
      </c>
      <c r="B195">
        <v>25</v>
      </c>
      <c r="C195" t="str">
        <f t="shared" si="21"/>
        <v>1</v>
      </c>
    </row>
    <row r="197" spans="1:11" ht="18.75" x14ac:dyDescent="0.3">
      <c r="A197" t="s">
        <v>236</v>
      </c>
      <c r="B197" s="16" t="str">
        <f>D164</f>
        <v>10001000010010001000110100001011</v>
      </c>
      <c r="C197" s="16"/>
      <c r="D197" s="16"/>
      <c r="E197" s="16"/>
      <c r="F197" s="1"/>
      <c r="H197" s="7" t="s">
        <v>7</v>
      </c>
      <c r="I197" s="7" t="s">
        <v>7</v>
      </c>
      <c r="J197" s="7" t="s">
        <v>8</v>
      </c>
      <c r="K197" s="1" t="s">
        <v>53</v>
      </c>
    </row>
    <row r="198" spans="1:11" x14ac:dyDescent="0.25">
      <c r="H198" s="7">
        <v>1</v>
      </c>
      <c r="I198" s="7" t="str">
        <f>MID($B$197,(H198-1)*8+1,8)</f>
        <v>10001000</v>
      </c>
      <c r="J198" s="7" t="str">
        <f>BIN2HEX(I198,2)</f>
        <v>88</v>
      </c>
      <c r="K198">
        <f>BIN2DEC(I198)</f>
        <v>136</v>
      </c>
    </row>
    <row r="199" spans="1:11" x14ac:dyDescent="0.25">
      <c r="H199" s="7">
        <v>2</v>
      </c>
      <c r="I199" s="7" t="str">
        <f>MID($B$197,(H199-1)*8+1,8)</f>
        <v>01001000</v>
      </c>
      <c r="J199" s="7" t="str">
        <f t="shared" ref="J199:J201" si="22">BIN2HEX(I199,2)</f>
        <v>48</v>
      </c>
      <c r="K199">
        <f t="shared" ref="K199:K201" si="23">BIN2DEC(I199)</f>
        <v>72</v>
      </c>
    </row>
    <row r="200" spans="1:11" x14ac:dyDescent="0.25">
      <c r="H200" s="7">
        <v>3</v>
      </c>
      <c r="I200" s="7" t="str">
        <f>MID($B$197,(H200-1)*8+1,8)</f>
        <v>10001101</v>
      </c>
      <c r="J200" s="7" t="str">
        <f t="shared" si="22"/>
        <v>8D</v>
      </c>
      <c r="K200">
        <f t="shared" si="23"/>
        <v>141</v>
      </c>
    </row>
    <row r="201" spans="1:11" x14ac:dyDescent="0.25">
      <c r="H201" s="7">
        <v>4</v>
      </c>
      <c r="I201" s="7" t="str">
        <f>MID($B$197,(H201-1)*8+1,8)</f>
        <v>00001011</v>
      </c>
      <c r="J201" s="7" t="str">
        <f t="shared" si="22"/>
        <v>0B</v>
      </c>
      <c r="K201">
        <f t="shared" si="23"/>
        <v>11</v>
      </c>
    </row>
    <row r="204" spans="1:11" ht="18.75" x14ac:dyDescent="0.3">
      <c r="A204" t="s">
        <v>65</v>
      </c>
      <c r="B204" s="16" t="str">
        <f>B3</f>
        <v>11100000010101001111000010101010</v>
      </c>
      <c r="C204" s="16"/>
      <c r="D204" s="16"/>
      <c r="E204" s="16"/>
      <c r="F204" s="1"/>
      <c r="H204" s="7" t="s">
        <v>7</v>
      </c>
      <c r="I204" s="7" t="s">
        <v>7</v>
      </c>
      <c r="J204" s="7" t="s">
        <v>8</v>
      </c>
      <c r="K204" s="1" t="s">
        <v>53</v>
      </c>
    </row>
    <row r="205" spans="1:11" x14ac:dyDescent="0.25">
      <c r="H205" s="7">
        <v>1</v>
      </c>
      <c r="I205" s="7" t="str">
        <f>MID($B$204,(H205-1)*8+1,8)</f>
        <v>11100000</v>
      </c>
      <c r="J205" s="7" t="str">
        <f>BIN2HEX(I205,2)</f>
        <v>E0</v>
      </c>
      <c r="K205">
        <f>BIN2DEC(I205)</f>
        <v>224</v>
      </c>
    </row>
    <row r="206" spans="1:11" x14ac:dyDescent="0.25">
      <c r="H206" s="7">
        <v>2</v>
      </c>
      <c r="I206" s="7" t="str">
        <f t="shared" ref="I206:I208" si="24">MID($B$204,(H206-1)*8+1,8)</f>
        <v>01010100</v>
      </c>
      <c r="J206" s="7" t="str">
        <f t="shared" ref="J206:J208" si="25">BIN2HEX(I206,2)</f>
        <v>54</v>
      </c>
      <c r="K206">
        <f t="shared" ref="K206:K208" si="26">BIN2DEC(I206)</f>
        <v>84</v>
      </c>
    </row>
    <row r="207" spans="1:11" x14ac:dyDescent="0.25">
      <c r="H207" s="7">
        <v>3</v>
      </c>
      <c r="I207" s="7" t="str">
        <f t="shared" si="24"/>
        <v>11110000</v>
      </c>
      <c r="J207" s="7" t="str">
        <f t="shared" si="25"/>
        <v>F0</v>
      </c>
      <c r="K207">
        <f t="shared" si="26"/>
        <v>240</v>
      </c>
    </row>
    <row r="208" spans="1:11" x14ac:dyDescent="0.25">
      <c r="H208" s="7">
        <v>4</v>
      </c>
      <c r="I208" s="7" t="str">
        <f t="shared" si="24"/>
        <v>10101010</v>
      </c>
      <c r="J208" s="7" t="str">
        <f t="shared" si="25"/>
        <v>AA</v>
      </c>
      <c r="K208">
        <f t="shared" si="26"/>
        <v>170</v>
      </c>
    </row>
    <row r="210" spans="1:5" x14ac:dyDescent="0.25">
      <c r="A210" t="s">
        <v>247</v>
      </c>
    </row>
    <row r="211" spans="1:5" x14ac:dyDescent="0.25">
      <c r="B211" s="7" t="s">
        <v>7</v>
      </c>
      <c r="C211" s="7" t="s">
        <v>34</v>
      </c>
      <c r="D211" s="7" t="s">
        <v>8</v>
      </c>
      <c r="E211" s="17" t="s">
        <v>35</v>
      </c>
    </row>
    <row r="212" spans="1:5" x14ac:dyDescent="0.25">
      <c r="B212" s="7">
        <v>1</v>
      </c>
      <c r="C212" s="7">
        <f>_xlfn.BITXOR(K198,K205)</f>
        <v>104</v>
      </c>
      <c r="D212" s="7" t="str">
        <f>DEC2HEX(C212)</f>
        <v>68</v>
      </c>
      <c r="E212" s="7" t="str">
        <f>DEC2BIN(C212,8)</f>
        <v>01101000</v>
      </c>
    </row>
    <row r="213" spans="1:5" x14ac:dyDescent="0.25">
      <c r="B213" s="7">
        <v>2</v>
      </c>
      <c r="C213" s="7">
        <f t="shared" ref="C213:C215" si="27">_xlfn.BITXOR(K199,K206)</f>
        <v>28</v>
      </c>
      <c r="D213" s="7" t="str">
        <f t="shared" ref="D213:D215" si="28">DEC2HEX(C213)</f>
        <v>1C</v>
      </c>
      <c r="E213" s="7" t="str">
        <f t="shared" ref="E213:E215" si="29">DEC2BIN(C213,8)</f>
        <v>00011100</v>
      </c>
    </row>
    <row r="214" spans="1:5" x14ac:dyDescent="0.25">
      <c r="B214" s="7">
        <v>3</v>
      </c>
      <c r="C214" s="7">
        <f t="shared" si="27"/>
        <v>125</v>
      </c>
      <c r="D214" s="7" t="str">
        <f t="shared" si="28"/>
        <v>7D</v>
      </c>
      <c r="E214" s="7" t="str">
        <f t="shared" si="29"/>
        <v>01111101</v>
      </c>
    </row>
    <row r="215" spans="1:5" x14ac:dyDescent="0.25">
      <c r="B215" s="7">
        <v>4</v>
      </c>
      <c r="C215" s="7">
        <f t="shared" si="27"/>
        <v>161</v>
      </c>
      <c r="D215" s="7" t="str">
        <f t="shared" si="28"/>
        <v>A1</v>
      </c>
      <c r="E215" s="7" t="str">
        <f t="shared" si="29"/>
        <v>10100001</v>
      </c>
    </row>
    <row r="218" spans="1:5" ht="21" x14ac:dyDescent="0.35">
      <c r="A218" t="s">
        <v>66</v>
      </c>
      <c r="B218" s="8" t="str">
        <f>E212&amp;E213&amp;E214&amp;E215</f>
        <v>01101000000111000111110110100001</v>
      </c>
      <c r="C218" s="8"/>
      <c r="D218" s="8"/>
      <c r="E218" s="8"/>
    </row>
    <row r="219" spans="1:5" x14ac:dyDescent="0.25">
      <c r="A219" t="s">
        <v>67</v>
      </c>
    </row>
    <row r="220" spans="1:5" ht="21" x14ac:dyDescent="0.35">
      <c r="A220" t="s">
        <v>68</v>
      </c>
      <c r="B220" s="8" t="str">
        <f>B1</f>
        <v>00001111001011111010110110011010</v>
      </c>
      <c r="C220" s="8"/>
      <c r="D220" s="8"/>
      <c r="E22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279F-0E20-4C64-9479-48F2264E5172}">
  <dimension ref="A1:O53"/>
  <sheetViews>
    <sheetView workbookViewId="0">
      <selection activeCell="A2" sqref="A2:N2"/>
    </sheetView>
  </sheetViews>
  <sheetFormatPr defaultRowHeight="15" x14ac:dyDescent="0.25"/>
  <sheetData>
    <row r="1" spans="1:15" ht="18.75" x14ac:dyDescent="0.3">
      <c r="A1" s="16" t="s">
        <v>59</v>
      </c>
      <c r="B1" s="16" t="s">
        <v>60</v>
      </c>
      <c r="C1" s="16"/>
      <c r="D1" s="16"/>
      <c r="E1" s="16"/>
      <c r="F1" s="16"/>
      <c r="G1" s="16"/>
      <c r="H1" s="16"/>
      <c r="I1" s="16" t="s">
        <v>61</v>
      </c>
      <c r="J1" s="16" t="s">
        <v>62</v>
      </c>
      <c r="K1" s="16"/>
      <c r="L1" s="16"/>
      <c r="M1" s="16"/>
    </row>
    <row r="2" spans="1:15" ht="18.75" x14ac:dyDescent="0.3">
      <c r="A2" t="s">
        <v>71</v>
      </c>
      <c r="B2" s="21" t="s">
        <v>76</v>
      </c>
      <c r="I2" t="s">
        <v>72</v>
      </c>
      <c r="J2" s="21" t="s">
        <v>78</v>
      </c>
    </row>
    <row r="3" spans="1:15" x14ac:dyDescent="0.25">
      <c r="A3" t="s">
        <v>73</v>
      </c>
      <c r="D3" s="4" t="s">
        <v>84</v>
      </c>
      <c r="E3" s="1"/>
      <c r="F3" s="1"/>
      <c r="G3" s="1"/>
      <c r="H3" s="1"/>
      <c r="I3" s="1"/>
      <c r="J3" s="7" t="s">
        <v>7</v>
      </c>
      <c r="K3" s="7" t="s">
        <v>7</v>
      </c>
      <c r="L3" s="7" t="s">
        <v>8</v>
      </c>
    </row>
    <row r="4" spans="1:15" x14ac:dyDescent="0.25">
      <c r="B4" t="s">
        <v>81</v>
      </c>
      <c r="C4" s="20" t="s">
        <v>83</v>
      </c>
      <c r="D4" s="5"/>
      <c r="E4" s="5"/>
      <c r="F4" s="5"/>
      <c r="G4" s="5"/>
      <c r="H4" s="5"/>
      <c r="I4" s="5"/>
      <c r="J4" s="7">
        <v>1</v>
      </c>
      <c r="K4" s="7" t="str">
        <f>MID($D$3,(J4-1)*8+1,8)</f>
        <v>01010101</v>
      </c>
      <c r="L4" s="7" t="str">
        <f>BIN2HEX(K4,2)</f>
        <v>55</v>
      </c>
      <c r="O4" s="20"/>
    </row>
    <row r="5" spans="1:15" x14ac:dyDescent="0.25">
      <c r="A5" t="s">
        <v>5</v>
      </c>
      <c r="B5" t="s">
        <v>19</v>
      </c>
      <c r="C5" t="s">
        <v>18</v>
      </c>
      <c r="J5" s="7">
        <v>2</v>
      </c>
      <c r="K5" s="7" t="str">
        <f t="shared" ref="K5:K9" si="0">MID($D$3,(J5-1)*8+1,8)</f>
        <v>11111100</v>
      </c>
      <c r="L5" s="7" t="str">
        <f t="shared" ref="L5:L9" si="1">BIN2HEX(K5,2)</f>
        <v>FC</v>
      </c>
    </row>
    <row r="6" spans="1:15" x14ac:dyDescent="0.25">
      <c r="A6">
        <v>1</v>
      </c>
      <c r="B6">
        <v>14</v>
      </c>
      <c r="C6" t="str">
        <f>MID($C$4,B6,1)</f>
        <v>0</v>
      </c>
      <c r="D6" t="str">
        <f t="shared" ref="D6:D50" si="2">C6&amp;D7</f>
        <v>010101011111110010001010101101001010110011010010</v>
      </c>
      <c r="J6" s="7">
        <v>3</v>
      </c>
      <c r="K6" s="7" t="str">
        <f t="shared" si="0"/>
        <v>10001010</v>
      </c>
      <c r="L6" s="7" t="str">
        <f t="shared" si="1"/>
        <v>8A</v>
      </c>
    </row>
    <row r="7" spans="1:15" x14ac:dyDescent="0.25">
      <c r="A7">
        <v>2</v>
      </c>
      <c r="B7">
        <v>17</v>
      </c>
      <c r="C7" t="str">
        <f>MID($C$4,B7,1)</f>
        <v>1</v>
      </c>
      <c r="D7" t="str">
        <f t="shared" si="2"/>
        <v>10101011111110010001010101101001010110011010010</v>
      </c>
      <c r="J7" s="7">
        <v>4</v>
      </c>
      <c r="K7" s="7" t="str">
        <f t="shared" si="0"/>
        <v>10110100</v>
      </c>
      <c r="L7" s="7" t="str">
        <f t="shared" si="1"/>
        <v>B4</v>
      </c>
      <c r="O7" s="20" t="str">
        <f>B2&amp;J2</f>
        <v>00001100110010101010101111111010110011001111000010101010</v>
      </c>
    </row>
    <row r="8" spans="1:15" x14ac:dyDescent="0.25">
      <c r="A8">
        <v>3</v>
      </c>
      <c r="B8">
        <v>11</v>
      </c>
      <c r="C8" t="str">
        <f t="shared" ref="C8:C53" si="3">MID($C$4,B8,1)</f>
        <v>0</v>
      </c>
      <c r="D8" t="str">
        <f t="shared" si="2"/>
        <v>0101011111110010001010101101001010110011010010</v>
      </c>
      <c r="J8" s="7">
        <v>5</v>
      </c>
      <c r="K8" s="7" t="str">
        <f t="shared" si="0"/>
        <v>10101100</v>
      </c>
      <c r="L8" s="7" t="str">
        <f t="shared" si="1"/>
        <v>AC</v>
      </c>
    </row>
    <row r="9" spans="1:15" x14ac:dyDescent="0.25">
      <c r="A9">
        <v>4</v>
      </c>
      <c r="B9">
        <v>24</v>
      </c>
      <c r="C9" t="str">
        <f t="shared" si="3"/>
        <v>1</v>
      </c>
      <c r="D9" t="str">
        <f t="shared" si="2"/>
        <v>101011111110010001010101101001010110011010010</v>
      </c>
      <c r="J9" s="7">
        <v>6</v>
      </c>
      <c r="K9" s="7" t="str">
        <f t="shared" si="0"/>
        <v>11010010</v>
      </c>
      <c r="L9" s="7" t="str">
        <f t="shared" si="1"/>
        <v>D2</v>
      </c>
    </row>
    <row r="10" spans="1:15" x14ac:dyDescent="0.25">
      <c r="A10">
        <v>5</v>
      </c>
      <c r="B10">
        <v>1</v>
      </c>
      <c r="C10" t="str">
        <f t="shared" si="3"/>
        <v>0</v>
      </c>
      <c r="D10" t="str">
        <f t="shared" si="2"/>
        <v>01011111110010001010101101001010110011010010</v>
      </c>
    </row>
    <row r="11" spans="1:15" x14ac:dyDescent="0.25">
      <c r="A11">
        <v>6</v>
      </c>
      <c r="B11">
        <v>5</v>
      </c>
      <c r="C11" t="str">
        <f t="shared" si="3"/>
        <v>1</v>
      </c>
      <c r="D11" t="str">
        <f t="shared" si="2"/>
        <v>1011111110010001010101101001010110011010010</v>
      </c>
    </row>
    <row r="12" spans="1:15" x14ac:dyDescent="0.25">
      <c r="A12">
        <v>7</v>
      </c>
      <c r="B12">
        <v>3</v>
      </c>
      <c r="C12" t="str">
        <f t="shared" si="3"/>
        <v>0</v>
      </c>
      <c r="D12" t="str">
        <f t="shared" si="2"/>
        <v>011111110010001010101101001010110011010010</v>
      </c>
    </row>
    <row r="13" spans="1:15" x14ac:dyDescent="0.25">
      <c r="A13">
        <v>8</v>
      </c>
      <c r="B13">
        <v>28</v>
      </c>
      <c r="C13" t="str">
        <f t="shared" si="3"/>
        <v>1</v>
      </c>
      <c r="D13" t="str">
        <f t="shared" si="2"/>
        <v>11111110010001010101101001010110011010010</v>
      </c>
    </row>
    <row r="14" spans="1:15" x14ac:dyDescent="0.25">
      <c r="A14">
        <v>9</v>
      </c>
      <c r="B14">
        <v>15</v>
      </c>
      <c r="C14" t="str">
        <f t="shared" si="3"/>
        <v>1</v>
      </c>
      <c r="D14" t="str">
        <f t="shared" si="2"/>
        <v>1111110010001010101101001010110011010010</v>
      </c>
    </row>
    <row r="15" spans="1:15" x14ac:dyDescent="0.25">
      <c r="A15">
        <v>10</v>
      </c>
      <c r="B15">
        <v>6</v>
      </c>
      <c r="C15" t="str">
        <f t="shared" si="3"/>
        <v>1</v>
      </c>
      <c r="D15" t="str">
        <f t="shared" si="2"/>
        <v>111110010001010101101001010110011010010</v>
      </c>
    </row>
    <row r="16" spans="1:15" x14ac:dyDescent="0.25">
      <c r="A16">
        <v>11</v>
      </c>
      <c r="B16">
        <v>21</v>
      </c>
      <c r="C16" t="str">
        <f t="shared" si="3"/>
        <v>1</v>
      </c>
      <c r="D16" t="str">
        <f t="shared" si="2"/>
        <v>11110010001010101101001010110011010010</v>
      </c>
    </row>
    <row r="17" spans="1:4" x14ac:dyDescent="0.25">
      <c r="A17">
        <v>12</v>
      </c>
      <c r="B17">
        <v>10</v>
      </c>
      <c r="C17" t="str">
        <f t="shared" si="3"/>
        <v>1</v>
      </c>
      <c r="D17" t="str">
        <f t="shared" si="2"/>
        <v>1110010001010101101001010110011010010</v>
      </c>
    </row>
    <row r="18" spans="1:4" x14ac:dyDescent="0.25">
      <c r="A18">
        <v>13</v>
      </c>
      <c r="B18">
        <v>23</v>
      </c>
      <c r="C18" t="str">
        <f t="shared" si="3"/>
        <v>1</v>
      </c>
      <c r="D18" t="str">
        <f t="shared" si="2"/>
        <v>110010001010101101001010110011010010</v>
      </c>
    </row>
    <row r="19" spans="1:4" x14ac:dyDescent="0.25">
      <c r="A19">
        <v>14</v>
      </c>
      <c r="B19">
        <v>19</v>
      </c>
      <c r="C19" t="str">
        <f t="shared" si="3"/>
        <v>1</v>
      </c>
      <c r="D19" t="str">
        <f t="shared" si="2"/>
        <v>10010001010101101001010110011010010</v>
      </c>
    </row>
    <row r="20" spans="1:4" x14ac:dyDescent="0.25">
      <c r="A20">
        <v>15</v>
      </c>
      <c r="B20">
        <v>12</v>
      </c>
      <c r="C20" t="str">
        <f t="shared" si="3"/>
        <v>0</v>
      </c>
      <c r="D20" t="str">
        <f t="shared" si="2"/>
        <v>0010001010101101001010110011010010</v>
      </c>
    </row>
    <row r="21" spans="1:4" x14ac:dyDescent="0.25">
      <c r="A21">
        <v>16</v>
      </c>
      <c r="B21">
        <v>4</v>
      </c>
      <c r="C21" t="str">
        <f t="shared" si="3"/>
        <v>0</v>
      </c>
      <c r="D21" t="str">
        <f t="shared" si="2"/>
        <v>010001010101101001010110011010010</v>
      </c>
    </row>
    <row r="22" spans="1:4" x14ac:dyDescent="0.25">
      <c r="A22">
        <v>17</v>
      </c>
      <c r="B22">
        <v>26</v>
      </c>
      <c r="C22" t="str">
        <f t="shared" si="3"/>
        <v>1</v>
      </c>
      <c r="D22" t="str">
        <f t="shared" si="2"/>
        <v>10001010101101001010110011010010</v>
      </c>
    </row>
    <row r="23" spans="1:4" x14ac:dyDescent="0.25">
      <c r="A23">
        <v>18</v>
      </c>
      <c r="B23">
        <v>8</v>
      </c>
      <c r="C23" t="str">
        <f t="shared" si="3"/>
        <v>0</v>
      </c>
      <c r="D23" t="str">
        <f t="shared" si="2"/>
        <v>0001010101101001010110011010010</v>
      </c>
    </row>
    <row r="24" spans="1:4" x14ac:dyDescent="0.25">
      <c r="A24">
        <v>19</v>
      </c>
      <c r="B24">
        <v>16</v>
      </c>
      <c r="C24" t="str">
        <f t="shared" si="3"/>
        <v>0</v>
      </c>
      <c r="D24" t="str">
        <f t="shared" si="2"/>
        <v>001010101101001010110011010010</v>
      </c>
    </row>
    <row r="25" spans="1:4" x14ac:dyDescent="0.25">
      <c r="A25">
        <v>20</v>
      </c>
      <c r="B25">
        <v>7</v>
      </c>
      <c r="C25" t="str">
        <f t="shared" si="3"/>
        <v>0</v>
      </c>
      <c r="D25" t="str">
        <f t="shared" si="2"/>
        <v>01010101101001010110011010010</v>
      </c>
    </row>
    <row r="26" spans="1:4" x14ac:dyDescent="0.25">
      <c r="A26">
        <v>21</v>
      </c>
      <c r="B26">
        <v>27</v>
      </c>
      <c r="C26" t="str">
        <f t="shared" si="3"/>
        <v>1</v>
      </c>
      <c r="D26" t="str">
        <f t="shared" si="2"/>
        <v>1010101101001010110011010010</v>
      </c>
    </row>
    <row r="27" spans="1:4" x14ac:dyDescent="0.25">
      <c r="A27">
        <v>22</v>
      </c>
      <c r="B27">
        <v>20</v>
      </c>
      <c r="C27" t="str">
        <f t="shared" si="3"/>
        <v>0</v>
      </c>
      <c r="D27" t="str">
        <f t="shared" si="2"/>
        <v>010101101001010110011010010</v>
      </c>
    </row>
    <row r="28" spans="1:4" x14ac:dyDescent="0.25">
      <c r="A28">
        <v>23</v>
      </c>
      <c r="B28">
        <v>13</v>
      </c>
      <c r="C28" t="str">
        <f t="shared" si="3"/>
        <v>1</v>
      </c>
      <c r="D28" t="str">
        <f t="shared" si="2"/>
        <v>10101101001010110011010010</v>
      </c>
    </row>
    <row r="29" spans="1:4" x14ac:dyDescent="0.25">
      <c r="A29">
        <v>24</v>
      </c>
      <c r="B29">
        <v>2</v>
      </c>
      <c r="C29" t="str">
        <f t="shared" si="3"/>
        <v>0</v>
      </c>
      <c r="D29" t="str">
        <f t="shared" si="2"/>
        <v>0101101001010110011010010</v>
      </c>
    </row>
    <row r="30" spans="1:4" x14ac:dyDescent="0.25">
      <c r="A30">
        <v>25</v>
      </c>
      <c r="B30">
        <v>41</v>
      </c>
      <c r="C30" t="str">
        <f t="shared" si="3"/>
        <v>1</v>
      </c>
      <c r="D30" t="str">
        <f t="shared" si="2"/>
        <v>101101001010110011010010</v>
      </c>
    </row>
    <row r="31" spans="1:4" x14ac:dyDescent="0.25">
      <c r="A31">
        <v>26</v>
      </c>
      <c r="B31">
        <v>52</v>
      </c>
      <c r="C31" t="str">
        <f t="shared" si="3"/>
        <v>0</v>
      </c>
      <c r="D31" t="str">
        <f t="shared" si="2"/>
        <v>01101001010110011010010</v>
      </c>
    </row>
    <row r="32" spans="1:4" x14ac:dyDescent="0.25">
      <c r="A32">
        <v>27</v>
      </c>
      <c r="B32">
        <v>31</v>
      </c>
      <c r="C32" t="str">
        <f t="shared" si="3"/>
        <v>1</v>
      </c>
      <c r="D32" t="str">
        <f t="shared" si="2"/>
        <v>1101001010110011010010</v>
      </c>
    </row>
    <row r="33" spans="1:4" x14ac:dyDescent="0.25">
      <c r="A33">
        <v>28</v>
      </c>
      <c r="B33">
        <v>37</v>
      </c>
      <c r="C33" t="str">
        <f t="shared" si="3"/>
        <v>1</v>
      </c>
      <c r="D33" t="str">
        <f t="shared" si="2"/>
        <v>101001010110011010010</v>
      </c>
    </row>
    <row r="34" spans="1:4" x14ac:dyDescent="0.25">
      <c r="A34">
        <v>29</v>
      </c>
      <c r="B34">
        <v>47</v>
      </c>
      <c r="C34" t="str">
        <f t="shared" si="3"/>
        <v>0</v>
      </c>
      <c r="D34" t="str">
        <f t="shared" si="2"/>
        <v>01001010110011010010</v>
      </c>
    </row>
    <row r="35" spans="1:4" x14ac:dyDescent="0.25">
      <c r="A35">
        <v>30</v>
      </c>
      <c r="B35">
        <v>55</v>
      </c>
      <c r="C35" t="str">
        <f t="shared" si="3"/>
        <v>1</v>
      </c>
      <c r="D35" t="str">
        <f t="shared" si="2"/>
        <v>1001010110011010010</v>
      </c>
    </row>
    <row r="36" spans="1:4" x14ac:dyDescent="0.25">
      <c r="A36">
        <v>31</v>
      </c>
      <c r="B36">
        <v>30</v>
      </c>
      <c r="C36" t="str">
        <f t="shared" si="3"/>
        <v>0</v>
      </c>
      <c r="D36" t="str">
        <f t="shared" si="2"/>
        <v>001010110011010010</v>
      </c>
    </row>
    <row r="37" spans="1:4" x14ac:dyDescent="0.25">
      <c r="A37">
        <v>32</v>
      </c>
      <c r="B37">
        <v>40</v>
      </c>
      <c r="C37" t="str">
        <f t="shared" si="3"/>
        <v>0</v>
      </c>
      <c r="D37" t="str">
        <f t="shared" si="2"/>
        <v>01010110011010010</v>
      </c>
    </row>
    <row r="38" spans="1:4" x14ac:dyDescent="0.25">
      <c r="A38">
        <v>33</v>
      </c>
      <c r="B38">
        <v>51</v>
      </c>
      <c r="C38" t="str">
        <f t="shared" si="3"/>
        <v>1</v>
      </c>
      <c r="D38" t="str">
        <f t="shared" si="2"/>
        <v>1010110011010010</v>
      </c>
    </row>
    <row r="39" spans="1:4" x14ac:dyDescent="0.25">
      <c r="A39">
        <v>34</v>
      </c>
      <c r="B39">
        <v>45</v>
      </c>
      <c r="C39" t="str">
        <f t="shared" si="3"/>
        <v>0</v>
      </c>
      <c r="D39" t="str">
        <f t="shared" si="2"/>
        <v>010110011010010</v>
      </c>
    </row>
    <row r="40" spans="1:4" x14ac:dyDescent="0.25">
      <c r="A40">
        <v>35</v>
      </c>
      <c r="B40">
        <v>33</v>
      </c>
      <c r="C40" t="str">
        <f t="shared" si="3"/>
        <v>1</v>
      </c>
      <c r="D40" t="str">
        <f t="shared" si="2"/>
        <v>10110011010010</v>
      </c>
    </row>
    <row r="41" spans="1:4" x14ac:dyDescent="0.25">
      <c r="A41">
        <v>36</v>
      </c>
      <c r="B41">
        <v>48</v>
      </c>
      <c r="C41" t="str">
        <f t="shared" si="3"/>
        <v>0</v>
      </c>
      <c r="D41" t="str">
        <f t="shared" si="2"/>
        <v>0110011010010</v>
      </c>
    </row>
    <row r="42" spans="1:4" x14ac:dyDescent="0.25">
      <c r="A42">
        <v>37</v>
      </c>
      <c r="B42">
        <v>44</v>
      </c>
      <c r="C42" t="str">
        <f t="shared" si="3"/>
        <v>1</v>
      </c>
      <c r="D42" t="str">
        <f t="shared" si="2"/>
        <v>110011010010</v>
      </c>
    </row>
    <row r="43" spans="1:4" x14ac:dyDescent="0.25">
      <c r="A43">
        <v>38</v>
      </c>
      <c r="B43">
        <v>49</v>
      </c>
      <c r="C43" t="str">
        <f t="shared" si="3"/>
        <v>1</v>
      </c>
      <c r="D43" t="str">
        <f t="shared" si="2"/>
        <v>10011010010</v>
      </c>
    </row>
    <row r="44" spans="1:4" x14ac:dyDescent="0.25">
      <c r="A44">
        <v>39</v>
      </c>
      <c r="B44">
        <v>39</v>
      </c>
      <c r="C44" t="str">
        <f t="shared" si="3"/>
        <v>0</v>
      </c>
      <c r="D44" t="str">
        <f t="shared" si="2"/>
        <v>0011010010</v>
      </c>
    </row>
    <row r="45" spans="1:4" x14ac:dyDescent="0.25">
      <c r="A45">
        <v>40</v>
      </c>
      <c r="B45">
        <v>56</v>
      </c>
      <c r="C45" t="str">
        <f t="shared" si="3"/>
        <v>0</v>
      </c>
      <c r="D45" t="str">
        <f t="shared" si="2"/>
        <v>011010010</v>
      </c>
    </row>
    <row r="46" spans="1:4" x14ac:dyDescent="0.25">
      <c r="A46">
        <v>41</v>
      </c>
      <c r="B46">
        <v>34</v>
      </c>
      <c r="C46" t="str">
        <f t="shared" si="3"/>
        <v>1</v>
      </c>
      <c r="D46" t="str">
        <f t="shared" si="2"/>
        <v>11010010</v>
      </c>
    </row>
    <row r="47" spans="1:4" x14ac:dyDescent="0.25">
      <c r="A47">
        <v>42</v>
      </c>
      <c r="B47">
        <v>53</v>
      </c>
      <c r="C47" t="str">
        <f t="shared" si="3"/>
        <v>1</v>
      </c>
      <c r="D47" t="str">
        <f t="shared" si="2"/>
        <v>1010010</v>
      </c>
    </row>
    <row r="48" spans="1:4" x14ac:dyDescent="0.25">
      <c r="A48">
        <v>43</v>
      </c>
      <c r="B48">
        <v>46</v>
      </c>
      <c r="C48" t="str">
        <f t="shared" si="3"/>
        <v>0</v>
      </c>
      <c r="D48" t="str">
        <f t="shared" si="2"/>
        <v>010010</v>
      </c>
    </row>
    <row r="49" spans="1:4" x14ac:dyDescent="0.25">
      <c r="A49">
        <v>44</v>
      </c>
      <c r="B49">
        <v>42</v>
      </c>
      <c r="C49" t="str">
        <f t="shared" si="3"/>
        <v>1</v>
      </c>
      <c r="D49" t="str">
        <f t="shared" si="2"/>
        <v>10010</v>
      </c>
    </row>
    <row r="50" spans="1:4" x14ac:dyDescent="0.25">
      <c r="A50">
        <v>45</v>
      </c>
      <c r="B50">
        <v>50</v>
      </c>
      <c r="C50" t="str">
        <f t="shared" si="3"/>
        <v>0</v>
      </c>
      <c r="D50" t="str">
        <f t="shared" si="2"/>
        <v>0010</v>
      </c>
    </row>
    <row r="51" spans="1:4" x14ac:dyDescent="0.25">
      <c r="A51">
        <v>46</v>
      </c>
      <c r="B51">
        <v>36</v>
      </c>
      <c r="C51" t="str">
        <f t="shared" si="3"/>
        <v>0</v>
      </c>
      <c r="D51" t="str">
        <f>C51&amp;D52</f>
        <v>010</v>
      </c>
    </row>
    <row r="52" spans="1:4" x14ac:dyDescent="0.25">
      <c r="A52">
        <v>47</v>
      </c>
      <c r="B52">
        <v>29</v>
      </c>
      <c r="C52" t="str">
        <f t="shared" si="3"/>
        <v>1</v>
      </c>
      <c r="D52" t="str">
        <f>C52&amp;C53</f>
        <v>10</v>
      </c>
    </row>
    <row r="53" spans="1:4" x14ac:dyDescent="0.25">
      <c r="A53">
        <v>48</v>
      </c>
      <c r="B53">
        <v>32</v>
      </c>
      <c r="C53" t="str">
        <f t="shared" si="3"/>
        <v>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71AC-A683-490F-BAC0-4B4DEA1A58DD}">
  <dimension ref="A1:K221"/>
  <sheetViews>
    <sheetView topLeftCell="A195" workbookViewId="0">
      <selection activeCell="A212" sqref="A212"/>
    </sheetView>
  </sheetViews>
  <sheetFormatPr defaultRowHeight="15" x14ac:dyDescent="0.25"/>
  <sheetData>
    <row r="1" spans="1:11" ht="18.75" x14ac:dyDescent="0.3">
      <c r="A1" t="s">
        <v>73</v>
      </c>
      <c r="D1" t="s">
        <v>84</v>
      </c>
      <c r="F1" s="1"/>
      <c r="G1" s="1"/>
      <c r="H1" s="1"/>
      <c r="I1" s="1"/>
      <c r="J1" s="16"/>
      <c r="K1" s="16"/>
    </row>
    <row r="2" spans="1:11" ht="18.75" x14ac:dyDescent="0.3">
      <c r="A2" s="15" t="s">
        <v>66</v>
      </c>
      <c r="B2" s="16" t="s">
        <v>217</v>
      </c>
      <c r="C2" s="16"/>
      <c r="D2" s="16"/>
      <c r="E2" s="16"/>
      <c r="F2" s="1"/>
    </row>
    <row r="3" spans="1:11" ht="18.75" x14ac:dyDescent="0.3">
      <c r="A3" s="15" t="s">
        <v>67</v>
      </c>
      <c r="B3" s="15"/>
      <c r="C3" s="15"/>
      <c r="D3" s="15"/>
      <c r="E3" s="15"/>
    </row>
    <row r="4" spans="1:11" ht="18.75" x14ac:dyDescent="0.3">
      <c r="A4" s="15" t="s">
        <v>68</v>
      </c>
      <c r="B4" s="16" t="s">
        <v>216</v>
      </c>
      <c r="C4" s="16"/>
      <c r="D4" s="16"/>
      <c r="E4" s="16"/>
      <c r="F4" s="1"/>
    </row>
    <row r="6" spans="1:11" x14ac:dyDescent="0.25">
      <c r="A6" t="s">
        <v>5</v>
      </c>
      <c r="B6" t="s">
        <v>30</v>
      </c>
      <c r="C6" t="s">
        <v>18</v>
      </c>
    </row>
    <row r="7" spans="1:11" x14ac:dyDescent="0.25">
      <c r="A7">
        <v>1</v>
      </c>
      <c r="B7">
        <v>32</v>
      </c>
      <c r="C7" t="str">
        <f>MID($B$2,B7,1)</f>
        <v>1</v>
      </c>
      <c r="D7" t="str">
        <f t="shared" ref="D7:D52" si="0">C7&amp;D8</f>
        <v>101101010000000011111000001111111011110100000010</v>
      </c>
    </row>
    <row r="8" spans="1:11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01101010000000011111000001111111011110100000010</v>
      </c>
    </row>
    <row r="9" spans="1:11" x14ac:dyDescent="0.25">
      <c r="A9">
        <v>3</v>
      </c>
      <c r="B9">
        <v>2</v>
      </c>
      <c r="C9" t="str">
        <f t="shared" si="1"/>
        <v>1</v>
      </c>
      <c r="D9" t="str">
        <f t="shared" si="0"/>
        <v>1101010000000011111000001111111011110100000010</v>
      </c>
    </row>
    <row r="10" spans="1:11" x14ac:dyDescent="0.25">
      <c r="A10">
        <v>4</v>
      </c>
      <c r="B10">
        <v>3</v>
      </c>
      <c r="C10" t="str">
        <f t="shared" si="1"/>
        <v>1</v>
      </c>
      <c r="D10" t="str">
        <f t="shared" si="0"/>
        <v>101010000000011111000001111111011110100000010</v>
      </c>
    </row>
    <row r="11" spans="1:11" x14ac:dyDescent="0.25">
      <c r="A11">
        <v>5</v>
      </c>
      <c r="B11">
        <v>4</v>
      </c>
      <c r="C11" t="str">
        <f t="shared" si="1"/>
        <v>0</v>
      </c>
      <c r="D11" t="str">
        <f t="shared" si="0"/>
        <v>01010000000011111000001111111011110100000010</v>
      </c>
    </row>
    <row r="12" spans="1:11" x14ac:dyDescent="0.25">
      <c r="A12">
        <v>6</v>
      </c>
      <c r="B12">
        <v>5</v>
      </c>
      <c r="C12" t="str">
        <f t="shared" si="1"/>
        <v>1</v>
      </c>
      <c r="D12" t="str">
        <f t="shared" si="0"/>
        <v>1010000000011111000001111111011110100000010</v>
      </c>
    </row>
    <row r="13" spans="1:11" x14ac:dyDescent="0.25">
      <c r="A13">
        <v>7</v>
      </c>
      <c r="B13">
        <v>4</v>
      </c>
      <c r="C13" t="str">
        <f t="shared" si="1"/>
        <v>0</v>
      </c>
      <c r="D13" t="str">
        <f t="shared" si="0"/>
        <v>010000000011111000001111111011110100000010</v>
      </c>
    </row>
    <row r="14" spans="1:11" x14ac:dyDescent="0.25">
      <c r="A14">
        <v>8</v>
      </c>
      <c r="B14">
        <v>5</v>
      </c>
      <c r="C14" t="str">
        <f t="shared" si="1"/>
        <v>1</v>
      </c>
      <c r="D14" t="str">
        <f t="shared" si="0"/>
        <v>10000000011111000001111111011110100000010</v>
      </c>
    </row>
    <row r="15" spans="1:11" x14ac:dyDescent="0.25">
      <c r="A15">
        <v>9</v>
      </c>
      <c r="B15">
        <v>6</v>
      </c>
      <c r="C15" t="str">
        <f t="shared" si="1"/>
        <v>0</v>
      </c>
      <c r="D15" t="str">
        <f t="shared" si="0"/>
        <v>0000000011111000001111111011110100000010</v>
      </c>
    </row>
    <row r="16" spans="1:11" x14ac:dyDescent="0.25">
      <c r="A16">
        <v>10</v>
      </c>
      <c r="B16">
        <v>7</v>
      </c>
      <c r="C16" t="str">
        <f t="shared" si="1"/>
        <v>0</v>
      </c>
      <c r="D16" t="str">
        <f t="shared" si="0"/>
        <v>000000011111000001111111011110100000010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00000011111000001111111011110100000010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0000011111000001111111011110100000010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000011111000001111111011110100000010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00011111000001111111011110100000010</v>
      </c>
    </row>
    <row r="21" spans="1:4" x14ac:dyDescent="0.25">
      <c r="A21">
        <v>15</v>
      </c>
      <c r="B21">
        <v>10</v>
      </c>
      <c r="C21" t="str">
        <f t="shared" si="1"/>
        <v>0</v>
      </c>
      <c r="D21" t="str">
        <f t="shared" si="0"/>
        <v>0011111000001111111011110100000010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011111000001111111011110100000010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11111000001111111011110100000010</v>
      </c>
    </row>
    <row r="24" spans="1:4" x14ac:dyDescent="0.25">
      <c r="A24">
        <v>18</v>
      </c>
      <c r="B24">
        <v>13</v>
      </c>
      <c r="C24" t="str">
        <f t="shared" si="1"/>
        <v>1</v>
      </c>
      <c r="D24" t="str">
        <f t="shared" si="0"/>
        <v>1111000001111111011110100000010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111000001111111011110100000010</v>
      </c>
    </row>
    <row r="26" spans="1:4" x14ac:dyDescent="0.25">
      <c r="A26">
        <v>20</v>
      </c>
      <c r="B26">
        <v>13</v>
      </c>
      <c r="C26" t="str">
        <f t="shared" si="1"/>
        <v>1</v>
      </c>
      <c r="D26" t="str">
        <f t="shared" si="0"/>
        <v>11000001111111011110100000010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1000001111111011110100000010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000001111111011110100000010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00001111111011110100000010</v>
      </c>
    </row>
    <row r="30" spans="1:4" x14ac:dyDescent="0.25">
      <c r="A30">
        <v>24</v>
      </c>
      <c r="B30">
        <v>17</v>
      </c>
      <c r="C30" t="str">
        <f t="shared" si="1"/>
        <v>0</v>
      </c>
      <c r="D30" t="str">
        <f t="shared" si="0"/>
        <v>0001111111011110100000010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001111111011110100000010</v>
      </c>
    </row>
    <row r="32" spans="1:4" x14ac:dyDescent="0.25">
      <c r="A32">
        <v>26</v>
      </c>
      <c r="B32">
        <v>17</v>
      </c>
      <c r="C32" t="str">
        <f t="shared" si="1"/>
        <v>0</v>
      </c>
      <c r="D32" t="str">
        <f t="shared" si="0"/>
        <v>01111111011110100000010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1111111011110100000010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111111011110100000010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11111011110100000010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1111011110100000010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111011110100000010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11011110100000010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1011110100000010</v>
      </c>
    </row>
    <row r="40" spans="1:4" x14ac:dyDescent="0.25">
      <c r="A40">
        <v>34</v>
      </c>
      <c r="B40">
        <v>23</v>
      </c>
      <c r="C40" t="str">
        <f t="shared" si="1"/>
        <v>0</v>
      </c>
      <c r="D40" t="str">
        <f t="shared" si="0"/>
        <v>011110100000010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11110100000010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1110100000010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110100000010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10100000010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0100000010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100000010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00000010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0000010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000010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00010</v>
      </c>
    </row>
    <row r="51" spans="1:4" x14ac:dyDescent="0.25">
      <c r="A51">
        <v>45</v>
      </c>
      <c r="B51">
        <v>30</v>
      </c>
      <c r="C51" t="str">
        <f t="shared" si="1"/>
        <v>0</v>
      </c>
      <c r="D51" t="str">
        <f t="shared" si="0"/>
        <v>0010</v>
      </c>
    </row>
    <row r="52" spans="1:4" x14ac:dyDescent="0.25">
      <c r="A52">
        <v>46</v>
      </c>
      <c r="B52">
        <v>31</v>
      </c>
      <c r="C52" t="str">
        <f t="shared" si="1"/>
        <v>0</v>
      </c>
      <c r="D52" t="str">
        <f t="shared" si="0"/>
        <v>010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58</v>
      </c>
      <c r="B56" t="str">
        <f>D7</f>
        <v>101101010000000011111000001111111011110100000010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10110101</v>
      </c>
      <c r="C59" s="7" t="str">
        <f t="shared" ref="C59:C64" si="2">BIN2HEX(B59,2)</f>
        <v>B5</v>
      </c>
    </row>
    <row r="60" spans="1:4" x14ac:dyDescent="0.25">
      <c r="A60" s="7">
        <v>2</v>
      </c>
      <c r="B60" s="7" t="str">
        <f t="shared" ref="B60:B64" si="3">MID($B$56,(A60-1)*8+1,8)</f>
        <v>00000000</v>
      </c>
      <c r="C60" s="7" t="str">
        <f t="shared" si="2"/>
        <v>00</v>
      </c>
    </row>
    <row r="61" spans="1:4" x14ac:dyDescent="0.25">
      <c r="A61" s="7">
        <v>3</v>
      </c>
      <c r="B61" s="7" t="str">
        <f t="shared" si="3"/>
        <v>11111000</v>
      </c>
      <c r="C61" s="7" t="str">
        <f t="shared" si="2"/>
        <v>F8</v>
      </c>
    </row>
    <row r="62" spans="1:4" x14ac:dyDescent="0.25">
      <c r="A62" s="7">
        <v>4</v>
      </c>
      <c r="B62" s="7" t="str">
        <f t="shared" si="3"/>
        <v>00111111</v>
      </c>
      <c r="C62" s="7" t="str">
        <f t="shared" si="2"/>
        <v>3F</v>
      </c>
    </row>
    <row r="63" spans="1:4" x14ac:dyDescent="0.25">
      <c r="A63" s="7">
        <v>5</v>
      </c>
      <c r="B63" s="7" t="str">
        <f t="shared" si="3"/>
        <v>10111101</v>
      </c>
      <c r="C63" s="7" t="str">
        <f t="shared" si="2"/>
        <v>BD</v>
      </c>
    </row>
    <row r="64" spans="1:4" x14ac:dyDescent="0.25">
      <c r="A64" s="7">
        <v>6</v>
      </c>
      <c r="B64" s="7" t="str">
        <f t="shared" si="3"/>
        <v>00000010</v>
      </c>
      <c r="C64" s="7" t="str">
        <f t="shared" si="2"/>
        <v>02</v>
      </c>
    </row>
    <row r="65" spans="1:10" x14ac:dyDescent="0.25">
      <c r="A65" t="s">
        <v>242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01010101</v>
      </c>
      <c r="C68" s="7" t="str">
        <f>BIN2HEX(B68,2)</f>
        <v>55</v>
      </c>
      <c r="D68">
        <f>BIN2DEC(B68)</f>
        <v>85</v>
      </c>
      <c r="G68" s="7">
        <v>1</v>
      </c>
      <c r="H68" s="7" t="str">
        <f>MID($B$56,(G68-1)*8+1,8)</f>
        <v>10110101</v>
      </c>
      <c r="I68" s="7" t="str">
        <f>BIN2HEX(H68,2)</f>
        <v>B5</v>
      </c>
      <c r="J68">
        <f>BIN2DEC(H68)</f>
        <v>181</v>
      </c>
    </row>
    <row r="69" spans="1:10" x14ac:dyDescent="0.25">
      <c r="A69" s="7">
        <v>2</v>
      </c>
      <c r="B69" s="7" t="str">
        <f t="shared" ref="B69:B73" si="4">MID($D$1,(A69-1)*8+1,8)</f>
        <v>11111100</v>
      </c>
      <c r="C69" s="7" t="str">
        <f t="shared" ref="C69:C73" si="5">BIN2HEX(B69,2)</f>
        <v>FC</v>
      </c>
      <c r="D69">
        <f t="shared" ref="D69:D73" si="6">BIN2DEC(B69)</f>
        <v>252</v>
      </c>
      <c r="G69" s="7">
        <v>2</v>
      </c>
      <c r="H69" s="7" t="str">
        <f t="shared" ref="H69:H73" si="7">MID($B$56,(G69-1)*8+1,8)</f>
        <v>00000000</v>
      </c>
      <c r="I69" s="7" t="str">
        <f t="shared" ref="I69:I73" si="8">BIN2HEX(H69,2)</f>
        <v>00</v>
      </c>
      <c r="J69">
        <f t="shared" ref="J69:J73" si="9">BIN2DEC(H69)</f>
        <v>0</v>
      </c>
    </row>
    <row r="70" spans="1:10" x14ac:dyDescent="0.25">
      <c r="A70" s="7">
        <v>3</v>
      </c>
      <c r="B70" s="7" t="str">
        <f t="shared" si="4"/>
        <v>10001010</v>
      </c>
      <c r="C70" s="7" t="str">
        <f t="shared" si="5"/>
        <v>8A</v>
      </c>
      <c r="D70">
        <f t="shared" si="6"/>
        <v>138</v>
      </c>
      <c r="G70" s="7">
        <v>3</v>
      </c>
      <c r="H70" s="7" t="str">
        <f t="shared" si="7"/>
        <v>11111000</v>
      </c>
      <c r="I70" s="7" t="str">
        <f t="shared" si="8"/>
        <v>F8</v>
      </c>
      <c r="J70">
        <f t="shared" si="9"/>
        <v>248</v>
      </c>
    </row>
    <row r="71" spans="1:10" x14ac:dyDescent="0.25">
      <c r="A71" s="7">
        <v>4</v>
      </c>
      <c r="B71" s="7" t="str">
        <f t="shared" si="4"/>
        <v>10110100</v>
      </c>
      <c r="C71" s="7" t="str">
        <f t="shared" si="5"/>
        <v>B4</v>
      </c>
      <c r="D71">
        <f t="shared" si="6"/>
        <v>180</v>
      </c>
      <c r="G71" s="7">
        <v>4</v>
      </c>
      <c r="H71" s="7" t="str">
        <f t="shared" si="7"/>
        <v>00111111</v>
      </c>
      <c r="I71" s="7" t="str">
        <f t="shared" si="8"/>
        <v>3F</v>
      </c>
      <c r="J71">
        <f t="shared" si="9"/>
        <v>63</v>
      </c>
    </row>
    <row r="72" spans="1:10" x14ac:dyDescent="0.25">
      <c r="A72" s="7">
        <v>5</v>
      </c>
      <c r="B72" s="7" t="str">
        <f t="shared" si="4"/>
        <v>10101100</v>
      </c>
      <c r="C72" s="7" t="str">
        <f t="shared" si="5"/>
        <v>AC</v>
      </c>
      <c r="D72">
        <f t="shared" si="6"/>
        <v>172</v>
      </c>
      <c r="G72" s="7">
        <v>5</v>
      </c>
      <c r="H72" s="7" t="str">
        <f t="shared" si="7"/>
        <v>10111101</v>
      </c>
      <c r="I72" s="7" t="str">
        <f t="shared" si="8"/>
        <v>BD</v>
      </c>
      <c r="J72">
        <f t="shared" si="9"/>
        <v>189</v>
      </c>
    </row>
    <row r="73" spans="1:10" x14ac:dyDescent="0.25">
      <c r="A73" s="7">
        <v>6</v>
      </c>
      <c r="B73" s="7" t="str">
        <f t="shared" si="4"/>
        <v>11010010</v>
      </c>
      <c r="C73" s="7" t="str">
        <f t="shared" si="5"/>
        <v>D2</v>
      </c>
      <c r="D73">
        <f t="shared" si="6"/>
        <v>210</v>
      </c>
      <c r="G73" s="7">
        <v>6</v>
      </c>
      <c r="H73" s="7" t="str">
        <f t="shared" si="7"/>
        <v>00000010</v>
      </c>
      <c r="I73" s="7" t="str">
        <f t="shared" si="8"/>
        <v>02</v>
      </c>
      <c r="J73">
        <f t="shared" si="9"/>
        <v>2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224</v>
      </c>
      <c r="C76" s="10" t="str">
        <f>DEC2BIN(B76,8)</f>
        <v>11100000</v>
      </c>
      <c r="D76" s="10" t="str">
        <f>DEC2HEX(B76,2)</f>
        <v>E0</v>
      </c>
    </row>
    <row r="77" spans="1:10" x14ac:dyDescent="0.25">
      <c r="A77" s="11">
        <v>2</v>
      </c>
      <c r="B77" s="10">
        <f>_xlfn.BITXOR(D69,J69)</f>
        <v>252</v>
      </c>
      <c r="C77" s="10" t="str">
        <f t="shared" ref="C77:C81" si="10">DEC2BIN(B77,8)</f>
        <v>11111100</v>
      </c>
      <c r="D77" s="10" t="str">
        <f t="shared" ref="D77:D81" si="11">DEC2HEX(B77,2)</f>
        <v>FC</v>
      </c>
    </row>
    <row r="78" spans="1:10" x14ac:dyDescent="0.25">
      <c r="A78" s="11">
        <v>3</v>
      </c>
      <c r="B78" s="10">
        <f t="shared" ref="B78:B81" si="12">_xlfn.BITXOR(D70,J70)</f>
        <v>114</v>
      </c>
      <c r="C78" s="10" t="str">
        <f t="shared" si="10"/>
        <v>01110010</v>
      </c>
      <c r="D78" s="10" t="str">
        <f t="shared" si="11"/>
        <v>72</v>
      </c>
    </row>
    <row r="79" spans="1:10" x14ac:dyDescent="0.25">
      <c r="A79" s="11">
        <v>4</v>
      </c>
      <c r="B79" s="10">
        <f t="shared" si="12"/>
        <v>139</v>
      </c>
      <c r="C79" s="10" t="str">
        <f t="shared" si="10"/>
        <v>10001011</v>
      </c>
      <c r="D79" s="10" t="str">
        <f t="shared" si="11"/>
        <v>8B</v>
      </c>
    </row>
    <row r="80" spans="1:10" x14ac:dyDescent="0.25">
      <c r="A80" s="11">
        <v>5</v>
      </c>
      <c r="B80" s="10">
        <f t="shared" si="12"/>
        <v>17</v>
      </c>
      <c r="C80" s="10" t="str">
        <f t="shared" si="10"/>
        <v>00010001</v>
      </c>
      <c r="D80" s="10" t="str">
        <f t="shared" si="11"/>
        <v>11</v>
      </c>
    </row>
    <row r="81" spans="1:10" x14ac:dyDescent="0.25">
      <c r="A81" s="11">
        <v>6</v>
      </c>
      <c r="B81" s="10">
        <f t="shared" si="12"/>
        <v>208</v>
      </c>
      <c r="C81" s="10" t="str">
        <f t="shared" si="10"/>
        <v>11010000</v>
      </c>
      <c r="D81" s="10" t="str">
        <f t="shared" si="11"/>
        <v>D0</v>
      </c>
    </row>
    <row r="83" spans="1:10" ht="21" x14ac:dyDescent="0.35">
      <c r="B83" t="s">
        <v>241</v>
      </c>
      <c r="D83" s="8" t="str">
        <f>C76&amp;C77&amp;C78&amp;C79&amp;C80&amp;C81</f>
        <v>111000001111110001110010100010110001000111010000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111000</v>
      </c>
      <c r="C86" s="10" t="str">
        <f>LEFT(B86,1)&amp;RIGHT(B86,1)</f>
        <v>10</v>
      </c>
      <c r="D86" s="10" t="str">
        <f>MID(B86,2,4)</f>
        <v>1100</v>
      </c>
      <c r="E86" s="10" t="str">
        <f>C86&amp;D86</f>
        <v>101100</v>
      </c>
      <c r="F86" s="10">
        <f>BIN2DEC(E86)</f>
        <v>44</v>
      </c>
      <c r="G86" s="10"/>
      <c r="H86" s="10">
        <f>VLOOKUP(F86,$A$95:$I$158,2,TRUE)</f>
        <v>3</v>
      </c>
      <c r="I86" s="10" t="str">
        <f>DEC2BIN(H86,4)</f>
        <v>0011</v>
      </c>
      <c r="J86" t="str">
        <f t="shared" ref="J86:J90" si="13">I86&amp;J87</f>
        <v>00111110010000010010101101111010</v>
      </c>
    </row>
    <row r="87" spans="1:10" x14ac:dyDescent="0.25">
      <c r="A87" s="10">
        <v>2</v>
      </c>
      <c r="B87" s="10" t="str">
        <f t="shared" ref="B87:B93" si="14">MID($D$83,(A87-1)*6+1,6)</f>
        <v>001111</v>
      </c>
      <c r="C87" s="10" t="str">
        <f t="shared" ref="C87:C93" si="15">LEFT(B87,1)&amp;RIGHT(B87,1)</f>
        <v>01</v>
      </c>
      <c r="D87" s="10" t="str">
        <f t="shared" ref="D87:D93" si="16">MID(B87,2,4)</f>
        <v>0111</v>
      </c>
      <c r="E87" s="10" t="str">
        <f t="shared" ref="E87:E93" si="17">C87&amp;D87</f>
        <v>010111</v>
      </c>
      <c r="F87" s="10">
        <f t="shared" ref="F87:F93" si="18">BIN2DEC(E87)</f>
        <v>23</v>
      </c>
      <c r="G87" s="10"/>
      <c r="H87" s="10">
        <f>VLOOKUP(F87,$A$95:$I$158,3,TRUE)</f>
        <v>14</v>
      </c>
      <c r="I87" s="10" t="str">
        <f t="shared" ref="I87:I93" si="19">DEC2BIN(H87,4)</f>
        <v>1110</v>
      </c>
      <c r="J87" t="str">
        <f t="shared" si="13"/>
        <v>1110010000010010101101111010</v>
      </c>
    </row>
    <row r="88" spans="1:10" x14ac:dyDescent="0.25">
      <c r="A88" s="10">
        <v>3</v>
      </c>
      <c r="B88" s="10" t="str">
        <f t="shared" si="14"/>
        <v>110001</v>
      </c>
      <c r="C88" s="10" t="str">
        <f t="shared" si="15"/>
        <v>11</v>
      </c>
      <c r="D88" s="10" t="str">
        <f t="shared" si="16"/>
        <v>1000</v>
      </c>
      <c r="E88" s="10" t="str">
        <f t="shared" si="17"/>
        <v>111000</v>
      </c>
      <c r="F88" s="10">
        <f t="shared" si="18"/>
        <v>56</v>
      </c>
      <c r="G88" s="10"/>
      <c r="H88" s="10">
        <f>VLOOKUP(F88,$A$95:$I$158,4,TRUE)</f>
        <v>4</v>
      </c>
      <c r="I88" s="10" t="str">
        <f t="shared" si="19"/>
        <v>0100</v>
      </c>
      <c r="J88" t="str">
        <f t="shared" si="13"/>
        <v>010000010010101101111010</v>
      </c>
    </row>
    <row r="89" spans="1:10" x14ac:dyDescent="0.25">
      <c r="A89" s="10">
        <v>4</v>
      </c>
      <c r="B89" s="10" t="str">
        <f t="shared" si="14"/>
        <v>110010</v>
      </c>
      <c r="C89" s="10" t="str">
        <f t="shared" si="15"/>
        <v>10</v>
      </c>
      <c r="D89" s="10" t="str">
        <f t="shared" si="16"/>
        <v>1001</v>
      </c>
      <c r="E89" s="10" t="str">
        <f t="shared" si="17"/>
        <v>101001</v>
      </c>
      <c r="F89" s="10">
        <f t="shared" si="18"/>
        <v>41</v>
      </c>
      <c r="G89" s="10"/>
      <c r="H89" s="10">
        <f>VLOOKUP(F89,$A$95:$I$158,5,TRUE)</f>
        <v>1</v>
      </c>
      <c r="I89" s="10" t="str">
        <f t="shared" si="19"/>
        <v>0001</v>
      </c>
      <c r="J89" t="str">
        <f t="shared" si="13"/>
        <v>00010010101101111010</v>
      </c>
    </row>
    <row r="90" spans="1:10" x14ac:dyDescent="0.25">
      <c r="A90" s="10">
        <v>5</v>
      </c>
      <c r="B90" s="10" t="str">
        <f t="shared" si="14"/>
        <v>100010</v>
      </c>
      <c r="C90" s="10" t="str">
        <f t="shared" si="15"/>
        <v>10</v>
      </c>
      <c r="D90" s="10" t="str">
        <f t="shared" si="16"/>
        <v>0001</v>
      </c>
      <c r="E90" s="10" t="str">
        <f t="shared" si="17"/>
        <v>100001</v>
      </c>
      <c r="F90" s="10">
        <f t="shared" si="18"/>
        <v>33</v>
      </c>
      <c r="G90" s="10"/>
      <c r="H90" s="10">
        <f>VLOOKUP(F90,$A$95:$I$158,6,TRUE)</f>
        <v>2</v>
      </c>
      <c r="I90" s="10" t="str">
        <f t="shared" si="19"/>
        <v>0010</v>
      </c>
      <c r="J90" t="str">
        <f t="shared" si="13"/>
        <v>0010101101111010</v>
      </c>
    </row>
    <row r="91" spans="1:10" x14ac:dyDescent="0.25">
      <c r="A91" s="10">
        <v>6</v>
      </c>
      <c r="B91" s="10" t="str">
        <f t="shared" si="14"/>
        <v>110001</v>
      </c>
      <c r="C91" s="10" t="str">
        <f t="shared" si="15"/>
        <v>11</v>
      </c>
      <c r="D91" s="10" t="str">
        <f t="shared" si="16"/>
        <v>1000</v>
      </c>
      <c r="E91" s="10" t="str">
        <f t="shared" si="17"/>
        <v>111000</v>
      </c>
      <c r="F91" s="10">
        <f t="shared" si="18"/>
        <v>56</v>
      </c>
      <c r="G91" s="10"/>
      <c r="H91" s="10">
        <f>VLOOKUP(F91,$A$95:$I$158,7,TRUE)</f>
        <v>11</v>
      </c>
      <c r="I91" s="10" t="str">
        <f t="shared" si="19"/>
        <v>1011</v>
      </c>
      <c r="J91" t="str">
        <f>I91&amp;J92</f>
        <v>101101111010</v>
      </c>
    </row>
    <row r="92" spans="1:10" x14ac:dyDescent="0.25">
      <c r="A92" s="10">
        <v>7</v>
      </c>
      <c r="B92" s="10" t="str">
        <f t="shared" si="14"/>
        <v>000111</v>
      </c>
      <c r="C92" s="10" t="str">
        <f t="shared" si="15"/>
        <v>01</v>
      </c>
      <c r="D92" s="10" t="str">
        <f t="shared" si="16"/>
        <v>0011</v>
      </c>
      <c r="E92" s="10" t="str">
        <f t="shared" si="17"/>
        <v>010011</v>
      </c>
      <c r="F92" s="10">
        <f t="shared" si="18"/>
        <v>19</v>
      </c>
      <c r="G92" s="10"/>
      <c r="H92" s="10">
        <f>VLOOKUP(F92,$A$95:$I$158,8,TRUE)</f>
        <v>7</v>
      </c>
      <c r="I92" s="10" t="str">
        <f t="shared" si="19"/>
        <v>0111</v>
      </c>
      <c r="J92" t="str">
        <f>I92&amp;I93</f>
        <v>01111010</v>
      </c>
    </row>
    <row r="93" spans="1:10" x14ac:dyDescent="0.25">
      <c r="A93" s="10">
        <v>8</v>
      </c>
      <c r="B93" s="10" t="str">
        <f t="shared" si="14"/>
        <v>010000</v>
      </c>
      <c r="C93" s="10" t="str">
        <f t="shared" si="15"/>
        <v>00</v>
      </c>
      <c r="D93" s="10" t="str">
        <f t="shared" si="16"/>
        <v>1000</v>
      </c>
      <c r="E93" s="10" t="str">
        <f t="shared" si="17"/>
        <v>001000</v>
      </c>
      <c r="F93" s="10">
        <f t="shared" si="18"/>
        <v>8</v>
      </c>
      <c r="G93" s="10"/>
      <c r="H93" s="10">
        <f>VLOOKUP(F93,$A$95:$I$158,9,TRUE)</f>
        <v>10</v>
      </c>
      <c r="I93" s="10" t="str">
        <f t="shared" si="19"/>
        <v>1010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00111110010000010010101101111010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11011010001110110010011010010010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1011010001110110010011010010010</v>
      </c>
    </row>
    <row r="167" spans="1:6" x14ac:dyDescent="0.25">
      <c r="A167">
        <v>3</v>
      </c>
      <c r="B167">
        <v>20</v>
      </c>
      <c r="C167" t="str">
        <f t="shared" si="21"/>
        <v>0</v>
      </c>
      <c r="D167" t="str">
        <f t="shared" si="20"/>
        <v>011010001110110010011010010010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11010001110110010011010010010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1010001110110010011010010010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010001110110010011010010010</v>
      </c>
    </row>
    <row r="171" spans="1:6" x14ac:dyDescent="0.25">
      <c r="A171">
        <v>7</v>
      </c>
      <c r="B171">
        <v>28</v>
      </c>
      <c r="C171" t="str">
        <f t="shared" si="21"/>
        <v>1</v>
      </c>
      <c r="D171" t="str">
        <f t="shared" si="20"/>
        <v>10001110110010011010010010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0001110110010011010010010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001110110010011010010010</v>
      </c>
    </row>
    <row r="174" spans="1:6" x14ac:dyDescent="0.25">
      <c r="A174">
        <v>10</v>
      </c>
      <c r="B174">
        <v>15</v>
      </c>
      <c r="C174" t="str">
        <f t="shared" si="21"/>
        <v>0</v>
      </c>
      <c r="D174" t="str">
        <f t="shared" si="20"/>
        <v>01110110010011010010010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1110110010011010010010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110110010011010010010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10110010011010010010</v>
      </c>
    </row>
    <row r="178" spans="1:4" x14ac:dyDescent="0.25">
      <c r="A178">
        <v>14</v>
      </c>
      <c r="B178">
        <v>18</v>
      </c>
      <c r="C178" t="str">
        <f t="shared" si="21"/>
        <v>0</v>
      </c>
      <c r="D178" t="str">
        <f t="shared" si="20"/>
        <v>0110010011010010010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110010011010010010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10010011010010010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0010011010010010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010011010010010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10011010010010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0011010010010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011010010010</v>
      </c>
    </row>
    <row r="186" spans="1:4" x14ac:dyDescent="0.25">
      <c r="A186">
        <v>22</v>
      </c>
      <c r="B186">
        <v>27</v>
      </c>
      <c r="C186" t="str">
        <f t="shared" si="21"/>
        <v>1</v>
      </c>
      <c r="D186" t="str">
        <f t="shared" si="20"/>
        <v>11010010010</v>
      </c>
    </row>
    <row r="187" spans="1:4" x14ac:dyDescent="0.25">
      <c r="A187">
        <v>23</v>
      </c>
      <c r="B187">
        <v>3</v>
      </c>
      <c r="C187" t="str">
        <f t="shared" si="21"/>
        <v>1</v>
      </c>
      <c r="D187" t="str">
        <f t="shared" si="20"/>
        <v>1010010010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010010010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10010010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0010010</v>
      </c>
    </row>
    <row r="191" spans="1:4" x14ac:dyDescent="0.25">
      <c r="A191">
        <v>27</v>
      </c>
      <c r="B191">
        <v>30</v>
      </c>
      <c r="C191" t="str">
        <f t="shared" si="21"/>
        <v>0</v>
      </c>
      <c r="D191" t="str">
        <f t="shared" si="20"/>
        <v>010010</v>
      </c>
    </row>
    <row r="192" spans="1:4" x14ac:dyDescent="0.25">
      <c r="A192">
        <v>28</v>
      </c>
      <c r="B192">
        <v>6</v>
      </c>
      <c r="C192" t="str">
        <f t="shared" si="21"/>
        <v>1</v>
      </c>
      <c r="D192" t="str">
        <f t="shared" si="20"/>
        <v>10010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0010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010</v>
      </c>
    </row>
    <row r="195" spans="1:11" x14ac:dyDescent="0.25">
      <c r="A195">
        <v>31</v>
      </c>
      <c r="B195">
        <v>4</v>
      </c>
      <c r="C195" t="str">
        <f t="shared" si="21"/>
        <v>1</v>
      </c>
      <c r="D195" t="str">
        <f>C195&amp;C196</f>
        <v>10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240</v>
      </c>
      <c r="B198" s="16" t="str">
        <f>D165</f>
        <v>11011010001110110010011010010010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11011010</v>
      </c>
      <c r="J199" s="7" t="str">
        <f>BIN2HEX(I199,2)</f>
        <v>DA</v>
      </c>
      <c r="K199">
        <f>BIN2DEC(I199)</f>
        <v>218</v>
      </c>
    </row>
    <row r="200" spans="1:11" x14ac:dyDescent="0.25">
      <c r="H200" s="7">
        <v>2</v>
      </c>
      <c r="I200" s="7" t="str">
        <f t="shared" ref="I200:I202" si="22">MID($B$198,(H200-1)*8+1,8)</f>
        <v>00111011</v>
      </c>
      <c r="J200" s="7" t="str">
        <f t="shared" ref="J200:J202" si="23">BIN2HEX(I200,2)</f>
        <v>3B</v>
      </c>
      <c r="K200">
        <f t="shared" ref="K200:K202" si="24">BIN2DEC(I200)</f>
        <v>59</v>
      </c>
    </row>
    <row r="201" spans="1:11" x14ac:dyDescent="0.25">
      <c r="H201" s="7">
        <v>3</v>
      </c>
      <c r="I201" s="7" t="str">
        <f t="shared" si="22"/>
        <v>00100110</v>
      </c>
      <c r="J201" s="7" t="str">
        <f t="shared" si="23"/>
        <v>26</v>
      </c>
      <c r="K201">
        <f t="shared" si="24"/>
        <v>38</v>
      </c>
    </row>
    <row r="202" spans="1:11" x14ac:dyDescent="0.25">
      <c r="H202" s="7">
        <v>4</v>
      </c>
      <c r="I202" s="7" t="str">
        <f t="shared" si="22"/>
        <v>10010010</v>
      </c>
      <c r="J202" s="7" t="str">
        <f t="shared" si="23"/>
        <v>92</v>
      </c>
      <c r="K202">
        <f t="shared" si="24"/>
        <v>146</v>
      </c>
    </row>
    <row r="205" spans="1:11" ht="18.75" x14ac:dyDescent="0.3">
      <c r="A205" t="s">
        <v>74</v>
      </c>
      <c r="B205" s="16" t="str">
        <f>B4</f>
        <v>00001111001011111010110110011010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00001111</v>
      </c>
      <c r="J206" s="7" t="str">
        <f>BIN2HEX(I206,2)</f>
        <v>0F</v>
      </c>
      <c r="K206">
        <f>BIN2DEC(I206)</f>
        <v>15</v>
      </c>
    </row>
    <row r="207" spans="1:11" x14ac:dyDescent="0.25">
      <c r="H207" s="7">
        <v>2</v>
      </c>
      <c r="I207" s="7" t="str">
        <f t="shared" ref="I207:I209" si="25">MID($B$205,(H207-1)*8+1,8)</f>
        <v>00101111</v>
      </c>
      <c r="J207" s="7" t="str">
        <f t="shared" ref="J207:J209" si="26">BIN2HEX(I207,2)</f>
        <v>2F</v>
      </c>
      <c r="K207">
        <f t="shared" ref="K207:K209" si="27">BIN2DEC(I207)</f>
        <v>47</v>
      </c>
    </row>
    <row r="208" spans="1:11" x14ac:dyDescent="0.25">
      <c r="H208" s="7">
        <v>3</v>
      </c>
      <c r="I208" s="7" t="str">
        <f t="shared" si="25"/>
        <v>10101101</v>
      </c>
      <c r="J208" s="7" t="str">
        <f t="shared" si="26"/>
        <v>AD</v>
      </c>
      <c r="K208">
        <f t="shared" si="27"/>
        <v>173</v>
      </c>
    </row>
    <row r="209" spans="1:11" x14ac:dyDescent="0.25">
      <c r="H209" s="7">
        <v>4</v>
      </c>
      <c r="I209" s="7" t="str">
        <f t="shared" si="25"/>
        <v>10011010</v>
      </c>
      <c r="J209" s="7" t="str">
        <f t="shared" si="26"/>
        <v>9A</v>
      </c>
      <c r="K209">
        <f t="shared" si="27"/>
        <v>154</v>
      </c>
    </row>
    <row r="211" spans="1:11" x14ac:dyDescent="0.25">
      <c r="A211" t="s">
        <v>246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213</v>
      </c>
      <c r="D213" s="7" t="str">
        <f>DEC2HEX(C213)</f>
        <v>D5</v>
      </c>
      <c r="E213" s="7" t="str">
        <f>DEC2BIN(C213,8)</f>
        <v>11010101</v>
      </c>
    </row>
    <row r="214" spans="1:11" x14ac:dyDescent="0.25">
      <c r="B214" s="7">
        <v>2</v>
      </c>
      <c r="C214" s="7">
        <f t="shared" ref="C214:C216" si="28">_xlfn.BITXOR(K200,K207)</f>
        <v>20</v>
      </c>
      <c r="D214" s="7" t="str">
        <f t="shared" ref="D214:D216" si="29">DEC2HEX(C214)</f>
        <v>14</v>
      </c>
      <c r="E214" s="7" t="str">
        <f t="shared" ref="E214:E216" si="30">DEC2BIN(C214,8)</f>
        <v>00010100</v>
      </c>
    </row>
    <row r="215" spans="1:11" x14ac:dyDescent="0.25">
      <c r="B215" s="7">
        <v>3</v>
      </c>
      <c r="C215" s="7">
        <f t="shared" si="28"/>
        <v>139</v>
      </c>
      <c r="D215" s="7" t="str">
        <f t="shared" si="29"/>
        <v>8B</v>
      </c>
      <c r="E215" s="7" t="str">
        <f t="shared" si="30"/>
        <v>10001011</v>
      </c>
    </row>
    <row r="216" spans="1:11" x14ac:dyDescent="0.25">
      <c r="B216" s="7">
        <v>4</v>
      </c>
      <c r="C216" s="7">
        <f t="shared" si="28"/>
        <v>8</v>
      </c>
      <c r="D216" s="7" t="str">
        <f t="shared" si="29"/>
        <v>8</v>
      </c>
      <c r="E216" s="7" t="str">
        <f t="shared" si="30"/>
        <v>00001000</v>
      </c>
    </row>
    <row r="219" spans="1:11" ht="21" x14ac:dyDescent="0.35">
      <c r="A219" t="s">
        <v>85</v>
      </c>
      <c r="B219" s="8" t="str">
        <f>E213&amp;E214&amp;E215&amp;E216</f>
        <v>11010101000101001000101100001000</v>
      </c>
      <c r="C219" s="8"/>
      <c r="D219" s="8"/>
      <c r="E219" s="8"/>
    </row>
    <row r="220" spans="1:11" x14ac:dyDescent="0.25">
      <c r="A220" t="s">
        <v>89</v>
      </c>
    </row>
    <row r="221" spans="1:11" ht="21" x14ac:dyDescent="0.35">
      <c r="A221" t="s">
        <v>90</v>
      </c>
      <c r="B221" s="8" t="str">
        <f>B2</f>
        <v>01101000000111000111110110100001</v>
      </c>
      <c r="C221" s="8"/>
      <c r="D221" s="8"/>
      <c r="E221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F4A4-E3F5-43EC-B5CB-DC1F86CFE5EB}">
  <dimension ref="A1:P54"/>
  <sheetViews>
    <sheetView workbookViewId="0">
      <selection activeCell="A2" sqref="A2:N2"/>
    </sheetView>
  </sheetViews>
  <sheetFormatPr defaultRowHeight="15" x14ac:dyDescent="0.25"/>
  <sheetData>
    <row r="1" spans="1:16" ht="18.75" x14ac:dyDescent="0.3">
      <c r="A1" t="s">
        <v>71</v>
      </c>
      <c r="B1" s="21" t="s">
        <v>76</v>
      </c>
      <c r="I1" t="s">
        <v>72</v>
      </c>
      <c r="J1" s="21" t="s">
        <v>78</v>
      </c>
    </row>
    <row r="2" spans="1:16" ht="18.75" x14ac:dyDescent="0.3">
      <c r="A2" t="s">
        <v>75</v>
      </c>
      <c r="B2" s="21" t="s">
        <v>98</v>
      </c>
      <c r="I2" t="s">
        <v>77</v>
      </c>
      <c r="J2" s="21" t="s">
        <v>99</v>
      </c>
    </row>
    <row r="4" spans="1:16" x14ac:dyDescent="0.25">
      <c r="A4" t="s">
        <v>79</v>
      </c>
      <c r="D4" s="1" t="str">
        <f>D7</f>
        <v>011100101010110111010010101011011000011001010111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80</v>
      </c>
      <c r="C5" s="6" t="s">
        <v>100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01110010</v>
      </c>
      <c r="L5" s="7" t="str">
        <f>BIN2HEX(K5,2)</f>
        <v>72</v>
      </c>
      <c r="O5" s="20"/>
      <c r="P5" s="20"/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10101101</v>
      </c>
      <c r="L6" s="7" t="str">
        <f t="shared" ref="L6:L10" si="1">BIN2HEX(K6,2)</f>
        <v>AD</v>
      </c>
      <c r="O6" s="20"/>
    </row>
    <row r="7" spans="1:16" x14ac:dyDescent="0.25">
      <c r="A7">
        <v>1</v>
      </c>
      <c r="B7">
        <v>14</v>
      </c>
      <c r="C7" t="str">
        <f>MID($C$5,B7,1)</f>
        <v>0</v>
      </c>
      <c r="D7" t="str">
        <f t="shared" ref="D7:D51" si="2">C7&amp;D8</f>
        <v>011100101010110111010010101011011000011001010111</v>
      </c>
      <c r="J7" s="7">
        <v>3</v>
      </c>
      <c r="K7" s="7" t="str">
        <f t="shared" si="0"/>
        <v>11010010</v>
      </c>
      <c r="L7" s="7" t="str">
        <f t="shared" si="1"/>
        <v>D2</v>
      </c>
    </row>
    <row r="8" spans="1:16" x14ac:dyDescent="0.25">
      <c r="A8">
        <v>2</v>
      </c>
      <c r="B8">
        <v>17</v>
      </c>
      <c r="C8" t="str">
        <f t="shared" ref="C8:C54" si="3">MID($C$5,B8,1)</f>
        <v>1</v>
      </c>
      <c r="D8" t="str">
        <f t="shared" si="2"/>
        <v>11100101010110111010010101011011000011001010111</v>
      </c>
      <c r="J8" s="7">
        <v>4</v>
      </c>
      <c r="K8" s="7" t="str">
        <f t="shared" si="0"/>
        <v>10101101</v>
      </c>
      <c r="L8" s="7" t="str">
        <f t="shared" si="1"/>
        <v>AD</v>
      </c>
    </row>
    <row r="9" spans="1:16" x14ac:dyDescent="0.25">
      <c r="A9">
        <v>3</v>
      </c>
      <c r="B9">
        <v>11</v>
      </c>
      <c r="C9" t="str">
        <f t="shared" si="3"/>
        <v>1</v>
      </c>
      <c r="D9" t="str">
        <f t="shared" si="2"/>
        <v>1100101010110111010010101011011000011001010111</v>
      </c>
      <c r="J9" s="7">
        <v>5</v>
      </c>
      <c r="K9" s="7" t="str">
        <f t="shared" si="0"/>
        <v>10000110</v>
      </c>
      <c r="L9" s="7" t="str">
        <f t="shared" si="1"/>
        <v>86</v>
      </c>
    </row>
    <row r="10" spans="1:16" x14ac:dyDescent="0.25">
      <c r="A10">
        <v>4</v>
      </c>
      <c r="B10">
        <v>24</v>
      </c>
      <c r="C10" t="str">
        <f t="shared" si="3"/>
        <v>1</v>
      </c>
      <c r="D10" t="str">
        <f t="shared" si="2"/>
        <v>100101010110111010010101011011000011001010111</v>
      </c>
      <c r="J10" s="7">
        <v>6</v>
      </c>
      <c r="K10" s="7" t="str">
        <f>MID($D$4,(J10-1)*8+1,8)</f>
        <v>01010111</v>
      </c>
      <c r="L10" s="7" t="str">
        <f t="shared" si="1"/>
        <v>57</v>
      </c>
    </row>
    <row r="11" spans="1:16" x14ac:dyDescent="0.25">
      <c r="A11">
        <v>5</v>
      </c>
      <c r="B11">
        <v>1</v>
      </c>
      <c r="C11" t="str">
        <f t="shared" si="3"/>
        <v>0</v>
      </c>
      <c r="D11" t="str">
        <f t="shared" si="2"/>
        <v>00101010110111010010101011011000011001010111</v>
      </c>
    </row>
    <row r="12" spans="1:16" x14ac:dyDescent="0.25">
      <c r="A12">
        <v>6</v>
      </c>
      <c r="B12">
        <v>5</v>
      </c>
      <c r="C12" t="str">
        <f t="shared" si="3"/>
        <v>0</v>
      </c>
      <c r="D12" t="str">
        <f t="shared" si="2"/>
        <v>0101010110111010010101011011000011001010111</v>
      </c>
    </row>
    <row r="13" spans="1:16" x14ac:dyDescent="0.25">
      <c r="A13">
        <v>7</v>
      </c>
      <c r="B13">
        <v>3</v>
      </c>
      <c r="C13" t="str">
        <f t="shared" si="3"/>
        <v>1</v>
      </c>
      <c r="D13" t="str">
        <f t="shared" si="2"/>
        <v>101010110111010010101011011000011001010111</v>
      </c>
    </row>
    <row r="14" spans="1:16" x14ac:dyDescent="0.25">
      <c r="A14">
        <v>8</v>
      </c>
      <c r="B14">
        <v>28</v>
      </c>
      <c r="C14" t="str">
        <f t="shared" si="3"/>
        <v>0</v>
      </c>
      <c r="D14" t="str">
        <f t="shared" si="2"/>
        <v>01010110111010010101011011000011001010111</v>
      </c>
    </row>
    <row r="15" spans="1:16" x14ac:dyDescent="0.25">
      <c r="A15">
        <v>9</v>
      </c>
      <c r="B15">
        <v>15</v>
      </c>
      <c r="C15" t="str">
        <f t="shared" si="3"/>
        <v>1</v>
      </c>
      <c r="D15" t="str">
        <f t="shared" si="2"/>
        <v>1010110111010010101011011000011001010111</v>
      </c>
    </row>
    <row r="16" spans="1:16" x14ac:dyDescent="0.25">
      <c r="A16">
        <v>10</v>
      </c>
      <c r="B16">
        <v>6</v>
      </c>
      <c r="C16" t="str">
        <f t="shared" si="3"/>
        <v>0</v>
      </c>
      <c r="D16" t="str">
        <f t="shared" si="2"/>
        <v>010110111010010101011011000011001010111</v>
      </c>
    </row>
    <row r="17" spans="1:4" x14ac:dyDescent="0.25">
      <c r="A17">
        <v>11</v>
      </c>
      <c r="B17">
        <v>21</v>
      </c>
      <c r="C17" t="str">
        <f t="shared" si="3"/>
        <v>1</v>
      </c>
      <c r="D17" t="str">
        <f t="shared" si="2"/>
        <v>10110111010010101011011000011001010111</v>
      </c>
    </row>
    <row r="18" spans="1:4" x14ac:dyDescent="0.25">
      <c r="A18">
        <v>12</v>
      </c>
      <c r="B18">
        <v>10</v>
      </c>
      <c r="C18" t="str">
        <f t="shared" si="3"/>
        <v>0</v>
      </c>
      <c r="D18" t="str">
        <f t="shared" si="2"/>
        <v>0110111010010101011011000011001010111</v>
      </c>
    </row>
    <row r="19" spans="1:4" x14ac:dyDescent="0.25">
      <c r="A19">
        <v>13</v>
      </c>
      <c r="B19">
        <v>23</v>
      </c>
      <c r="C19" t="str">
        <f t="shared" si="3"/>
        <v>1</v>
      </c>
      <c r="D19" t="str">
        <f t="shared" si="2"/>
        <v>110111010010101011011000011001010111</v>
      </c>
    </row>
    <row r="20" spans="1:4" x14ac:dyDescent="0.25">
      <c r="A20">
        <v>14</v>
      </c>
      <c r="B20">
        <v>19</v>
      </c>
      <c r="C20" t="str">
        <f t="shared" si="3"/>
        <v>1</v>
      </c>
      <c r="D20" t="str">
        <f t="shared" si="2"/>
        <v>10111010010101011011000011001010111</v>
      </c>
    </row>
    <row r="21" spans="1:4" x14ac:dyDescent="0.25">
      <c r="A21">
        <v>15</v>
      </c>
      <c r="B21">
        <v>12</v>
      </c>
      <c r="C21" t="str">
        <f t="shared" si="3"/>
        <v>0</v>
      </c>
      <c r="D21" t="str">
        <f t="shared" si="2"/>
        <v>0111010010101011011000011001010111</v>
      </c>
    </row>
    <row r="22" spans="1:4" x14ac:dyDescent="0.25">
      <c r="A22">
        <v>16</v>
      </c>
      <c r="B22">
        <v>4</v>
      </c>
      <c r="C22" t="str">
        <f t="shared" si="3"/>
        <v>1</v>
      </c>
      <c r="D22" t="str">
        <f t="shared" si="2"/>
        <v>111010010101011011000011001010111</v>
      </c>
    </row>
    <row r="23" spans="1:4" x14ac:dyDescent="0.25">
      <c r="A23">
        <v>17</v>
      </c>
      <c r="B23">
        <v>26</v>
      </c>
      <c r="C23" t="str">
        <f t="shared" si="3"/>
        <v>1</v>
      </c>
      <c r="D23" t="str">
        <f t="shared" si="2"/>
        <v>11010010101011011000011001010111</v>
      </c>
    </row>
    <row r="24" spans="1:4" x14ac:dyDescent="0.25">
      <c r="A24">
        <v>18</v>
      </c>
      <c r="B24">
        <v>8</v>
      </c>
      <c r="C24" t="str">
        <f t="shared" si="3"/>
        <v>1</v>
      </c>
      <c r="D24" t="str">
        <f t="shared" si="2"/>
        <v>1010010101011011000011001010111</v>
      </c>
    </row>
    <row r="25" spans="1:4" x14ac:dyDescent="0.25">
      <c r="A25">
        <v>19</v>
      </c>
      <c r="B25">
        <v>16</v>
      </c>
      <c r="C25" t="str">
        <f t="shared" si="3"/>
        <v>0</v>
      </c>
      <c r="D25" t="str">
        <f t="shared" si="2"/>
        <v>010010101011011000011001010111</v>
      </c>
    </row>
    <row r="26" spans="1:4" x14ac:dyDescent="0.25">
      <c r="A26">
        <v>20</v>
      </c>
      <c r="B26">
        <v>7</v>
      </c>
      <c r="C26" t="str">
        <f t="shared" si="3"/>
        <v>1</v>
      </c>
      <c r="D26" t="str">
        <f t="shared" si="2"/>
        <v>10010101011011000011001010111</v>
      </c>
    </row>
    <row r="27" spans="1:4" x14ac:dyDescent="0.25">
      <c r="A27">
        <v>21</v>
      </c>
      <c r="B27">
        <v>27</v>
      </c>
      <c r="C27" t="str">
        <f t="shared" si="3"/>
        <v>0</v>
      </c>
      <c r="D27" t="str">
        <f t="shared" si="2"/>
        <v>0010101011011000011001010111</v>
      </c>
    </row>
    <row r="28" spans="1:4" x14ac:dyDescent="0.25">
      <c r="A28">
        <v>22</v>
      </c>
      <c r="B28">
        <v>20</v>
      </c>
      <c r="C28" t="str">
        <f t="shared" si="3"/>
        <v>0</v>
      </c>
      <c r="D28" t="str">
        <f t="shared" si="2"/>
        <v>010101011011000011001010111</v>
      </c>
    </row>
    <row r="29" spans="1:4" x14ac:dyDescent="0.25">
      <c r="A29">
        <v>23</v>
      </c>
      <c r="B29">
        <v>13</v>
      </c>
      <c r="C29" t="str">
        <f t="shared" si="3"/>
        <v>1</v>
      </c>
      <c r="D29" t="str">
        <f t="shared" si="2"/>
        <v>10101011011000011001010111</v>
      </c>
    </row>
    <row r="30" spans="1:4" x14ac:dyDescent="0.25">
      <c r="A30">
        <v>24</v>
      </c>
      <c r="B30">
        <v>2</v>
      </c>
      <c r="C30" t="str">
        <f t="shared" si="3"/>
        <v>0</v>
      </c>
      <c r="D30" t="str">
        <f t="shared" si="2"/>
        <v>0101011011000011001010111</v>
      </c>
    </row>
    <row r="31" spans="1:4" x14ac:dyDescent="0.25">
      <c r="A31">
        <v>25</v>
      </c>
      <c r="B31">
        <v>41</v>
      </c>
      <c r="C31" t="str">
        <f t="shared" si="3"/>
        <v>1</v>
      </c>
      <c r="D31" t="str">
        <f t="shared" si="2"/>
        <v>101011011000011001010111</v>
      </c>
    </row>
    <row r="32" spans="1:4" x14ac:dyDescent="0.25">
      <c r="A32">
        <v>26</v>
      </c>
      <c r="B32">
        <v>52</v>
      </c>
      <c r="C32" t="str">
        <f t="shared" si="3"/>
        <v>0</v>
      </c>
      <c r="D32" t="str">
        <f t="shared" si="2"/>
        <v>01011011000011001010111</v>
      </c>
    </row>
    <row r="33" spans="1:4" x14ac:dyDescent="0.25">
      <c r="A33">
        <v>27</v>
      </c>
      <c r="B33">
        <v>31</v>
      </c>
      <c r="C33" t="str">
        <f t="shared" si="3"/>
        <v>1</v>
      </c>
      <c r="D33" t="str">
        <f t="shared" si="2"/>
        <v>1011011000011001010111</v>
      </c>
    </row>
    <row r="34" spans="1:4" x14ac:dyDescent="0.25">
      <c r="A34">
        <v>28</v>
      </c>
      <c r="B34">
        <v>37</v>
      </c>
      <c r="C34" t="str">
        <f t="shared" si="3"/>
        <v>0</v>
      </c>
      <c r="D34" t="str">
        <f t="shared" si="2"/>
        <v>011011000011001010111</v>
      </c>
    </row>
    <row r="35" spans="1:4" x14ac:dyDescent="0.25">
      <c r="A35">
        <v>29</v>
      </c>
      <c r="B35">
        <v>47</v>
      </c>
      <c r="C35" t="str">
        <f t="shared" si="3"/>
        <v>1</v>
      </c>
      <c r="D35" t="str">
        <f t="shared" si="2"/>
        <v>11011000011001010111</v>
      </c>
    </row>
    <row r="36" spans="1:4" x14ac:dyDescent="0.25">
      <c r="A36">
        <v>30</v>
      </c>
      <c r="B36">
        <v>55</v>
      </c>
      <c r="C36" t="str">
        <f t="shared" si="3"/>
        <v>1</v>
      </c>
      <c r="D36" t="str">
        <f t="shared" si="2"/>
        <v>1011000011001010111</v>
      </c>
    </row>
    <row r="37" spans="1:4" x14ac:dyDescent="0.25">
      <c r="A37">
        <v>31</v>
      </c>
      <c r="B37">
        <v>30</v>
      </c>
      <c r="C37" t="str">
        <f t="shared" si="3"/>
        <v>0</v>
      </c>
      <c r="D37" t="str">
        <f t="shared" si="2"/>
        <v>011000011001010111</v>
      </c>
    </row>
    <row r="38" spans="1:4" x14ac:dyDescent="0.25">
      <c r="A38">
        <v>32</v>
      </c>
      <c r="B38">
        <v>40</v>
      </c>
      <c r="C38" t="str">
        <f t="shared" si="3"/>
        <v>1</v>
      </c>
      <c r="D38" t="str">
        <f t="shared" si="2"/>
        <v>11000011001010111</v>
      </c>
    </row>
    <row r="39" spans="1:4" x14ac:dyDescent="0.25">
      <c r="A39">
        <v>33</v>
      </c>
      <c r="B39">
        <v>51</v>
      </c>
      <c r="C39" t="str">
        <f t="shared" si="3"/>
        <v>1</v>
      </c>
      <c r="D39" t="str">
        <f t="shared" si="2"/>
        <v>1000011001010111</v>
      </c>
    </row>
    <row r="40" spans="1:4" x14ac:dyDescent="0.25">
      <c r="A40">
        <v>34</v>
      </c>
      <c r="B40">
        <v>45</v>
      </c>
      <c r="C40" t="str">
        <f t="shared" si="3"/>
        <v>0</v>
      </c>
      <c r="D40" t="str">
        <f t="shared" si="2"/>
        <v>000011001010111</v>
      </c>
    </row>
    <row r="41" spans="1:4" x14ac:dyDescent="0.25">
      <c r="A41">
        <v>35</v>
      </c>
      <c r="B41">
        <v>33</v>
      </c>
      <c r="C41" t="str">
        <f t="shared" si="3"/>
        <v>0</v>
      </c>
      <c r="D41" t="str">
        <f t="shared" si="2"/>
        <v>00011001010111</v>
      </c>
    </row>
    <row r="42" spans="1:4" x14ac:dyDescent="0.25">
      <c r="A42">
        <v>36</v>
      </c>
      <c r="B42">
        <v>48</v>
      </c>
      <c r="C42" t="str">
        <f t="shared" si="3"/>
        <v>0</v>
      </c>
      <c r="D42" t="str">
        <f t="shared" si="2"/>
        <v>0011001010111</v>
      </c>
    </row>
    <row r="43" spans="1:4" x14ac:dyDescent="0.25">
      <c r="A43">
        <v>37</v>
      </c>
      <c r="B43">
        <v>44</v>
      </c>
      <c r="C43" t="str">
        <f t="shared" si="3"/>
        <v>0</v>
      </c>
      <c r="D43" t="str">
        <f t="shared" si="2"/>
        <v>011001010111</v>
      </c>
    </row>
    <row r="44" spans="1:4" x14ac:dyDescent="0.25">
      <c r="A44">
        <v>38</v>
      </c>
      <c r="B44">
        <v>49</v>
      </c>
      <c r="C44" t="str">
        <f t="shared" si="3"/>
        <v>1</v>
      </c>
      <c r="D44" t="str">
        <f t="shared" si="2"/>
        <v>11001010111</v>
      </c>
    </row>
    <row r="45" spans="1:4" x14ac:dyDescent="0.25">
      <c r="A45">
        <v>39</v>
      </c>
      <c r="B45">
        <v>39</v>
      </c>
      <c r="C45" t="str">
        <f t="shared" si="3"/>
        <v>1</v>
      </c>
      <c r="D45" t="str">
        <f t="shared" si="2"/>
        <v>1001010111</v>
      </c>
    </row>
    <row r="46" spans="1:4" x14ac:dyDescent="0.25">
      <c r="A46">
        <v>40</v>
      </c>
      <c r="B46">
        <v>56</v>
      </c>
      <c r="C46" t="str">
        <f t="shared" si="3"/>
        <v>0</v>
      </c>
      <c r="D46" t="str">
        <f t="shared" si="2"/>
        <v>001010111</v>
      </c>
    </row>
    <row r="47" spans="1:4" x14ac:dyDescent="0.25">
      <c r="A47">
        <v>41</v>
      </c>
      <c r="B47">
        <v>34</v>
      </c>
      <c r="C47" t="str">
        <f t="shared" si="3"/>
        <v>0</v>
      </c>
      <c r="D47" t="str">
        <f t="shared" si="2"/>
        <v>01010111</v>
      </c>
    </row>
    <row r="48" spans="1:4" x14ac:dyDescent="0.25">
      <c r="A48">
        <v>42</v>
      </c>
      <c r="B48">
        <v>53</v>
      </c>
      <c r="C48" t="str">
        <f t="shared" si="3"/>
        <v>1</v>
      </c>
      <c r="D48" t="str">
        <f t="shared" si="2"/>
        <v>1010111</v>
      </c>
    </row>
    <row r="49" spans="1:4" x14ac:dyDescent="0.25">
      <c r="A49">
        <v>43</v>
      </c>
      <c r="B49">
        <v>46</v>
      </c>
      <c r="C49" t="str">
        <f t="shared" si="3"/>
        <v>0</v>
      </c>
      <c r="D49" t="str">
        <f t="shared" si="2"/>
        <v>010111</v>
      </c>
    </row>
    <row r="50" spans="1:4" x14ac:dyDescent="0.25">
      <c r="A50">
        <v>44</v>
      </c>
      <c r="B50">
        <v>42</v>
      </c>
      <c r="C50" t="str">
        <f t="shared" si="3"/>
        <v>1</v>
      </c>
      <c r="D50" t="str">
        <f t="shared" si="2"/>
        <v>10111</v>
      </c>
    </row>
    <row r="51" spans="1:4" x14ac:dyDescent="0.25">
      <c r="A51">
        <v>45</v>
      </c>
      <c r="B51">
        <v>50</v>
      </c>
      <c r="C51" t="str">
        <f t="shared" si="3"/>
        <v>0</v>
      </c>
      <c r="D51" t="str">
        <f t="shared" si="2"/>
        <v>0111</v>
      </c>
    </row>
    <row r="52" spans="1:4" x14ac:dyDescent="0.25">
      <c r="A52">
        <v>46</v>
      </c>
      <c r="B52">
        <v>36</v>
      </c>
      <c r="C52" t="str">
        <f t="shared" si="3"/>
        <v>1</v>
      </c>
      <c r="D52" t="str">
        <f>C52&amp;D53</f>
        <v>111</v>
      </c>
    </row>
    <row r="53" spans="1:4" x14ac:dyDescent="0.25">
      <c r="A53">
        <v>47</v>
      </c>
      <c r="B53">
        <v>29</v>
      </c>
      <c r="C53" t="str">
        <f t="shared" si="3"/>
        <v>1</v>
      </c>
      <c r="D53" t="str">
        <f>C53&amp;C54</f>
        <v>11</v>
      </c>
    </row>
    <row r="54" spans="1:4" x14ac:dyDescent="0.25">
      <c r="A54">
        <v>48</v>
      </c>
      <c r="B54">
        <v>32</v>
      </c>
      <c r="C54" t="str">
        <f t="shared" si="3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D3F3-0DF3-4923-9667-72F40348C7A4}">
  <dimension ref="A1:K221"/>
  <sheetViews>
    <sheetView workbookViewId="0">
      <selection activeCell="B83" sqref="B83"/>
    </sheetView>
  </sheetViews>
  <sheetFormatPr defaultRowHeight="15" x14ac:dyDescent="0.25"/>
  <sheetData>
    <row r="1" spans="1:6" x14ac:dyDescent="0.25">
      <c r="A1" t="s">
        <v>79</v>
      </c>
      <c r="D1" t="s">
        <v>101</v>
      </c>
    </row>
    <row r="2" spans="1:6" ht="18.75" x14ac:dyDescent="0.3">
      <c r="A2" t="s">
        <v>85</v>
      </c>
      <c r="B2" s="16" t="s">
        <v>218</v>
      </c>
      <c r="C2" s="16"/>
      <c r="D2" s="16"/>
      <c r="E2" s="16"/>
      <c r="F2" s="1"/>
    </row>
    <row r="3" spans="1:6" x14ac:dyDescent="0.25">
      <c r="A3" t="s">
        <v>89</v>
      </c>
    </row>
    <row r="4" spans="1:6" ht="18.75" x14ac:dyDescent="0.3">
      <c r="A4" t="s">
        <v>90</v>
      </c>
      <c r="B4" s="16" t="s">
        <v>217</v>
      </c>
      <c r="C4" s="16"/>
      <c r="D4" s="16"/>
      <c r="E4" s="16"/>
      <c r="F4" s="1"/>
    </row>
    <row r="6" spans="1:6" x14ac:dyDescent="0.25">
      <c r="A6" t="s">
        <v>5</v>
      </c>
      <c r="B6" t="s">
        <v>30</v>
      </c>
      <c r="C6" t="s">
        <v>18</v>
      </c>
    </row>
    <row r="7" spans="1:6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011010101010100010101001010001010110100001010001</v>
      </c>
    </row>
    <row r="8" spans="1:6" x14ac:dyDescent="0.25">
      <c r="A8">
        <v>2</v>
      </c>
      <c r="B8">
        <v>1</v>
      </c>
      <c r="C8" t="str">
        <f t="shared" ref="C8:C54" si="1">MID($B$2,B8,1)</f>
        <v>1</v>
      </c>
      <c r="D8" t="str">
        <f t="shared" si="0"/>
        <v>11010101010100010101001010001010110100001010001</v>
      </c>
    </row>
    <row r="9" spans="1:6" x14ac:dyDescent="0.25">
      <c r="A9">
        <v>3</v>
      </c>
      <c r="B9">
        <v>2</v>
      </c>
      <c r="C9" t="str">
        <f t="shared" si="1"/>
        <v>1</v>
      </c>
      <c r="D9" t="str">
        <f t="shared" si="0"/>
        <v>1010101010100010101001010001010110100001010001</v>
      </c>
    </row>
    <row r="10" spans="1:6" x14ac:dyDescent="0.25">
      <c r="A10">
        <v>4</v>
      </c>
      <c r="B10">
        <v>3</v>
      </c>
      <c r="C10" t="str">
        <f t="shared" si="1"/>
        <v>0</v>
      </c>
      <c r="D10" t="str">
        <f t="shared" si="0"/>
        <v>010101010100010101001010001010110100001010001</v>
      </c>
    </row>
    <row r="11" spans="1:6" x14ac:dyDescent="0.25">
      <c r="A11">
        <v>5</v>
      </c>
      <c r="B11">
        <v>4</v>
      </c>
      <c r="C11" t="str">
        <f t="shared" si="1"/>
        <v>1</v>
      </c>
      <c r="D11" t="str">
        <f t="shared" si="0"/>
        <v>10101010100010101001010001010110100001010001</v>
      </c>
    </row>
    <row r="12" spans="1:6" x14ac:dyDescent="0.25">
      <c r="A12">
        <v>6</v>
      </c>
      <c r="B12">
        <v>5</v>
      </c>
      <c r="C12" t="str">
        <f t="shared" si="1"/>
        <v>0</v>
      </c>
      <c r="D12" t="str">
        <f t="shared" si="0"/>
        <v>0101010100010101001010001010110100001010001</v>
      </c>
    </row>
    <row r="13" spans="1:6" x14ac:dyDescent="0.25">
      <c r="A13">
        <v>7</v>
      </c>
      <c r="B13">
        <v>4</v>
      </c>
      <c r="C13" t="str">
        <f t="shared" si="1"/>
        <v>1</v>
      </c>
      <c r="D13" t="str">
        <f t="shared" si="0"/>
        <v>101010100010101001010001010110100001010001</v>
      </c>
    </row>
    <row r="14" spans="1:6" x14ac:dyDescent="0.25">
      <c r="A14">
        <v>8</v>
      </c>
      <c r="B14">
        <v>5</v>
      </c>
      <c r="C14" t="str">
        <f t="shared" si="1"/>
        <v>0</v>
      </c>
      <c r="D14" t="str">
        <f t="shared" si="0"/>
        <v>01010100010101001010001010110100001010001</v>
      </c>
    </row>
    <row r="15" spans="1:6" x14ac:dyDescent="0.25">
      <c r="A15">
        <v>9</v>
      </c>
      <c r="B15">
        <v>6</v>
      </c>
      <c r="C15" t="str">
        <f t="shared" si="1"/>
        <v>1</v>
      </c>
      <c r="D15" t="str">
        <f t="shared" si="0"/>
        <v>1010100010101001010001010110100001010001</v>
      </c>
    </row>
    <row r="16" spans="1:6" x14ac:dyDescent="0.25">
      <c r="A16">
        <v>10</v>
      </c>
      <c r="B16">
        <v>7</v>
      </c>
      <c r="C16" t="str">
        <f t="shared" si="1"/>
        <v>0</v>
      </c>
      <c r="D16" t="str">
        <f t="shared" si="0"/>
        <v>010100010101001010001010110100001010001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10100010101001010001010110100001010001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0100010101001010001010110100001010001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100010101001010001010110100001010001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00010101001010001010110100001010001</v>
      </c>
    </row>
    <row r="21" spans="1:4" x14ac:dyDescent="0.25">
      <c r="A21">
        <v>15</v>
      </c>
      <c r="B21">
        <v>10</v>
      </c>
      <c r="C21" t="str">
        <f t="shared" si="1"/>
        <v>0</v>
      </c>
      <c r="D21" t="str">
        <f t="shared" si="0"/>
        <v>0010101001010001010110100001010001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010101001010001010110100001010001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10101001010001010110100001010001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0101001010001010110100001010001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101001010001010110100001010001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01001010001010110100001010001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1001010001010110100001010001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001010001010110100001010001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01010001010110100001010001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1010001010110100001010001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010001010110100001010001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10001010110100001010001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0001010110100001010001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001010110100001010001</v>
      </c>
    </row>
    <row r="35" spans="1:4" x14ac:dyDescent="0.25">
      <c r="A35">
        <v>29</v>
      </c>
      <c r="B35">
        <v>20</v>
      </c>
      <c r="C35" t="str">
        <f t="shared" si="1"/>
        <v>0</v>
      </c>
      <c r="D35" t="str">
        <f t="shared" si="0"/>
        <v>01010110100001010001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1010110100001010001</v>
      </c>
    </row>
    <row r="37" spans="1:4" x14ac:dyDescent="0.25">
      <c r="A37">
        <v>31</v>
      </c>
      <c r="B37">
        <v>20</v>
      </c>
      <c r="C37" t="str">
        <f t="shared" si="1"/>
        <v>0</v>
      </c>
      <c r="D37" t="str">
        <f t="shared" si="0"/>
        <v>010110100001010001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10110100001010001</v>
      </c>
    </row>
    <row r="39" spans="1:4" x14ac:dyDescent="0.25">
      <c r="A39">
        <v>33</v>
      </c>
      <c r="B39">
        <v>22</v>
      </c>
      <c r="C39" t="str">
        <f t="shared" si="1"/>
        <v>0</v>
      </c>
      <c r="D39" t="str">
        <f t="shared" si="0"/>
        <v>0110100001010001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110100001010001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10100001010001</v>
      </c>
    </row>
    <row r="42" spans="1:4" x14ac:dyDescent="0.25">
      <c r="A42">
        <v>36</v>
      </c>
      <c r="B42">
        <v>25</v>
      </c>
      <c r="C42" t="str">
        <f t="shared" si="1"/>
        <v>0</v>
      </c>
      <c r="D42" t="str">
        <f t="shared" si="0"/>
        <v>0100001010001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100001010001</v>
      </c>
    </row>
    <row r="44" spans="1:4" x14ac:dyDescent="0.25">
      <c r="A44">
        <v>38</v>
      </c>
      <c r="B44">
        <v>25</v>
      </c>
      <c r="C44" t="str">
        <f t="shared" si="1"/>
        <v>0</v>
      </c>
      <c r="D44" t="str">
        <f t="shared" si="0"/>
        <v>00001010001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0001010001</v>
      </c>
    </row>
    <row r="46" spans="1:4" x14ac:dyDescent="0.25">
      <c r="A46">
        <v>40</v>
      </c>
      <c r="B46">
        <v>27</v>
      </c>
      <c r="C46" t="str">
        <f t="shared" si="1"/>
        <v>0</v>
      </c>
      <c r="D46" t="str">
        <f t="shared" si="0"/>
        <v>001010001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01010001</v>
      </c>
    </row>
    <row r="48" spans="1:4" x14ac:dyDescent="0.25">
      <c r="A48">
        <v>42</v>
      </c>
      <c r="B48">
        <v>29</v>
      </c>
      <c r="C48" t="str">
        <f t="shared" si="1"/>
        <v>1</v>
      </c>
      <c r="D48" t="str">
        <f t="shared" si="0"/>
        <v>1010001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010001</v>
      </c>
    </row>
    <row r="50" spans="1:4" x14ac:dyDescent="0.25">
      <c r="A50">
        <v>44</v>
      </c>
      <c r="B50">
        <v>29</v>
      </c>
      <c r="C50" t="str">
        <f t="shared" si="1"/>
        <v>1</v>
      </c>
      <c r="D50" t="str">
        <f t="shared" si="0"/>
        <v>10001</v>
      </c>
    </row>
    <row r="51" spans="1:4" x14ac:dyDescent="0.25">
      <c r="A51">
        <v>45</v>
      </c>
      <c r="B51">
        <v>30</v>
      </c>
      <c r="C51" t="str">
        <f t="shared" si="1"/>
        <v>0</v>
      </c>
      <c r="D51" t="str">
        <f t="shared" si="0"/>
        <v>0001</v>
      </c>
    </row>
    <row r="52" spans="1:4" x14ac:dyDescent="0.25">
      <c r="A52">
        <v>46</v>
      </c>
      <c r="B52">
        <v>31</v>
      </c>
      <c r="C52" t="str">
        <f t="shared" si="1"/>
        <v>0</v>
      </c>
      <c r="D52" t="str">
        <f t="shared" si="0"/>
        <v>001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01</v>
      </c>
    </row>
    <row r="54" spans="1:4" x14ac:dyDescent="0.25">
      <c r="A54">
        <v>48</v>
      </c>
      <c r="B54">
        <v>1</v>
      </c>
      <c r="C54" t="str">
        <f t="shared" si="1"/>
        <v>1</v>
      </c>
    </row>
    <row r="56" spans="1:4" x14ac:dyDescent="0.25">
      <c r="A56" t="s">
        <v>58</v>
      </c>
      <c r="B56" t="str">
        <f>D7</f>
        <v>011010101010100010101001010001010110100001010001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01101010</v>
      </c>
      <c r="C59" s="7" t="str">
        <f t="shared" ref="C59:C64" si="2">BIN2HEX(B59,2)</f>
        <v>6A</v>
      </c>
    </row>
    <row r="60" spans="1:4" x14ac:dyDescent="0.25">
      <c r="A60" s="7">
        <v>2</v>
      </c>
      <c r="B60" s="7" t="str">
        <f t="shared" ref="B60:B64" si="3">MID($B$56,(A60-1)*8+1,8)</f>
        <v>10101000</v>
      </c>
      <c r="C60" s="7" t="str">
        <f t="shared" si="2"/>
        <v>A8</v>
      </c>
    </row>
    <row r="61" spans="1:4" x14ac:dyDescent="0.25">
      <c r="A61" s="7">
        <v>3</v>
      </c>
      <c r="B61" s="7" t="str">
        <f t="shared" si="3"/>
        <v>10101001</v>
      </c>
      <c r="C61" s="7" t="str">
        <f t="shared" si="2"/>
        <v>A9</v>
      </c>
    </row>
    <row r="62" spans="1:4" x14ac:dyDescent="0.25">
      <c r="A62" s="7">
        <v>4</v>
      </c>
      <c r="B62" s="7" t="str">
        <f t="shared" si="3"/>
        <v>01000101</v>
      </c>
      <c r="C62" s="7" t="str">
        <f t="shared" si="2"/>
        <v>45</v>
      </c>
    </row>
    <row r="63" spans="1:4" x14ac:dyDescent="0.25">
      <c r="A63" s="7">
        <v>5</v>
      </c>
      <c r="B63" s="7" t="str">
        <f t="shared" si="3"/>
        <v>01101000</v>
      </c>
      <c r="C63" s="7" t="str">
        <f t="shared" si="2"/>
        <v>68</v>
      </c>
    </row>
    <row r="64" spans="1:4" x14ac:dyDescent="0.25">
      <c r="A64" s="7">
        <v>6</v>
      </c>
      <c r="B64" s="7" t="str">
        <f t="shared" si="3"/>
        <v>01010001</v>
      </c>
      <c r="C64" s="7" t="str">
        <f t="shared" si="2"/>
        <v>51</v>
      </c>
    </row>
    <row r="65" spans="1:10" x14ac:dyDescent="0.25">
      <c r="A65" t="s">
        <v>248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01110010</v>
      </c>
      <c r="C68" s="7" t="str">
        <f>BIN2HEX(B68,2)</f>
        <v>72</v>
      </c>
      <c r="D68">
        <f>BIN2DEC(B68)</f>
        <v>114</v>
      </c>
      <c r="G68" s="7">
        <v>1</v>
      </c>
      <c r="H68" s="7" t="str">
        <f>MID($B$56,(G68-1)*8+1,8)</f>
        <v>01101010</v>
      </c>
      <c r="I68" s="7" t="str">
        <f>BIN2HEX(H68,2)</f>
        <v>6A</v>
      </c>
      <c r="J68">
        <f>BIN2DEC(H68)</f>
        <v>106</v>
      </c>
    </row>
    <row r="69" spans="1:10" x14ac:dyDescent="0.25">
      <c r="A69" s="7">
        <v>2</v>
      </c>
      <c r="B69" s="7" t="str">
        <f t="shared" ref="B69:B73" si="4">MID($D$1,(A69-1)*8+1,8)</f>
        <v>10101101</v>
      </c>
      <c r="C69" s="7" t="str">
        <f t="shared" ref="C69:C73" si="5">BIN2HEX(B69,2)</f>
        <v>AD</v>
      </c>
      <c r="D69">
        <f t="shared" ref="D69:D73" si="6">BIN2DEC(B69)</f>
        <v>173</v>
      </c>
      <c r="G69" s="7">
        <v>2</v>
      </c>
      <c r="H69" s="7" t="str">
        <f t="shared" ref="H69:H73" si="7">MID($B$56,(G69-1)*8+1,8)</f>
        <v>10101000</v>
      </c>
      <c r="I69" s="7" t="str">
        <f t="shared" ref="I69:I73" si="8">BIN2HEX(H69,2)</f>
        <v>A8</v>
      </c>
      <c r="J69">
        <f t="shared" ref="J69:J73" si="9">BIN2DEC(H69)</f>
        <v>168</v>
      </c>
    </row>
    <row r="70" spans="1:10" x14ac:dyDescent="0.25">
      <c r="A70" s="7">
        <v>3</v>
      </c>
      <c r="B70" s="7" t="str">
        <f t="shared" si="4"/>
        <v>11010010</v>
      </c>
      <c r="C70" s="7" t="str">
        <f t="shared" si="5"/>
        <v>D2</v>
      </c>
      <c r="D70">
        <f t="shared" si="6"/>
        <v>210</v>
      </c>
      <c r="G70" s="7">
        <v>3</v>
      </c>
      <c r="H70" s="7" t="str">
        <f t="shared" si="7"/>
        <v>10101001</v>
      </c>
      <c r="I70" s="7" t="str">
        <f t="shared" si="8"/>
        <v>A9</v>
      </c>
      <c r="J70">
        <f t="shared" si="9"/>
        <v>169</v>
      </c>
    </row>
    <row r="71" spans="1:10" x14ac:dyDescent="0.25">
      <c r="A71" s="7">
        <v>4</v>
      </c>
      <c r="B71" s="7" t="str">
        <f t="shared" si="4"/>
        <v>10101101</v>
      </c>
      <c r="C71" s="7" t="str">
        <f t="shared" si="5"/>
        <v>AD</v>
      </c>
      <c r="D71">
        <f t="shared" si="6"/>
        <v>173</v>
      </c>
      <c r="G71" s="7">
        <v>4</v>
      </c>
      <c r="H71" s="7" t="str">
        <f t="shared" si="7"/>
        <v>01000101</v>
      </c>
      <c r="I71" s="7" t="str">
        <f t="shared" si="8"/>
        <v>45</v>
      </c>
      <c r="J71">
        <f t="shared" si="9"/>
        <v>69</v>
      </c>
    </row>
    <row r="72" spans="1:10" x14ac:dyDescent="0.25">
      <c r="A72" s="7">
        <v>5</v>
      </c>
      <c r="B72" s="7" t="str">
        <f t="shared" si="4"/>
        <v>10000110</v>
      </c>
      <c r="C72" s="7" t="str">
        <f t="shared" si="5"/>
        <v>86</v>
      </c>
      <c r="D72">
        <f t="shared" si="6"/>
        <v>134</v>
      </c>
      <c r="G72" s="7">
        <v>5</v>
      </c>
      <c r="H72" s="7" t="str">
        <f t="shared" si="7"/>
        <v>01101000</v>
      </c>
      <c r="I72" s="7" t="str">
        <f t="shared" si="8"/>
        <v>68</v>
      </c>
      <c r="J72">
        <f t="shared" si="9"/>
        <v>104</v>
      </c>
    </row>
    <row r="73" spans="1:10" x14ac:dyDescent="0.25">
      <c r="A73" s="7">
        <v>6</v>
      </c>
      <c r="B73" s="7" t="str">
        <f t="shared" si="4"/>
        <v>01010111</v>
      </c>
      <c r="C73" s="7" t="str">
        <f t="shared" si="5"/>
        <v>57</v>
      </c>
      <c r="D73">
        <f t="shared" si="6"/>
        <v>87</v>
      </c>
      <c r="G73" s="7">
        <v>6</v>
      </c>
      <c r="H73" s="7" t="str">
        <f t="shared" si="7"/>
        <v>01010001</v>
      </c>
      <c r="I73" s="7" t="str">
        <f t="shared" si="8"/>
        <v>51</v>
      </c>
      <c r="J73">
        <f t="shared" si="9"/>
        <v>81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24</v>
      </c>
      <c r="C76" s="10" t="str">
        <f>DEC2BIN(B76,8)</f>
        <v>00011000</v>
      </c>
      <c r="D76" s="10" t="str">
        <f>DEC2HEX(B76,2)</f>
        <v>18</v>
      </c>
    </row>
    <row r="77" spans="1:10" x14ac:dyDescent="0.25">
      <c r="A77" s="11">
        <v>2</v>
      </c>
      <c r="B77" s="10">
        <f t="shared" ref="B77:B81" si="10">_xlfn.BITXOR(D69,J69)</f>
        <v>5</v>
      </c>
      <c r="C77" s="10" t="str">
        <f t="shared" ref="C77:C81" si="11">DEC2BIN(B77,8)</f>
        <v>00000101</v>
      </c>
      <c r="D77" s="10" t="str">
        <f t="shared" ref="D77:D81" si="12">DEC2HEX(B77,2)</f>
        <v>05</v>
      </c>
    </row>
    <row r="78" spans="1:10" x14ac:dyDescent="0.25">
      <c r="A78" s="11">
        <v>3</v>
      </c>
      <c r="B78" s="10">
        <f t="shared" si="10"/>
        <v>123</v>
      </c>
      <c r="C78" s="10" t="str">
        <f t="shared" si="11"/>
        <v>01111011</v>
      </c>
      <c r="D78" s="10" t="str">
        <f t="shared" si="12"/>
        <v>7B</v>
      </c>
    </row>
    <row r="79" spans="1:10" x14ac:dyDescent="0.25">
      <c r="A79" s="11">
        <v>4</v>
      </c>
      <c r="B79" s="10">
        <f t="shared" si="10"/>
        <v>232</v>
      </c>
      <c r="C79" s="10" t="str">
        <f t="shared" si="11"/>
        <v>11101000</v>
      </c>
      <c r="D79" s="10" t="str">
        <f t="shared" si="12"/>
        <v>E8</v>
      </c>
    </row>
    <row r="80" spans="1:10" x14ac:dyDescent="0.25">
      <c r="A80" s="11">
        <v>5</v>
      </c>
      <c r="B80" s="10">
        <f t="shared" si="10"/>
        <v>238</v>
      </c>
      <c r="C80" s="10" t="str">
        <f t="shared" si="11"/>
        <v>11101110</v>
      </c>
      <c r="D80" s="10" t="str">
        <f t="shared" si="12"/>
        <v>EE</v>
      </c>
    </row>
    <row r="81" spans="1:10" x14ac:dyDescent="0.25">
      <c r="A81" s="11">
        <v>6</v>
      </c>
      <c r="B81" s="10">
        <f t="shared" si="10"/>
        <v>6</v>
      </c>
      <c r="C81" s="10" t="str">
        <f t="shared" si="11"/>
        <v>00000110</v>
      </c>
      <c r="D81" s="10" t="str">
        <f t="shared" si="12"/>
        <v>06</v>
      </c>
    </row>
    <row r="83" spans="1:10" ht="21" x14ac:dyDescent="0.35">
      <c r="B83" t="s">
        <v>249</v>
      </c>
      <c r="D83" s="8" t="str">
        <f>C76&amp;C77&amp;C78&amp;C79&amp;C80&amp;C81</f>
        <v>000110000000010101111011111010001110111000000110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000110</v>
      </c>
      <c r="C86" s="10" t="str">
        <f>LEFT(B86,1)&amp;RIGHT(B86,1)</f>
        <v>00</v>
      </c>
      <c r="D86" s="10" t="str">
        <f>MID(B86,2,4)</f>
        <v>0011</v>
      </c>
      <c r="E86" s="10" t="str">
        <f>C86&amp;D86</f>
        <v>000011</v>
      </c>
      <c r="F86" s="10">
        <f>BIN2DEC(E86)</f>
        <v>3</v>
      </c>
      <c r="G86" s="10"/>
      <c r="H86" s="10">
        <f>VLOOKUP(F86,$A$95:$I$158,2,TRUE)</f>
        <v>1</v>
      </c>
      <c r="I86" s="10" t="str">
        <f>DEC2BIN(H86,4)</f>
        <v>0001</v>
      </c>
      <c r="J86" t="str">
        <f t="shared" ref="J86:J90" si="13">I86&amp;J87</f>
        <v>00011111010101110011100000000100</v>
      </c>
    </row>
    <row r="87" spans="1:10" x14ac:dyDescent="0.25">
      <c r="A87" s="10">
        <v>2</v>
      </c>
      <c r="B87" s="10" t="str">
        <f t="shared" ref="B87:B93" si="14">MID($D$83,(A87-1)*6+1,6)</f>
        <v>000000</v>
      </c>
      <c r="C87" s="10" t="str">
        <f t="shared" ref="C87:C93" si="15">LEFT(B87,1)&amp;RIGHT(B87,1)</f>
        <v>00</v>
      </c>
      <c r="D87" s="10" t="str">
        <f t="shared" ref="D87:D93" si="16">MID(B87,2,4)</f>
        <v>0000</v>
      </c>
      <c r="E87" s="10" t="str">
        <f t="shared" ref="E87:E93" si="17">C87&amp;D87</f>
        <v>000000</v>
      </c>
      <c r="F87" s="10">
        <f t="shared" ref="F87:F93" si="18">BIN2DEC(E87)</f>
        <v>0</v>
      </c>
      <c r="G87" s="10"/>
      <c r="H87" s="10">
        <f>VLOOKUP(F87,$A$95:$I$158,3,TRUE)</f>
        <v>15</v>
      </c>
      <c r="I87" s="10" t="str">
        <f t="shared" ref="I87:I93" si="19">DEC2BIN(H87,4)</f>
        <v>1111</v>
      </c>
      <c r="J87" t="str">
        <f t="shared" si="13"/>
        <v>1111010101110011100000000100</v>
      </c>
    </row>
    <row r="88" spans="1:10" x14ac:dyDescent="0.25">
      <c r="A88" s="10">
        <v>3</v>
      </c>
      <c r="B88" s="10" t="str">
        <f t="shared" si="14"/>
        <v>010101</v>
      </c>
      <c r="C88" s="10" t="str">
        <f t="shared" si="15"/>
        <v>01</v>
      </c>
      <c r="D88" s="10" t="str">
        <f t="shared" si="16"/>
        <v>1010</v>
      </c>
      <c r="E88" s="10" t="str">
        <f t="shared" si="17"/>
        <v>011010</v>
      </c>
      <c r="F88" s="10">
        <f t="shared" si="18"/>
        <v>26</v>
      </c>
      <c r="G88" s="10"/>
      <c r="H88" s="10">
        <f>VLOOKUP(F88,$A$95:$I$158,4,TRUE)</f>
        <v>5</v>
      </c>
      <c r="I88" s="10" t="str">
        <f t="shared" si="19"/>
        <v>0101</v>
      </c>
      <c r="J88" t="str">
        <f t="shared" si="13"/>
        <v>010101110011100000000100</v>
      </c>
    </row>
    <row r="89" spans="1:10" x14ac:dyDescent="0.25">
      <c r="A89" s="10">
        <v>4</v>
      </c>
      <c r="B89" s="10" t="str">
        <f t="shared" si="14"/>
        <v>111011</v>
      </c>
      <c r="C89" s="10" t="str">
        <f t="shared" si="15"/>
        <v>11</v>
      </c>
      <c r="D89" s="10" t="str">
        <f t="shared" si="16"/>
        <v>1101</v>
      </c>
      <c r="E89" s="10" t="str">
        <f t="shared" si="17"/>
        <v>111101</v>
      </c>
      <c r="F89" s="10">
        <f t="shared" si="18"/>
        <v>61</v>
      </c>
      <c r="G89" s="10"/>
      <c r="H89" s="10">
        <f>VLOOKUP(F89,$A$95:$I$158,5,TRUE)</f>
        <v>7</v>
      </c>
      <c r="I89" s="10" t="str">
        <f t="shared" si="19"/>
        <v>0111</v>
      </c>
      <c r="J89" t="str">
        <f t="shared" si="13"/>
        <v>01110011100000000100</v>
      </c>
    </row>
    <row r="90" spans="1:10" x14ac:dyDescent="0.25">
      <c r="A90" s="10">
        <v>5</v>
      </c>
      <c r="B90" s="10" t="str">
        <f t="shared" si="14"/>
        <v>111010</v>
      </c>
      <c r="C90" s="10" t="str">
        <f t="shared" si="15"/>
        <v>10</v>
      </c>
      <c r="D90" s="10" t="str">
        <f t="shared" si="16"/>
        <v>1101</v>
      </c>
      <c r="E90" s="10" t="str">
        <f t="shared" si="17"/>
        <v>101101</v>
      </c>
      <c r="F90" s="10">
        <f t="shared" si="18"/>
        <v>45</v>
      </c>
      <c r="G90" s="10"/>
      <c r="H90" s="10">
        <f>VLOOKUP(F90,$A$95:$I$158,6,TRUE)</f>
        <v>3</v>
      </c>
      <c r="I90" s="10" t="str">
        <f t="shared" si="19"/>
        <v>0011</v>
      </c>
      <c r="J90" t="str">
        <f t="shared" si="13"/>
        <v>0011100000000100</v>
      </c>
    </row>
    <row r="91" spans="1:10" x14ac:dyDescent="0.25">
      <c r="A91" s="10">
        <v>6</v>
      </c>
      <c r="B91" s="10" t="str">
        <f t="shared" si="14"/>
        <v>001110</v>
      </c>
      <c r="C91" s="10" t="str">
        <f t="shared" si="15"/>
        <v>00</v>
      </c>
      <c r="D91" s="10" t="str">
        <f t="shared" si="16"/>
        <v>0111</v>
      </c>
      <c r="E91" s="10" t="str">
        <f t="shared" si="17"/>
        <v>000111</v>
      </c>
      <c r="F91" s="10">
        <f t="shared" si="18"/>
        <v>7</v>
      </c>
      <c r="G91" s="10"/>
      <c r="H91" s="10">
        <f>VLOOKUP(F91,$A$95:$I$158,7,TRUE)</f>
        <v>8</v>
      </c>
      <c r="I91" s="10" t="str">
        <f t="shared" si="19"/>
        <v>1000</v>
      </c>
      <c r="J91" t="str">
        <f>I91&amp;J92</f>
        <v>100000000100</v>
      </c>
    </row>
    <row r="92" spans="1:10" x14ac:dyDescent="0.25">
      <c r="A92" s="10">
        <v>7</v>
      </c>
      <c r="B92" s="10" t="str">
        <f t="shared" si="14"/>
        <v>111000</v>
      </c>
      <c r="C92" s="10" t="str">
        <f t="shared" si="15"/>
        <v>10</v>
      </c>
      <c r="D92" s="10" t="str">
        <f t="shared" si="16"/>
        <v>1100</v>
      </c>
      <c r="E92" s="10" t="str">
        <f t="shared" si="17"/>
        <v>101100</v>
      </c>
      <c r="F92" s="10">
        <f t="shared" si="18"/>
        <v>44</v>
      </c>
      <c r="G92" s="10"/>
      <c r="H92" s="10">
        <f>VLOOKUP(F92,$A$95:$I$158,8,TRUE)</f>
        <v>0</v>
      </c>
      <c r="I92" s="10" t="str">
        <f t="shared" si="19"/>
        <v>0000</v>
      </c>
      <c r="J92" t="str">
        <f>I92&amp;I93</f>
        <v>00000100</v>
      </c>
    </row>
    <row r="93" spans="1:10" x14ac:dyDescent="0.25">
      <c r="A93" s="10">
        <v>8</v>
      </c>
      <c r="B93" s="10" t="str">
        <f t="shared" si="14"/>
        <v>000110</v>
      </c>
      <c r="C93" s="10" t="str">
        <f t="shared" si="15"/>
        <v>00</v>
      </c>
      <c r="D93" s="10" t="str">
        <f t="shared" si="16"/>
        <v>0011</v>
      </c>
      <c r="E93" s="10" t="str">
        <f t="shared" si="17"/>
        <v>000011</v>
      </c>
      <c r="F93" s="10">
        <f t="shared" si="18"/>
        <v>3</v>
      </c>
      <c r="G93" s="10"/>
      <c r="H93" s="10">
        <f>VLOOKUP(F93,$A$95:$I$158,9,TRUE)</f>
        <v>4</v>
      </c>
      <c r="I93" s="10" t="str">
        <f t="shared" si="19"/>
        <v>0100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00011111010101110011100000000100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11110100010010010101000010110010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1110100010010010101000010110010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110100010010010101000010110010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10100010010010101000010110010</v>
      </c>
    </row>
    <row r="169" spans="1:6" x14ac:dyDescent="0.25">
      <c r="A169">
        <v>5</v>
      </c>
      <c r="B169">
        <v>29</v>
      </c>
      <c r="C169" t="str">
        <f t="shared" si="21"/>
        <v>0</v>
      </c>
      <c r="D169" t="str">
        <f t="shared" si="20"/>
        <v>0100010010010101000010110010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100010010010101000010110010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00010010010101000010110010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0010010010101000010110010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010010010101000010110010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10010010101000010110010</v>
      </c>
    </row>
    <row r="175" spans="1:6" x14ac:dyDescent="0.25">
      <c r="A175">
        <v>11</v>
      </c>
      <c r="B175">
        <v>23</v>
      </c>
      <c r="C175" t="str">
        <f t="shared" si="21"/>
        <v>0</v>
      </c>
      <c r="D175" t="str">
        <f t="shared" si="20"/>
        <v>0010010101000010110010</v>
      </c>
    </row>
    <row r="176" spans="1:6" x14ac:dyDescent="0.25">
      <c r="A176">
        <v>12</v>
      </c>
      <c r="B176">
        <v>26</v>
      </c>
      <c r="C176" t="str">
        <f t="shared" si="21"/>
        <v>0</v>
      </c>
      <c r="D176" t="str">
        <f t="shared" si="20"/>
        <v>010010101000010110010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10010101000010110010</v>
      </c>
    </row>
    <row r="178" spans="1:4" x14ac:dyDescent="0.25">
      <c r="A178">
        <v>14</v>
      </c>
      <c r="B178">
        <v>18</v>
      </c>
      <c r="C178" t="str">
        <f t="shared" si="21"/>
        <v>0</v>
      </c>
      <c r="D178" t="str">
        <f t="shared" si="20"/>
        <v>0010101000010110010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010101000010110010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10101000010110010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0101000010110010</v>
      </c>
    </row>
    <row r="182" spans="1:4" x14ac:dyDescent="0.25">
      <c r="A182">
        <v>18</v>
      </c>
      <c r="B182">
        <v>8</v>
      </c>
      <c r="C182" t="str">
        <f t="shared" si="21"/>
        <v>1</v>
      </c>
      <c r="D182" t="str">
        <f t="shared" si="20"/>
        <v>101000010110010</v>
      </c>
    </row>
    <row r="183" spans="1:4" x14ac:dyDescent="0.25">
      <c r="A183">
        <v>19</v>
      </c>
      <c r="B183">
        <v>24</v>
      </c>
      <c r="C183" t="str">
        <f t="shared" si="21"/>
        <v>0</v>
      </c>
      <c r="D183" t="str">
        <f t="shared" si="20"/>
        <v>01000010110010</v>
      </c>
    </row>
    <row r="184" spans="1:4" x14ac:dyDescent="0.25">
      <c r="A184">
        <v>20</v>
      </c>
      <c r="B184">
        <v>14</v>
      </c>
      <c r="C184" t="str">
        <f t="shared" si="21"/>
        <v>1</v>
      </c>
      <c r="D184" t="str">
        <f t="shared" si="20"/>
        <v>1000010110010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000010110010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00010110010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0010110010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010110010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10110010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0110010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110010</v>
      </c>
    </row>
    <row r="192" spans="1:4" x14ac:dyDescent="0.25">
      <c r="A192">
        <v>28</v>
      </c>
      <c r="B192">
        <v>6</v>
      </c>
      <c r="C192" t="str">
        <f t="shared" si="21"/>
        <v>1</v>
      </c>
      <c r="D192" t="str">
        <f t="shared" si="20"/>
        <v>10010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0010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010</v>
      </c>
    </row>
    <row r="195" spans="1:11" x14ac:dyDescent="0.25">
      <c r="A195">
        <v>31</v>
      </c>
      <c r="B195">
        <v>4</v>
      </c>
      <c r="C195" t="str">
        <f t="shared" si="21"/>
        <v>1</v>
      </c>
      <c r="D195" t="str">
        <f>C195&amp;C196</f>
        <v>10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243</v>
      </c>
      <c r="B198" s="16" t="str">
        <f>D165</f>
        <v>11110100010010010101000010110010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11110100</v>
      </c>
      <c r="J199" s="7" t="str">
        <f>BIN2HEX(I199,2)</f>
        <v>F4</v>
      </c>
      <c r="K199">
        <f>BIN2DEC(I199)</f>
        <v>244</v>
      </c>
    </row>
    <row r="200" spans="1:11" x14ac:dyDescent="0.25">
      <c r="H200" s="7">
        <v>2</v>
      </c>
      <c r="I200" s="7" t="str">
        <f t="shared" ref="I200:I202" si="22">MID($B$198,(H200-1)*8+1,8)</f>
        <v>01001001</v>
      </c>
      <c r="J200" s="7" t="str">
        <f t="shared" ref="J200:J202" si="23">BIN2HEX(I200,2)</f>
        <v>49</v>
      </c>
      <c r="K200">
        <f t="shared" ref="K200:K202" si="24">BIN2DEC(I200)</f>
        <v>73</v>
      </c>
    </row>
    <row r="201" spans="1:11" x14ac:dyDescent="0.25">
      <c r="H201" s="7">
        <v>3</v>
      </c>
      <c r="I201" s="7" t="str">
        <f t="shared" si="22"/>
        <v>01010000</v>
      </c>
      <c r="J201" s="7" t="str">
        <f t="shared" si="23"/>
        <v>50</v>
      </c>
      <c r="K201">
        <f t="shared" si="24"/>
        <v>80</v>
      </c>
    </row>
    <row r="202" spans="1:11" x14ac:dyDescent="0.25">
      <c r="H202" s="7">
        <v>4</v>
      </c>
      <c r="I202" s="7" t="str">
        <f t="shared" si="22"/>
        <v>10110010</v>
      </c>
      <c r="J202" s="7" t="str">
        <f t="shared" si="23"/>
        <v>B2</v>
      </c>
      <c r="K202">
        <f t="shared" si="24"/>
        <v>178</v>
      </c>
    </row>
    <row r="205" spans="1:11" ht="18.75" x14ac:dyDescent="0.3">
      <c r="A205" t="s">
        <v>245</v>
      </c>
      <c r="B205" s="16" t="str">
        <f>B4</f>
        <v>01101000000111000111110110100001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01101000</v>
      </c>
      <c r="J206" s="7" t="str">
        <f>BIN2HEX(I206,2)</f>
        <v>68</v>
      </c>
      <c r="K206">
        <f>BIN2DEC(I206)</f>
        <v>104</v>
      </c>
    </row>
    <row r="207" spans="1:11" x14ac:dyDescent="0.25">
      <c r="H207" s="7">
        <v>2</v>
      </c>
      <c r="I207" s="7" t="str">
        <f t="shared" ref="I207:I209" si="25">MID($B$205,(H207-1)*8+1,8)</f>
        <v>00011100</v>
      </c>
      <c r="J207" s="7" t="str">
        <f t="shared" ref="J207:J209" si="26">BIN2HEX(I207,2)</f>
        <v>1C</v>
      </c>
      <c r="K207">
        <f t="shared" ref="K207:K209" si="27">BIN2DEC(I207)</f>
        <v>28</v>
      </c>
    </row>
    <row r="208" spans="1:11" x14ac:dyDescent="0.25">
      <c r="H208" s="7">
        <v>3</v>
      </c>
      <c r="I208" s="7" t="str">
        <f t="shared" si="25"/>
        <v>01111101</v>
      </c>
      <c r="J208" s="7" t="str">
        <f t="shared" si="26"/>
        <v>7D</v>
      </c>
      <c r="K208">
        <f t="shared" si="27"/>
        <v>125</v>
      </c>
    </row>
    <row r="209" spans="1:11" x14ac:dyDescent="0.25">
      <c r="H209" s="7">
        <v>4</v>
      </c>
      <c r="I209" s="7" t="str">
        <f t="shared" si="25"/>
        <v>10100001</v>
      </c>
      <c r="J209" s="7" t="str">
        <f t="shared" si="26"/>
        <v>A1</v>
      </c>
      <c r="K209">
        <f t="shared" si="27"/>
        <v>161</v>
      </c>
    </row>
    <row r="211" spans="1:11" x14ac:dyDescent="0.25">
      <c r="A211" t="s">
        <v>244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156</v>
      </c>
      <c r="D213" s="7" t="str">
        <f>DEC2HEX(C213)</f>
        <v>9C</v>
      </c>
      <c r="E213" s="7" t="str">
        <f>DEC2BIN(C213,8)</f>
        <v>10011100</v>
      </c>
    </row>
    <row r="214" spans="1:11" x14ac:dyDescent="0.25">
      <c r="B214" s="7">
        <v>2</v>
      </c>
      <c r="C214" s="7">
        <f t="shared" ref="C214:C216" si="28">_xlfn.BITXOR(K200,K207)</f>
        <v>85</v>
      </c>
      <c r="D214" s="7" t="str">
        <f t="shared" ref="D214:D216" si="29">DEC2HEX(C214)</f>
        <v>55</v>
      </c>
      <c r="E214" s="7" t="str">
        <f t="shared" ref="E214:E216" si="30">DEC2BIN(C214,8)</f>
        <v>01010101</v>
      </c>
    </row>
    <row r="215" spans="1:11" x14ac:dyDescent="0.25">
      <c r="B215" s="7">
        <v>3</v>
      </c>
      <c r="C215" s="7">
        <f t="shared" si="28"/>
        <v>45</v>
      </c>
      <c r="D215" s="7" t="str">
        <f t="shared" si="29"/>
        <v>2D</v>
      </c>
      <c r="E215" s="7" t="str">
        <f t="shared" si="30"/>
        <v>00101101</v>
      </c>
    </row>
    <row r="216" spans="1:11" x14ac:dyDescent="0.25">
      <c r="B216" s="7">
        <v>4</v>
      </c>
      <c r="C216" s="7">
        <f t="shared" si="28"/>
        <v>19</v>
      </c>
      <c r="D216" s="7" t="str">
        <f t="shared" si="29"/>
        <v>13</v>
      </c>
      <c r="E216" s="7" t="str">
        <f t="shared" si="30"/>
        <v>00010011</v>
      </c>
    </row>
    <row r="219" spans="1:11" ht="21" x14ac:dyDescent="0.35">
      <c r="A219" t="s">
        <v>86</v>
      </c>
      <c r="B219" s="8" t="str">
        <f>E213&amp;E214&amp;E215&amp;E216</f>
        <v>10011100010101010010110100010011</v>
      </c>
      <c r="C219" s="8"/>
      <c r="D219" s="8"/>
      <c r="E219" s="8"/>
    </row>
    <row r="220" spans="1:11" x14ac:dyDescent="0.25">
      <c r="A220" t="s">
        <v>87</v>
      </c>
    </row>
    <row r="221" spans="1:11" ht="21" x14ac:dyDescent="0.35">
      <c r="A221" t="s">
        <v>88</v>
      </c>
      <c r="B221" s="8" t="str">
        <f>B2</f>
        <v>11010101000101001000101100001000</v>
      </c>
      <c r="C221" s="8"/>
      <c r="D221" s="8"/>
      <c r="E221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5984-11B3-44BE-B50B-1317F99DFA06}">
  <dimension ref="A1:O54"/>
  <sheetViews>
    <sheetView workbookViewId="0">
      <selection activeCell="B6" sqref="B6"/>
    </sheetView>
  </sheetViews>
  <sheetFormatPr defaultRowHeight="15" x14ac:dyDescent="0.25"/>
  <sheetData>
    <row r="1" spans="1:15" ht="18.75" x14ac:dyDescent="0.3">
      <c r="A1" t="s">
        <v>75</v>
      </c>
      <c r="B1" s="21" t="s">
        <v>98</v>
      </c>
      <c r="I1" t="s">
        <v>77</v>
      </c>
      <c r="J1" s="21" t="s">
        <v>99</v>
      </c>
    </row>
    <row r="2" spans="1:15" ht="18.75" x14ac:dyDescent="0.3">
      <c r="A2" t="s">
        <v>91</v>
      </c>
      <c r="B2" s="22" t="s">
        <v>113</v>
      </c>
      <c r="I2" t="s">
        <v>92</v>
      </c>
      <c r="J2" s="21" t="s">
        <v>115</v>
      </c>
    </row>
    <row r="4" spans="1:15" x14ac:dyDescent="0.25">
      <c r="A4" t="s">
        <v>255</v>
      </c>
      <c r="D4" s="1" t="str">
        <f>D7</f>
        <v>011111001110110000000111000111111110011011000010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5" x14ac:dyDescent="0.25">
      <c r="B5" t="s">
        <v>258</v>
      </c>
      <c r="C5" s="6" t="s">
        <v>116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01111100</v>
      </c>
      <c r="L5" s="7" t="str">
        <f>BIN2HEX(K5,2)</f>
        <v>7C</v>
      </c>
      <c r="N5" s="20"/>
    </row>
    <row r="6" spans="1:15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11101100</v>
      </c>
      <c r="L6" s="7" t="str">
        <f t="shared" ref="L6:L10" si="1">BIN2HEX(K6,2)</f>
        <v>EC</v>
      </c>
    </row>
    <row r="7" spans="1:15" x14ac:dyDescent="0.25">
      <c r="A7">
        <v>1</v>
      </c>
      <c r="B7">
        <v>14</v>
      </c>
      <c r="C7" t="str">
        <f t="shared" ref="C7:C54" si="2">MID($C$5,B7,1)</f>
        <v>0</v>
      </c>
      <c r="D7" t="str">
        <f t="shared" ref="D7:D51" si="3">C7&amp;D8</f>
        <v>011111001110110000000111000111111110011011000010</v>
      </c>
      <c r="J7" s="7">
        <v>3</v>
      </c>
      <c r="K7" s="7" t="str">
        <f t="shared" si="0"/>
        <v>00000111</v>
      </c>
      <c r="L7" s="7" t="str">
        <f t="shared" si="1"/>
        <v>07</v>
      </c>
      <c r="O7" s="20"/>
    </row>
    <row r="8" spans="1:15" x14ac:dyDescent="0.25">
      <c r="A8">
        <v>2</v>
      </c>
      <c r="B8">
        <v>17</v>
      </c>
      <c r="C8" t="str">
        <f t="shared" si="2"/>
        <v>1</v>
      </c>
      <c r="D8" t="str">
        <f t="shared" si="3"/>
        <v>11111001110110000000111000111111110011011000010</v>
      </c>
      <c r="J8" s="7">
        <v>4</v>
      </c>
      <c r="K8" s="7" t="str">
        <f t="shared" si="0"/>
        <v>00011111</v>
      </c>
      <c r="L8" s="7" t="str">
        <f t="shared" si="1"/>
        <v>1F</v>
      </c>
    </row>
    <row r="9" spans="1:15" x14ac:dyDescent="0.25">
      <c r="A9">
        <v>3</v>
      </c>
      <c r="B9">
        <v>11</v>
      </c>
      <c r="C9" t="str">
        <f t="shared" si="2"/>
        <v>1</v>
      </c>
      <c r="D9" t="str">
        <f t="shared" si="3"/>
        <v>1111001110110000000111000111111110011011000010</v>
      </c>
      <c r="J9" s="7">
        <v>5</v>
      </c>
      <c r="K9" s="7" t="str">
        <f t="shared" si="0"/>
        <v>11100110</v>
      </c>
      <c r="L9" s="7" t="str">
        <f t="shared" si="1"/>
        <v>E6</v>
      </c>
      <c r="O9" s="20"/>
    </row>
    <row r="10" spans="1:15" x14ac:dyDescent="0.25">
      <c r="A10">
        <v>4</v>
      </c>
      <c r="B10">
        <v>24</v>
      </c>
      <c r="C10" t="str">
        <f t="shared" si="2"/>
        <v>1</v>
      </c>
      <c r="D10" t="str">
        <f t="shared" si="3"/>
        <v>111001110110000000111000111111110011011000010</v>
      </c>
      <c r="J10" s="7">
        <v>6</v>
      </c>
      <c r="K10" s="7" t="str">
        <f>MID($D$4,(J10-1)*8+1,8)</f>
        <v>11000010</v>
      </c>
      <c r="L10" s="7" t="str">
        <f t="shared" si="1"/>
        <v>C2</v>
      </c>
    </row>
    <row r="11" spans="1:15" x14ac:dyDescent="0.25">
      <c r="A11">
        <v>5</v>
      </c>
      <c r="B11">
        <v>1</v>
      </c>
      <c r="C11" t="str">
        <f t="shared" si="2"/>
        <v>1</v>
      </c>
      <c r="D11" t="str">
        <f t="shared" si="3"/>
        <v>11001110110000000111000111111110011011000010</v>
      </c>
    </row>
    <row r="12" spans="1:15" x14ac:dyDescent="0.25">
      <c r="A12">
        <v>6</v>
      </c>
      <c r="B12">
        <v>5</v>
      </c>
      <c r="C12" t="str">
        <f t="shared" si="2"/>
        <v>1</v>
      </c>
      <c r="D12" t="str">
        <f t="shared" si="3"/>
        <v>1001110110000000111000111111110011011000010</v>
      </c>
    </row>
    <row r="13" spans="1:15" x14ac:dyDescent="0.25">
      <c r="A13">
        <v>7</v>
      </c>
      <c r="B13">
        <v>3</v>
      </c>
      <c r="C13" t="str">
        <f t="shared" si="2"/>
        <v>0</v>
      </c>
      <c r="D13" t="str">
        <f t="shared" si="3"/>
        <v>001110110000000111000111111110011011000010</v>
      </c>
    </row>
    <row r="14" spans="1:15" x14ac:dyDescent="0.25">
      <c r="A14">
        <v>8</v>
      </c>
      <c r="B14">
        <v>28</v>
      </c>
      <c r="C14" t="str">
        <f t="shared" si="2"/>
        <v>0</v>
      </c>
      <c r="D14" t="str">
        <f t="shared" si="3"/>
        <v>01110110000000111000111111110011011000010</v>
      </c>
    </row>
    <row r="15" spans="1:15" x14ac:dyDescent="0.25">
      <c r="A15">
        <v>9</v>
      </c>
      <c r="B15">
        <v>15</v>
      </c>
      <c r="C15" t="str">
        <f t="shared" si="2"/>
        <v>1</v>
      </c>
      <c r="D15" t="str">
        <f t="shared" si="3"/>
        <v>1110110000000111000111111110011011000010</v>
      </c>
    </row>
    <row r="16" spans="1:15" x14ac:dyDescent="0.25">
      <c r="A16">
        <v>10</v>
      </c>
      <c r="B16">
        <v>6</v>
      </c>
      <c r="C16" t="str">
        <f t="shared" si="2"/>
        <v>1</v>
      </c>
      <c r="D16" t="str">
        <f t="shared" si="3"/>
        <v>110110000000111000111111110011011000010</v>
      </c>
    </row>
    <row r="17" spans="1:4" x14ac:dyDescent="0.25">
      <c r="A17">
        <v>11</v>
      </c>
      <c r="B17">
        <v>21</v>
      </c>
      <c r="C17" t="str">
        <f t="shared" si="2"/>
        <v>1</v>
      </c>
      <c r="D17" t="str">
        <f t="shared" si="3"/>
        <v>10110000000111000111111110011011000010</v>
      </c>
    </row>
    <row r="18" spans="1:4" x14ac:dyDescent="0.25">
      <c r="A18">
        <v>12</v>
      </c>
      <c r="B18">
        <v>10</v>
      </c>
      <c r="C18" t="str">
        <f t="shared" si="2"/>
        <v>0</v>
      </c>
      <c r="D18" t="str">
        <f t="shared" si="3"/>
        <v>0110000000111000111111110011011000010</v>
      </c>
    </row>
    <row r="19" spans="1:4" x14ac:dyDescent="0.25">
      <c r="A19">
        <v>13</v>
      </c>
      <c r="B19">
        <v>23</v>
      </c>
      <c r="C19" t="str">
        <f t="shared" si="2"/>
        <v>1</v>
      </c>
      <c r="D19" t="str">
        <f t="shared" si="3"/>
        <v>110000000111000111111110011011000010</v>
      </c>
    </row>
    <row r="20" spans="1:4" x14ac:dyDescent="0.25">
      <c r="A20">
        <v>14</v>
      </c>
      <c r="B20">
        <v>19</v>
      </c>
      <c r="C20" t="str">
        <f t="shared" si="2"/>
        <v>1</v>
      </c>
      <c r="D20" t="str">
        <f t="shared" si="3"/>
        <v>10000000111000111111110011011000010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0000000111000111111110011011000010</v>
      </c>
    </row>
    <row r="22" spans="1:4" x14ac:dyDescent="0.25">
      <c r="A22">
        <v>16</v>
      </c>
      <c r="B22">
        <v>4</v>
      </c>
      <c r="C22" t="str">
        <f t="shared" si="2"/>
        <v>0</v>
      </c>
      <c r="D22" t="str">
        <f t="shared" si="3"/>
        <v>000000111000111111110011011000010</v>
      </c>
    </row>
    <row r="23" spans="1:4" x14ac:dyDescent="0.25">
      <c r="A23">
        <v>17</v>
      </c>
      <c r="B23">
        <v>26</v>
      </c>
      <c r="C23" t="str">
        <f t="shared" si="2"/>
        <v>0</v>
      </c>
      <c r="D23" t="str">
        <f t="shared" si="3"/>
        <v>00000111000111111110011011000010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0000111000111111110011011000010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000111000111111110011011000010</v>
      </c>
    </row>
    <row r="26" spans="1:4" x14ac:dyDescent="0.25">
      <c r="A26">
        <v>20</v>
      </c>
      <c r="B26">
        <v>7</v>
      </c>
      <c r="C26" t="str">
        <f t="shared" si="2"/>
        <v>0</v>
      </c>
      <c r="D26" t="str">
        <f t="shared" si="3"/>
        <v>00111000111111110011011000010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0111000111111110011011000010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111000111111110011011000010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11000111111110011011000010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1000111111110011011000010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000111111110011011000010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00111111110011011000010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0111111110011011000010</v>
      </c>
    </row>
    <row r="34" spans="1:4" x14ac:dyDescent="0.25">
      <c r="A34">
        <v>28</v>
      </c>
      <c r="B34">
        <v>37</v>
      </c>
      <c r="C34" t="str">
        <f t="shared" si="2"/>
        <v>1</v>
      </c>
      <c r="D34" t="str">
        <f t="shared" si="3"/>
        <v>111111110011011000010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11111110011011000010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1111110011011000010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111110011011000010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11110011011000010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1110011011000010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110011011000010</v>
      </c>
    </row>
    <row r="41" spans="1:4" x14ac:dyDescent="0.25">
      <c r="A41">
        <v>35</v>
      </c>
      <c r="B41">
        <v>33</v>
      </c>
      <c r="C41" t="str">
        <f t="shared" si="2"/>
        <v>1</v>
      </c>
      <c r="D41" t="str">
        <f t="shared" si="3"/>
        <v>10011011000010</v>
      </c>
    </row>
    <row r="42" spans="1:4" x14ac:dyDescent="0.25">
      <c r="A42">
        <v>36</v>
      </c>
      <c r="B42">
        <v>48</v>
      </c>
      <c r="C42" t="str">
        <f t="shared" si="2"/>
        <v>0</v>
      </c>
      <c r="D42" t="str">
        <f t="shared" si="3"/>
        <v>0011011000010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011011000010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11011000010</v>
      </c>
    </row>
    <row r="45" spans="1:4" x14ac:dyDescent="0.25">
      <c r="A45">
        <v>39</v>
      </c>
      <c r="B45">
        <v>39</v>
      </c>
      <c r="C45" t="str">
        <f t="shared" si="2"/>
        <v>1</v>
      </c>
      <c r="D45" t="str">
        <f t="shared" si="3"/>
        <v>1011000010</v>
      </c>
    </row>
    <row r="46" spans="1:4" x14ac:dyDescent="0.25">
      <c r="A46">
        <v>40</v>
      </c>
      <c r="B46">
        <v>56</v>
      </c>
      <c r="C46" t="str">
        <f t="shared" si="2"/>
        <v>0</v>
      </c>
      <c r="D46" t="str">
        <f t="shared" si="3"/>
        <v>011000010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11000010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1000010</v>
      </c>
    </row>
    <row r="49" spans="1:4" x14ac:dyDescent="0.25">
      <c r="A49">
        <v>43</v>
      </c>
      <c r="B49">
        <v>46</v>
      </c>
      <c r="C49" t="str">
        <f t="shared" si="2"/>
        <v>0</v>
      </c>
      <c r="D49" t="str">
        <f t="shared" si="3"/>
        <v>000010</v>
      </c>
    </row>
    <row r="50" spans="1:4" x14ac:dyDescent="0.25">
      <c r="A50">
        <v>44</v>
      </c>
      <c r="B50">
        <v>42</v>
      </c>
      <c r="C50" t="str">
        <f t="shared" si="2"/>
        <v>0</v>
      </c>
      <c r="D50" t="str">
        <f t="shared" si="3"/>
        <v>00010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0010</v>
      </c>
    </row>
    <row r="52" spans="1:4" x14ac:dyDescent="0.25">
      <c r="A52">
        <v>46</v>
      </c>
      <c r="B52">
        <v>36</v>
      </c>
      <c r="C52" t="str">
        <f t="shared" si="2"/>
        <v>0</v>
      </c>
      <c r="D52" t="str">
        <f>C52&amp;D53</f>
        <v>010</v>
      </c>
    </row>
    <row r="53" spans="1:4" x14ac:dyDescent="0.25">
      <c r="A53">
        <v>47</v>
      </c>
      <c r="B53">
        <v>29</v>
      </c>
      <c r="C53" t="str">
        <f t="shared" si="2"/>
        <v>1</v>
      </c>
      <c r="D53" t="str">
        <f>C53&amp;C54</f>
        <v>10</v>
      </c>
    </row>
    <row r="54" spans="1:4" x14ac:dyDescent="0.25">
      <c r="A54">
        <v>48</v>
      </c>
      <c r="B54">
        <v>32</v>
      </c>
      <c r="C54" t="str">
        <f t="shared" si="2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B7C5-A825-46C0-8B83-195E614310F2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255</v>
      </c>
      <c r="D1" t="s">
        <v>117</v>
      </c>
    </row>
    <row r="2" spans="1:4" x14ac:dyDescent="0.25">
      <c r="A2" t="s">
        <v>86</v>
      </c>
      <c r="B2" t="s">
        <v>219</v>
      </c>
    </row>
    <row r="3" spans="1:4" x14ac:dyDescent="0.25">
      <c r="A3" t="s">
        <v>87</v>
      </c>
    </row>
    <row r="4" spans="1:4" x14ac:dyDescent="0.25">
      <c r="A4" t="s">
        <v>88</v>
      </c>
      <c r="B4" t="s">
        <v>218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1</v>
      </c>
      <c r="D7" t="str">
        <f t="shared" ref="D7:D52" si="0">C7&amp;D8</f>
        <v>110011111000001010101010100101011010100010100111</v>
      </c>
    </row>
    <row r="8" spans="1:4" x14ac:dyDescent="0.25">
      <c r="A8">
        <v>2</v>
      </c>
      <c r="B8">
        <v>1</v>
      </c>
      <c r="C8" t="str">
        <f t="shared" ref="C8:C54" si="1">MID($B$2,B8,1)</f>
        <v>1</v>
      </c>
      <c r="D8" t="str">
        <f t="shared" si="0"/>
        <v>10011111000001010101010100101011010100010100111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0011111000001010101010100101011010100010100111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011111000001010101010100101011010100010100111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11111000001010101010100101011010100010100111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1111000001010101010100101011010100010100111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111000001010101010100101011010100010100111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11000001010101010100101011010100010100111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1000001010101010100101011010100010100111</v>
      </c>
    </row>
    <row r="16" spans="1:4" x14ac:dyDescent="0.25">
      <c r="A16">
        <v>10</v>
      </c>
      <c r="B16">
        <v>7</v>
      </c>
      <c r="C16" t="str">
        <f t="shared" si="1"/>
        <v>0</v>
      </c>
      <c r="D16" t="str">
        <f t="shared" si="0"/>
        <v>000001010101010100101011010100010100111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00001010101010100101011010100010100111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0001010101010100101011010100010100111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001010101010100101011010100010100111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01010101010100101011010100010100111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1010101010100101011010100010100111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010101010100101011010100010100111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10101010100101011010100010100111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0101010100101011010100010100111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101010100101011010100010100111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01010100101011010100010100111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1010100101011010100010100111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010100101011010100010100111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10100101011010100010100111</v>
      </c>
    </row>
    <row r="30" spans="1:4" x14ac:dyDescent="0.25">
      <c r="A30">
        <v>24</v>
      </c>
      <c r="B30">
        <v>17</v>
      </c>
      <c r="C30" t="str">
        <f t="shared" si="1"/>
        <v>0</v>
      </c>
      <c r="D30" t="str">
        <f t="shared" si="0"/>
        <v>0100101011010100010100111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100101011010100010100111</v>
      </c>
    </row>
    <row r="32" spans="1:4" x14ac:dyDescent="0.25">
      <c r="A32">
        <v>26</v>
      </c>
      <c r="B32">
        <v>17</v>
      </c>
      <c r="C32" t="str">
        <f t="shared" si="1"/>
        <v>0</v>
      </c>
      <c r="D32" t="str">
        <f t="shared" si="0"/>
        <v>00101011010100010100111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0101011010100010100111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101011010100010100111</v>
      </c>
    </row>
    <row r="35" spans="1:4" x14ac:dyDescent="0.25">
      <c r="A35">
        <v>29</v>
      </c>
      <c r="B35">
        <v>20</v>
      </c>
      <c r="C35" t="str">
        <f t="shared" si="1"/>
        <v>0</v>
      </c>
      <c r="D35" t="str">
        <f t="shared" si="0"/>
        <v>01011010100010100111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1011010100010100111</v>
      </c>
    </row>
    <row r="37" spans="1:4" x14ac:dyDescent="0.25">
      <c r="A37">
        <v>31</v>
      </c>
      <c r="B37">
        <v>20</v>
      </c>
      <c r="C37" t="str">
        <f t="shared" si="1"/>
        <v>0</v>
      </c>
      <c r="D37" t="str">
        <f t="shared" si="0"/>
        <v>011010100010100111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11010100010100111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1010100010100111</v>
      </c>
    </row>
    <row r="40" spans="1:4" x14ac:dyDescent="0.25">
      <c r="A40">
        <v>34</v>
      </c>
      <c r="B40">
        <v>23</v>
      </c>
      <c r="C40" t="str">
        <f t="shared" si="1"/>
        <v>0</v>
      </c>
      <c r="D40" t="str">
        <f t="shared" si="0"/>
        <v>010100010100111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10100010100111</v>
      </c>
    </row>
    <row r="42" spans="1:4" x14ac:dyDescent="0.25">
      <c r="A42">
        <v>36</v>
      </c>
      <c r="B42">
        <v>25</v>
      </c>
      <c r="C42" t="str">
        <f t="shared" si="1"/>
        <v>0</v>
      </c>
      <c r="D42" t="str">
        <f t="shared" si="0"/>
        <v>0100010100111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100010100111</v>
      </c>
    </row>
    <row r="44" spans="1:4" x14ac:dyDescent="0.25">
      <c r="A44">
        <v>38</v>
      </c>
      <c r="B44">
        <v>25</v>
      </c>
      <c r="C44" t="str">
        <f t="shared" si="1"/>
        <v>0</v>
      </c>
      <c r="D44" t="str">
        <f t="shared" si="0"/>
        <v>00010100111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0010100111</v>
      </c>
    </row>
    <row r="46" spans="1:4" x14ac:dyDescent="0.25">
      <c r="A46">
        <v>40</v>
      </c>
      <c r="B46">
        <v>27</v>
      </c>
      <c r="C46" t="str">
        <f t="shared" si="1"/>
        <v>0</v>
      </c>
      <c r="D46" t="str">
        <f t="shared" si="0"/>
        <v>010100111</v>
      </c>
    </row>
    <row r="47" spans="1:4" x14ac:dyDescent="0.25">
      <c r="A47">
        <v>41</v>
      </c>
      <c r="B47">
        <v>28</v>
      </c>
      <c r="C47" t="str">
        <f t="shared" si="1"/>
        <v>1</v>
      </c>
      <c r="D47" t="str">
        <f t="shared" si="0"/>
        <v>10100111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0100111</v>
      </c>
    </row>
    <row r="49" spans="1:4" x14ac:dyDescent="0.25">
      <c r="A49">
        <v>43</v>
      </c>
      <c r="B49">
        <v>28</v>
      </c>
      <c r="C49" t="str">
        <f t="shared" si="1"/>
        <v>1</v>
      </c>
      <c r="D49" t="str">
        <f t="shared" si="0"/>
        <v>100111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00111</v>
      </c>
    </row>
    <row r="51" spans="1:4" x14ac:dyDescent="0.25">
      <c r="A51">
        <v>45</v>
      </c>
      <c r="B51">
        <v>30</v>
      </c>
      <c r="C51" t="str">
        <f t="shared" si="1"/>
        <v>0</v>
      </c>
      <c r="D51" t="str">
        <f t="shared" si="0"/>
        <v>0111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111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11</v>
      </c>
    </row>
    <row r="54" spans="1:4" x14ac:dyDescent="0.25">
      <c r="A54">
        <v>48</v>
      </c>
      <c r="B54">
        <v>1</v>
      </c>
      <c r="C54" t="str">
        <f t="shared" si="1"/>
        <v>1</v>
      </c>
    </row>
    <row r="56" spans="1:4" x14ac:dyDescent="0.25">
      <c r="A56" t="s">
        <v>254</v>
      </c>
      <c r="B56" t="str">
        <f>D7</f>
        <v>110011111000001010101010100101011010100010100111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11001111</v>
      </c>
      <c r="C59" s="7" t="str">
        <f t="shared" ref="C59:C64" si="2">BIN2HEX(B59,2)</f>
        <v>CF</v>
      </c>
    </row>
    <row r="60" spans="1:4" x14ac:dyDescent="0.25">
      <c r="A60" s="7">
        <v>2</v>
      </c>
      <c r="B60" s="7" t="str">
        <f t="shared" ref="B60:B64" si="3">MID($B$56,(A60-1)*8+1,8)</f>
        <v>10000010</v>
      </c>
      <c r="C60" s="7" t="str">
        <f t="shared" si="2"/>
        <v>82</v>
      </c>
    </row>
    <row r="61" spans="1:4" x14ac:dyDescent="0.25">
      <c r="A61" s="7">
        <v>3</v>
      </c>
      <c r="B61" s="7" t="str">
        <f t="shared" si="3"/>
        <v>10101010</v>
      </c>
      <c r="C61" s="7" t="str">
        <f t="shared" si="2"/>
        <v>AA</v>
      </c>
    </row>
    <row r="62" spans="1:4" x14ac:dyDescent="0.25">
      <c r="A62" s="7">
        <v>4</v>
      </c>
      <c r="B62" s="7" t="str">
        <f t="shared" si="3"/>
        <v>10010101</v>
      </c>
      <c r="C62" s="7" t="str">
        <f t="shared" si="2"/>
        <v>95</v>
      </c>
    </row>
    <row r="63" spans="1:4" x14ac:dyDescent="0.25">
      <c r="A63" s="7">
        <v>5</v>
      </c>
      <c r="B63" s="7" t="str">
        <f t="shared" si="3"/>
        <v>10101000</v>
      </c>
      <c r="C63" s="7" t="str">
        <f t="shared" si="2"/>
        <v>A8</v>
      </c>
    </row>
    <row r="64" spans="1:4" x14ac:dyDescent="0.25">
      <c r="A64" s="7">
        <v>6</v>
      </c>
      <c r="B64" s="7" t="str">
        <f t="shared" si="3"/>
        <v>10100111</v>
      </c>
      <c r="C64" s="7" t="str">
        <f t="shared" si="2"/>
        <v>A7</v>
      </c>
    </row>
    <row r="65" spans="1:10" x14ac:dyDescent="0.25">
      <c r="A65" t="s">
        <v>253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01111100</v>
      </c>
      <c r="C68" s="7" t="str">
        <f>BIN2HEX(B68,2)</f>
        <v>7C</v>
      </c>
      <c r="D68">
        <f>BIN2DEC(B68)</f>
        <v>124</v>
      </c>
      <c r="G68" s="7">
        <v>1</v>
      </c>
      <c r="H68" s="7" t="str">
        <f>MID($B$56,(G68-1)*8+1,8)</f>
        <v>11001111</v>
      </c>
      <c r="I68" s="7" t="str">
        <f>BIN2HEX(H68,2)</f>
        <v>CF</v>
      </c>
      <c r="J68">
        <f>BIN2DEC(H68)</f>
        <v>207</v>
      </c>
    </row>
    <row r="69" spans="1:10" x14ac:dyDescent="0.25">
      <c r="A69" s="7">
        <v>2</v>
      </c>
      <c r="B69" s="7" t="str">
        <f t="shared" ref="B69:B73" si="4">MID($D$1,(A69-1)*8+1,8)</f>
        <v>11101100</v>
      </c>
      <c r="C69" s="7" t="str">
        <f t="shared" ref="C69:C73" si="5">BIN2HEX(B69,2)</f>
        <v>EC</v>
      </c>
      <c r="D69">
        <f t="shared" ref="D69:D73" si="6">BIN2DEC(B69)</f>
        <v>236</v>
      </c>
      <c r="G69" s="7">
        <v>2</v>
      </c>
      <c r="H69" s="7" t="str">
        <f t="shared" ref="H69:H73" si="7">MID($B$56,(G69-1)*8+1,8)</f>
        <v>10000010</v>
      </c>
      <c r="I69" s="7" t="str">
        <f t="shared" ref="I69:I73" si="8">BIN2HEX(H69,2)</f>
        <v>82</v>
      </c>
      <c r="J69">
        <f t="shared" ref="J69:J73" si="9">BIN2DEC(H69)</f>
        <v>130</v>
      </c>
    </row>
    <row r="70" spans="1:10" x14ac:dyDescent="0.25">
      <c r="A70" s="7">
        <v>3</v>
      </c>
      <c r="B70" s="7" t="str">
        <f t="shared" si="4"/>
        <v>00000111</v>
      </c>
      <c r="C70" s="7" t="str">
        <f t="shared" si="5"/>
        <v>07</v>
      </c>
      <c r="D70">
        <f t="shared" si="6"/>
        <v>7</v>
      </c>
      <c r="G70" s="7">
        <v>3</v>
      </c>
      <c r="H70" s="7" t="str">
        <f t="shared" si="7"/>
        <v>10101010</v>
      </c>
      <c r="I70" s="7" t="str">
        <f t="shared" si="8"/>
        <v>AA</v>
      </c>
      <c r="J70">
        <f t="shared" si="9"/>
        <v>170</v>
      </c>
    </row>
    <row r="71" spans="1:10" x14ac:dyDescent="0.25">
      <c r="A71" s="7">
        <v>4</v>
      </c>
      <c r="B71" s="7" t="str">
        <f t="shared" si="4"/>
        <v>00011111</v>
      </c>
      <c r="C71" s="7" t="str">
        <f t="shared" si="5"/>
        <v>1F</v>
      </c>
      <c r="D71">
        <f t="shared" si="6"/>
        <v>31</v>
      </c>
      <c r="G71" s="7">
        <v>4</v>
      </c>
      <c r="H71" s="7" t="str">
        <f t="shared" si="7"/>
        <v>10010101</v>
      </c>
      <c r="I71" s="7" t="str">
        <f t="shared" si="8"/>
        <v>95</v>
      </c>
      <c r="J71">
        <f t="shared" si="9"/>
        <v>149</v>
      </c>
    </row>
    <row r="72" spans="1:10" x14ac:dyDescent="0.25">
      <c r="A72" s="7">
        <v>5</v>
      </c>
      <c r="B72" s="7" t="str">
        <f t="shared" si="4"/>
        <v>11100110</v>
      </c>
      <c r="C72" s="7" t="str">
        <f t="shared" si="5"/>
        <v>E6</v>
      </c>
      <c r="D72">
        <f t="shared" si="6"/>
        <v>230</v>
      </c>
      <c r="G72" s="7">
        <v>5</v>
      </c>
      <c r="H72" s="7" t="str">
        <f t="shared" si="7"/>
        <v>10101000</v>
      </c>
      <c r="I72" s="7" t="str">
        <f t="shared" si="8"/>
        <v>A8</v>
      </c>
      <c r="J72">
        <f t="shared" si="9"/>
        <v>168</v>
      </c>
    </row>
    <row r="73" spans="1:10" x14ac:dyDescent="0.25">
      <c r="A73" s="7">
        <v>6</v>
      </c>
      <c r="B73" s="7" t="str">
        <f t="shared" si="4"/>
        <v>11000010</v>
      </c>
      <c r="C73" s="7" t="str">
        <f t="shared" si="5"/>
        <v>C2</v>
      </c>
      <c r="D73">
        <f t="shared" si="6"/>
        <v>194</v>
      </c>
      <c r="G73" s="7">
        <v>6</v>
      </c>
      <c r="H73" s="7" t="str">
        <f t="shared" si="7"/>
        <v>10100111</v>
      </c>
      <c r="I73" s="7" t="str">
        <f t="shared" si="8"/>
        <v>A7</v>
      </c>
      <c r="J73">
        <f t="shared" si="9"/>
        <v>167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179</v>
      </c>
      <c r="C76" s="10" t="str">
        <f>DEC2BIN(B76,8)</f>
        <v>10110011</v>
      </c>
      <c r="D76" s="10" t="str">
        <f>DEC2HEX(B76,2)</f>
        <v>B3</v>
      </c>
    </row>
    <row r="77" spans="1:10" x14ac:dyDescent="0.25">
      <c r="A77" s="11">
        <v>2</v>
      </c>
      <c r="B77" s="10">
        <f t="shared" ref="B77:B81" si="10">_xlfn.BITXOR(D69,J69)</f>
        <v>110</v>
      </c>
      <c r="C77" s="10" t="str">
        <f t="shared" ref="C77:C81" si="11">DEC2BIN(B77,8)</f>
        <v>01101110</v>
      </c>
      <c r="D77" s="10" t="str">
        <f t="shared" ref="D77:D81" si="12">DEC2HEX(B77,2)</f>
        <v>6E</v>
      </c>
    </row>
    <row r="78" spans="1:10" x14ac:dyDescent="0.25">
      <c r="A78" s="11">
        <v>3</v>
      </c>
      <c r="B78" s="10">
        <f t="shared" si="10"/>
        <v>173</v>
      </c>
      <c r="C78" s="10" t="str">
        <f t="shared" si="11"/>
        <v>10101101</v>
      </c>
      <c r="D78" s="10" t="str">
        <f t="shared" si="12"/>
        <v>AD</v>
      </c>
    </row>
    <row r="79" spans="1:10" x14ac:dyDescent="0.25">
      <c r="A79" s="11">
        <v>4</v>
      </c>
      <c r="B79" s="10">
        <f t="shared" si="10"/>
        <v>138</v>
      </c>
      <c r="C79" s="10" t="str">
        <f t="shared" si="11"/>
        <v>10001010</v>
      </c>
      <c r="D79" s="10" t="str">
        <f t="shared" si="12"/>
        <v>8A</v>
      </c>
    </row>
    <row r="80" spans="1:10" x14ac:dyDescent="0.25">
      <c r="A80" s="11">
        <v>5</v>
      </c>
      <c r="B80" s="10">
        <f t="shared" si="10"/>
        <v>78</v>
      </c>
      <c r="C80" s="10" t="str">
        <f t="shared" si="11"/>
        <v>01001110</v>
      </c>
      <c r="D80" s="10" t="str">
        <f t="shared" si="12"/>
        <v>4E</v>
      </c>
    </row>
    <row r="81" spans="1:10" x14ac:dyDescent="0.25">
      <c r="A81" s="11">
        <v>6</v>
      </c>
      <c r="B81" s="10">
        <f t="shared" si="10"/>
        <v>101</v>
      </c>
      <c r="C81" s="10" t="str">
        <f t="shared" si="11"/>
        <v>01100101</v>
      </c>
      <c r="D81" s="10" t="str">
        <f t="shared" si="12"/>
        <v>65</v>
      </c>
    </row>
    <row r="83" spans="1:10" ht="21" x14ac:dyDescent="0.35">
      <c r="B83" t="s">
        <v>252</v>
      </c>
      <c r="D83" s="8" t="str">
        <f>C76&amp;C77&amp;C78&amp;C79&amp;C80&amp;C81</f>
        <v>101100110110111010101101100010100100111001100101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101100</v>
      </c>
      <c r="C86" s="10" t="str">
        <f>LEFT(B86,1)&amp;RIGHT(B86,1)</f>
        <v>10</v>
      </c>
      <c r="D86" s="10" t="str">
        <f>MID(B86,2,4)</f>
        <v>0110</v>
      </c>
      <c r="E86" s="10" t="str">
        <f>C86&amp;D86</f>
        <v>100110</v>
      </c>
      <c r="F86" s="10">
        <f>BIN2DEC(E86)</f>
        <v>38</v>
      </c>
      <c r="G86" s="10"/>
      <c r="H86" s="10">
        <f>VLOOKUP(F86,$A$95:$I$158,2,TRUE)</f>
        <v>2</v>
      </c>
      <c r="I86" s="10" t="str">
        <f>DEC2BIN(H86,4)</f>
        <v>0010</v>
      </c>
      <c r="J86" t="str">
        <f t="shared" ref="J86:J90" si="13">I86&amp;J87</f>
        <v>00100110101011010010111111101110</v>
      </c>
    </row>
    <row r="87" spans="1:10" x14ac:dyDescent="0.25">
      <c r="A87" s="10">
        <v>2</v>
      </c>
      <c r="B87" s="10" t="str">
        <f t="shared" ref="B87:B93" si="14">MID($D$83,(A87-1)*6+1,6)</f>
        <v>110110</v>
      </c>
      <c r="C87" s="10" t="str">
        <f t="shared" ref="C87:C93" si="15">LEFT(B87,1)&amp;RIGHT(B87,1)</f>
        <v>10</v>
      </c>
      <c r="D87" s="10" t="str">
        <f t="shared" ref="D87:D93" si="16">MID(B87,2,4)</f>
        <v>1011</v>
      </c>
      <c r="E87" s="10" t="str">
        <f t="shared" ref="E87:E93" si="17">C87&amp;D87</f>
        <v>101011</v>
      </c>
      <c r="F87" s="10">
        <f t="shared" ref="F87:F93" si="18">BIN2DEC(E87)</f>
        <v>43</v>
      </c>
      <c r="G87" s="10"/>
      <c r="H87" s="10">
        <f>VLOOKUP(F87,$A$95:$I$158,3,TRUE)</f>
        <v>6</v>
      </c>
      <c r="I87" s="10" t="str">
        <f t="shared" ref="I87:I93" si="19">DEC2BIN(H87,4)</f>
        <v>0110</v>
      </c>
      <c r="J87" t="str">
        <f t="shared" si="13"/>
        <v>0110101011010010111111101110</v>
      </c>
    </row>
    <row r="88" spans="1:10" x14ac:dyDescent="0.25">
      <c r="A88" s="10">
        <v>3</v>
      </c>
      <c r="B88" s="10" t="str">
        <f t="shared" si="14"/>
        <v>111010</v>
      </c>
      <c r="C88" s="10" t="str">
        <f t="shared" si="15"/>
        <v>10</v>
      </c>
      <c r="D88" s="10" t="str">
        <f t="shared" si="16"/>
        <v>1101</v>
      </c>
      <c r="E88" s="10" t="str">
        <f t="shared" si="17"/>
        <v>101101</v>
      </c>
      <c r="F88" s="10">
        <f t="shared" si="18"/>
        <v>45</v>
      </c>
      <c r="G88" s="10"/>
      <c r="H88" s="10">
        <f>VLOOKUP(F88,$A$95:$I$158,4,TRUE)</f>
        <v>10</v>
      </c>
      <c r="I88" s="10" t="str">
        <f t="shared" si="19"/>
        <v>1010</v>
      </c>
      <c r="J88" t="str">
        <f t="shared" si="13"/>
        <v>101011010010111111101110</v>
      </c>
    </row>
    <row r="89" spans="1:10" x14ac:dyDescent="0.25">
      <c r="A89" s="10">
        <v>4</v>
      </c>
      <c r="B89" s="10" t="str">
        <f t="shared" si="14"/>
        <v>101101</v>
      </c>
      <c r="C89" s="10" t="str">
        <f t="shared" si="15"/>
        <v>11</v>
      </c>
      <c r="D89" s="10" t="str">
        <f t="shared" si="16"/>
        <v>0110</v>
      </c>
      <c r="E89" s="10" t="str">
        <f t="shared" si="17"/>
        <v>110110</v>
      </c>
      <c r="F89" s="10">
        <f t="shared" si="18"/>
        <v>54</v>
      </c>
      <c r="G89" s="10"/>
      <c r="H89" s="10">
        <f>VLOOKUP(F89,$A$95:$I$158,5,TRUE)</f>
        <v>13</v>
      </c>
      <c r="I89" s="10" t="str">
        <f t="shared" si="19"/>
        <v>1101</v>
      </c>
      <c r="J89" t="str">
        <f t="shared" si="13"/>
        <v>11010010111111101110</v>
      </c>
    </row>
    <row r="90" spans="1:10" x14ac:dyDescent="0.25">
      <c r="A90" s="10">
        <v>5</v>
      </c>
      <c r="B90" s="10" t="str">
        <f t="shared" si="14"/>
        <v>100010</v>
      </c>
      <c r="C90" s="10" t="str">
        <f t="shared" si="15"/>
        <v>10</v>
      </c>
      <c r="D90" s="10" t="str">
        <f t="shared" si="16"/>
        <v>0001</v>
      </c>
      <c r="E90" s="10" t="str">
        <f t="shared" si="17"/>
        <v>100001</v>
      </c>
      <c r="F90" s="10">
        <f t="shared" si="18"/>
        <v>33</v>
      </c>
      <c r="G90" s="10"/>
      <c r="H90" s="10">
        <f>VLOOKUP(F90,$A$95:$I$158,6,TRUE)</f>
        <v>2</v>
      </c>
      <c r="I90" s="10" t="str">
        <f t="shared" si="19"/>
        <v>0010</v>
      </c>
      <c r="J90" t="str">
        <f t="shared" si="13"/>
        <v>0010111111101110</v>
      </c>
    </row>
    <row r="91" spans="1:10" x14ac:dyDescent="0.25">
      <c r="A91" s="10">
        <v>6</v>
      </c>
      <c r="B91" s="10" t="str">
        <f t="shared" si="14"/>
        <v>100100</v>
      </c>
      <c r="C91" s="10" t="str">
        <f t="shared" si="15"/>
        <v>10</v>
      </c>
      <c r="D91" s="10" t="str">
        <f t="shared" si="16"/>
        <v>0010</v>
      </c>
      <c r="E91" s="10" t="str">
        <f t="shared" si="17"/>
        <v>100010</v>
      </c>
      <c r="F91" s="10">
        <f t="shared" si="18"/>
        <v>34</v>
      </c>
      <c r="G91" s="10"/>
      <c r="H91" s="10">
        <f>VLOOKUP(F91,$A$95:$I$158,7,TRUE)</f>
        <v>15</v>
      </c>
      <c r="I91" s="10" t="str">
        <f t="shared" si="19"/>
        <v>1111</v>
      </c>
      <c r="J91" t="str">
        <f>I91&amp;J92</f>
        <v>111111101110</v>
      </c>
    </row>
    <row r="92" spans="1:10" x14ac:dyDescent="0.25">
      <c r="A92" s="10">
        <v>7</v>
      </c>
      <c r="B92" s="10" t="str">
        <f t="shared" si="14"/>
        <v>111001</v>
      </c>
      <c r="C92" s="10" t="str">
        <f t="shared" si="15"/>
        <v>11</v>
      </c>
      <c r="D92" s="10" t="str">
        <f t="shared" si="16"/>
        <v>1100</v>
      </c>
      <c r="E92" s="10" t="str">
        <f t="shared" si="17"/>
        <v>111100</v>
      </c>
      <c r="F92" s="10">
        <f t="shared" si="18"/>
        <v>60</v>
      </c>
      <c r="G92" s="10"/>
      <c r="H92" s="10">
        <f>VLOOKUP(F92,$A$95:$I$158,8,TRUE)</f>
        <v>14</v>
      </c>
      <c r="I92" s="10" t="str">
        <f t="shared" si="19"/>
        <v>1110</v>
      </c>
      <c r="J92" t="str">
        <f>I92&amp;I93</f>
        <v>11101110</v>
      </c>
    </row>
    <row r="93" spans="1:10" x14ac:dyDescent="0.25">
      <c r="A93" s="10">
        <v>8</v>
      </c>
      <c r="B93" s="10" t="str">
        <f t="shared" si="14"/>
        <v>100101</v>
      </c>
      <c r="C93" s="10" t="str">
        <f t="shared" si="15"/>
        <v>11</v>
      </c>
      <c r="D93" s="10" t="str">
        <f t="shared" si="16"/>
        <v>0010</v>
      </c>
      <c r="E93" s="10" t="str">
        <f t="shared" si="17"/>
        <v>110010</v>
      </c>
      <c r="F93" s="10">
        <f t="shared" si="18"/>
        <v>50</v>
      </c>
      <c r="G93" s="10"/>
      <c r="H93" s="10">
        <f>VLOOKUP(F93,$A$95:$I$158,9,TRUE)</f>
        <v>14</v>
      </c>
      <c r="I93" s="10" t="str">
        <f t="shared" si="19"/>
        <v>1110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00100110101011010010111111101110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11011000001100100011011111111101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1011000001100100011011111111101</v>
      </c>
    </row>
    <row r="167" spans="1:6" x14ac:dyDescent="0.25">
      <c r="A167">
        <v>3</v>
      </c>
      <c r="B167">
        <v>20</v>
      </c>
      <c r="C167" t="str">
        <f t="shared" si="21"/>
        <v>0</v>
      </c>
      <c r="D167" t="str">
        <f t="shared" si="20"/>
        <v>011000001100100011011111111101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11000001100100011011111111101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1000001100100011011111111101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000001100100011011111111101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00001100100011011111111101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0001100100011011111111101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001100100011011111111101</v>
      </c>
    </row>
    <row r="174" spans="1:6" x14ac:dyDescent="0.25">
      <c r="A174">
        <v>10</v>
      </c>
      <c r="B174">
        <v>15</v>
      </c>
      <c r="C174" t="str">
        <f t="shared" si="21"/>
        <v>0</v>
      </c>
      <c r="D174" t="str">
        <f t="shared" si="20"/>
        <v>01100100011011111111101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1100100011011111111101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100100011011111111101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00100011011111111101</v>
      </c>
    </row>
    <row r="178" spans="1:4" x14ac:dyDescent="0.25">
      <c r="A178">
        <v>14</v>
      </c>
      <c r="B178">
        <v>18</v>
      </c>
      <c r="C178" t="str">
        <f t="shared" si="21"/>
        <v>0</v>
      </c>
      <c r="D178" t="str">
        <f t="shared" si="20"/>
        <v>0100011011111111101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100011011111111101</v>
      </c>
    </row>
    <row r="180" spans="1:4" x14ac:dyDescent="0.25">
      <c r="A180">
        <v>16</v>
      </c>
      <c r="B180">
        <v>10</v>
      </c>
      <c r="C180" t="str">
        <f t="shared" si="21"/>
        <v>0</v>
      </c>
      <c r="D180" t="str">
        <f t="shared" si="20"/>
        <v>00011011111111101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0011011111111101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011011111111101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11011111111101</v>
      </c>
    </row>
    <row r="184" spans="1:4" x14ac:dyDescent="0.25">
      <c r="A184">
        <v>20</v>
      </c>
      <c r="B184">
        <v>14</v>
      </c>
      <c r="C184" t="str">
        <f t="shared" si="21"/>
        <v>1</v>
      </c>
      <c r="D184" t="str">
        <f t="shared" si="20"/>
        <v>1011111111101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011111111101</v>
      </c>
    </row>
    <row r="186" spans="1:4" x14ac:dyDescent="0.25">
      <c r="A186">
        <v>22</v>
      </c>
      <c r="B186">
        <v>27</v>
      </c>
      <c r="C186" t="str">
        <f t="shared" si="21"/>
        <v>1</v>
      </c>
      <c r="D186" t="str">
        <f t="shared" si="20"/>
        <v>11111111101</v>
      </c>
    </row>
    <row r="187" spans="1:4" x14ac:dyDescent="0.25">
      <c r="A187">
        <v>23</v>
      </c>
      <c r="B187">
        <v>3</v>
      </c>
      <c r="C187" t="str">
        <f t="shared" si="21"/>
        <v>1</v>
      </c>
      <c r="D187" t="str">
        <f t="shared" si="20"/>
        <v>1111111101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111111101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11111101</v>
      </c>
    </row>
    <row r="190" spans="1:4" x14ac:dyDescent="0.25">
      <c r="A190">
        <v>26</v>
      </c>
      <c r="B190">
        <v>13</v>
      </c>
      <c r="C190" t="str">
        <f t="shared" si="21"/>
        <v>1</v>
      </c>
      <c r="D190" t="str">
        <f t="shared" si="20"/>
        <v>1111101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111101</v>
      </c>
    </row>
    <row r="192" spans="1:4" x14ac:dyDescent="0.25">
      <c r="A192">
        <v>28</v>
      </c>
      <c r="B192">
        <v>6</v>
      </c>
      <c r="C192" t="str">
        <f t="shared" si="21"/>
        <v>1</v>
      </c>
      <c r="D192" t="str">
        <f t="shared" si="20"/>
        <v>11101</v>
      </c>
    </row>
    <row r="193" spans="1:11" x14ac:dyDescent="0.25">
      <c r="A193">
        <v>29</v>
      </c>
      <c r="B193">
        <v>22</v>
      </c>
      <c r="C193" t="str">
        <f t="shared" si="21"/>
        <v>1</v>
      </c>
      <c r="D193" t="str">
        <f t="shared" si="20"/>
        <v>1101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101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01</v>
      </c>
    </row>
    <row r="196" spans="1:11" x14ac:dyDescent="0.25">
      <c r="A196">
        <v>32</v>
      </c>
      <c r="B196">
        <v>25</v>
      </c>
      <c r="C196" t="str">
        <f t="shared" si="21"/>
        <v>1</v>
      </c>
    </row>
    <row r="198" spans="1:11" ht="18.75" x14ac:dyDescent="0.3">
      <c r="A198" t="s">
        <v>251</v>
      </c>
      <c r="B198" s="16" t="str">
        <f>D165</f>
        <v>11011000001100100011011111111101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11011000</v>
      </c>
      <c r="J199" s="7" t="str">
        <f>BIN2HEX(I199,2)</f>
        <v>D8</v>
      </c>
      <c r="K199">
        <f>BIN2DEC(I199)</f>
        <v>216</v>
      </c>
    </row>
    <row r="200" spans="1:11" x14ac:dyDescent="0.25">
      <c r="H200" s="7">
        <v>2</v>
      </c>
      <c r="I200" s="7" t="str">
        <f t="shared" ref="I200:I202" si="22">MID($B$198,(H200-1)*8+1,8)</f>
        <v>00110010</v>
      </c>
      <c r="J200" s="7" t="str">
        <f t="shared" ref="J200:J202" si="23">BIN2HEX(I200,2)</f>
        <v>32</v>
      </c>
      <c r="K200">
        <f t="shared" ref="K200:K202" si="24">BIN2DEC(I200)</f>
        <v>50</v>
      </c>
    </row>
    <row r="201" spans="1:11" x14ac:dyDescent="0.25">
      <c r="H201" s="7">
        <v>3</v>
      </c>
      <c r="I201" s="7" t="str">
        <f t="shared" si="22"/>
        <v>00110111</v>
      </c>
      <c r="J201" s="7" t="str">
        <f t="shared" si="23"/>
        <v>37</v>
      </c>
      <c r="K201">
        <f t="shared" si="24"/>
        <v>55</v>
      </c>
    </row>
    <row r="202" spans="1:11" x14ac:dyDescent="0.25">
      <c r="H202" s="7">
        <v>4</v>
      </c>
      <c r="I202" s="7" t="str">
        <f t="shared" si="22"/>
        <v>11111101</v>
      </c>
      <c r="J202" s="7" t="str">
        <f t="shared" si="23"/>
        <v>FD</v>
      </c>
      <c r="K202">
        <f t="shared" si="24"/>
        <v>253</v>
      </c>
    </row>
    <row r="205" spans="1:11" ht="18.75" x14ac:dyDescent="0.3">
      <c r="A205" t="s">
        <v>93</v>
      </c>
      <c r="B205" s="16" t="str">
        <f>B4</f>
        <v>11010101000101001000101100001000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11010101</v>
      </c>
      <c r="J206" s="7" t="str">
        <f>BIN2HEX(I206,2)</f>
        <v>D5</v>
      </c>
      <c r="K206">
        <f>BIN2DEC(I206)</f>
        <v>213</v>
      </c>
    </row>
    <row r="207" spans="1:11" x14ac:dyDescent="0.25">
      <c r="H207" s="7">
        <v>2</v>
      </c>
      <c r="I207" s="7" t="str">
        <f t="shared" ref="I207:I209" si="25">MID($B$205,(H207-1)*8+1,8)</f>
        <v>00010100</v>
      </c>
      <c r="J207" s="7" t="str">
        <f t="shared" ref="J207:J209" si="26">BIN2HEX(I207,2)</f>
        <v>14</v>
      </c>
      <c r="K207">
        <f t="shared" ref="K207:K209" si="27">BIN2DEC(I207)</f>
        <v>20</v>
      </c>
    </row>
    <row r="208" spans="1:11" x14ac:dyDescent="0.25">
      <c r="H208" s="7">
        <v>3</v>
      </c>
      <c r="I208" s="7" t="str">
        <f t="shared" si="25"/>
        <v>10001011</v>
      </c>
      <c r="J208" s="7" t="str">
        <f t="shared" si="26"/>
        <v>8B</v>
      </c>
      <c r="K208">
        <f t="shared" si="27"/>
        <v>139</v>
      </c>
    </row>
    <row r="209" spans="1:11" x14ac:dyDescent="0.25">
      <c r="H209" s="7">
        <v>4</v>
      </c>
      <c r="I209" s="7" t="str">
        <f t="shared" si="25"/>
        <v>00001000</v>
      </c>
      <c r="J209" s="7" t="str">
        <f t="shared" si="26"/>
        <v>08</v>
      </c>
      <c r="K209">
        <f t="shared" si="27"/>
        <v>8</v>
      </c>
    </row>
    <row r="211" spans="1:11" x14ac:dyDescent="0.25">
      <c r="A211" t="s">
        <v>250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13</v>
      </c>
      <c r="D213" s="7" t="str">
        <f>DEC2HEX(C213)</f>
        <v>D</v>
      </c>
      <c r="E213" s="7" t="str">
        <f>DEC2BIN(C213,8)</f>
        <v>00001101</v>
      </c>
    </row>
    <row r="214" spans="1:11" x14ac:dyDescent="0.25">
      <c r="B214" s="7">
        <v>2</v>
      </c>
      <c r="C214" s="7">
        <f t="shared" ref="C214:C216" si="28">_xlfn.BITXOR(K200,K207)</f>
        <v>38</v>
      </c>
      <c r="D214" s="7" t="str">
        <f t="shared" ref="D214:D216" si="29">DEC2HEX(C214)</f>
        <v>26</v>
      </c>
      <c r="E214" s="7" t="str">
        <f t="shared" ref="E214:E216" si="30">DEC2BIN(C214,8)</f>
        <v>00100110</v>
      </c>
    </row>
    <row r="215" spans="1:11" x14ac:dyDescent="0.25">
      <c r="B215" s="7">
        <v>3</v>
      </c>
      <c r="C215" s="7">
        <f t="shared" si="28"/>
        <v>188</v>
      </c>
      <c r="D215" s="7" t="str">
        <f t="shared" si="29"/>
        <v>BC</v>
      </c>
      <c r="E215" s="7" t="str">
        <f t="shared" si="30"/>
        <v>10111100</v>
      </c>
    </row>
    <row r="216" spans="1:11" x14ac:dyDescent="0.25">
      <c r="B216" s="7">
        <v>4</v>
      </c>
      <c r="C216" s="7">
        <f t="shared" si="28"/>
        <v>245</v>
      </c>
      <c r="D216" s="7" t="str">
        <f t="shared" si="29"/>
        <v>F5</v>
      </c>
      <c r="E216" s="7" t="str">
        <f t="shared" si="30"/>
        <v>11110101</v>
      </c>
    </row>
    <row r="219" spans="1:11" ht="21" x14ac:dyDescent="0.35">
      <c r="A219" t="s">
        <v>94</v>
      </c>
      <c r="B219" s="8" t="str">
        <f>E213&amp;E214&amp;E215&amp;E216</f>
        <v>00001101001001101011110011110101</v>
      </c>
      <c r="C219" s="8"/>
      <c r="D219" s="8"/>
      <c r="E219" s="8"/>
    </row>
    <row r="220" spans="1:11" x14ac:dyDescent="0.25">
      <c r="A220" t="s">
        <v>95</v>
      </c>
    </row>
    <row r="221" spans="1:11" ht="21" x14ac:dyDescent="0.35">
      <c r="A221" t="s">
        <v>96</v>
      </c>
      <c r="B221" s="8" t="str">
        <f>B2</f>
        <v>10011100010101010010110100010011</v>
      </c>
      <c r="C221" s="8"/>
      <c r="D221" s="8"/>
      <c r="E221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CA2A-F2AE-4E7E-A6B1-275C5ECCD018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91</v>
      </c>
      <c r="B1" s="22" t="s">
        <v>113</v>
      </c>
      <c r="I1" t="s">
        <v>92</v>
      </c>
      <c r="J1" s="22" t="s">
        <v>115</v>
      </c>
    </row>
    <row r="2" spans="1:16" ht="18.75" x14ac:dyDescent="0.3">
      <c r="A2" t="s">
        <v>97</v>
      </c>
      <c r="B2" s="22" t="s">
        <v>128</v>
      </c>
      <c r="C2" s="22"/>
      <c r="I2" t="s">
        <v>180</v>
      </c>
      <c r="J2" s="22" t="s">
        <v>130</v>
      </c>
      <c r="K2" s="22"/>
    </row>
    <row r="4" spans="1:16" x14ac:dyDescent="0.25">
      <c r="A4" t="s">
        <v>256</v>
      </c>
      <c r="D4" s="1" t="str">
        <f>D7</f>
        <v>011000111010010100011110001111001100010101000101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257</v>
      </c>
      <c r="C5" s="6" t="s">
        <v>131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01100011</v>
      </c>
      <c r="L5" s="7" t="str">
        <f>BIN2HEX(K5,2)</f>
        <v>63</v>
      </c>
      <c r="O5" s="20"/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10100101</v>
      </c>
      <c r="L6" s="7" t="str">
        <f t="shared" ref="L6:L10" si="1">BIN2HEX(K6,2)</f>
        <v>A5</v>
      </c>
      <c r="P6" s="20"/>
    </row>
    <row r="7" spans="1:16" x14ac:dyDescent="0.25">
      <c r="A7">
        <v>1</v>
      </c>
      <c r="B7">
        <v>14</v>
      </c>
      <c r="C7" t="str">
        <f t="shared" ref="C7:C54" si="2">MID($C$5,B7,1)</f>
        <v>0</v>
      </c>
      <c r="D7" t="str">
        <f t="shared" ref="D7:D51" si="3">C7&amp;D8</f>
        <v>011000111010010100011110001111001100010101000101</v>
      </c>
      <c r="J7" s="7">
        <v>3</v>
      </c>
      <c r="K7" s="7" t="str">
        <f t="shared" si="0"/>
        <v>00011110</v>
      </c>
      <c r="L7" s="7" t="str">
        <f t="shared" si="1"/>
        <v>1E</v>
      </c>
    </row>
    <row r="8" spans="1:16" x14ac:dyDescent="0.25">
      <c r="A8">
        <v>2</v>
      </c>
      <c r="B8">
        <v>17</v>
      </c>
      <c r="C8" t="str">
        <f t="shared" si="2"/>
        <v>1</v>
      </c>
      <c r="D8" t="str">
        <f t="shared" si="3"/>
        <v>11000111010010100011110001111001100010101000101</v>
      </c>
      <c r="J8" s="7">
        <v>4</v>
      </c>
      <c r="K8" s="7" t="str">
        <f t="shared" si="0"/>
        <v>00111100</v>
      </c>
      <c r="L8" s="7" t="str">
        <f t="shared" si="1"/>
        <v>3C</v>
      </c>
    </row>
    <row r="9" spans="1:16" x14ac:dyDescent="0.25">
      <c r="A9">
        <v>3</v>
      </c>
      <c r="B9">
        <v>11</v>
      </c>
      <c r="C9" t="str">
        <f t="shared" si="2"/>
        <v>1</v>
      </c>
      <c r="D9" t="str">
        <f t="shared" si="3"/>
        <v>1000111010010100011110001111001100010101000101</v>
      </c>
      <c r="J9" s="7">
        <v>5</v>
      </c>
      <c r="K9" s="7" t="str">
        <f t="shared" si="0"/>
        <v>11000101</v>
      </c>
      <c r="L9" s="7" t="str">
        <f t="shared" si="1"/>
        <v>C5</v>
      </c>
    </row>
    <row r="10" spans="1:16" x14ac:dyDescent="0.25">
      <c r="A10">
        <v>4</v>
      </c>
      <c r="B10">
        <v>24</v>
      </c>
      <c r="C10" t="str">
        <f t="shared" si="2"/>
        <v>0</v>
      </c>
      <c r="D10" t="str">
        <f t="shared" si="3"/>
        <v>000111010010100011110001111001100010101000101</v>
      </c>
      <c r="J10" s="7">
        <v>6</v>
      </c>
      <c r="K10" s="7" t="str">
        <f>MID($D$4,(J10-1)*8+1,8)</f>
        <v>01000101</v>
      </c>
      <c r="L10" s="7" t="str">
        <f t="shared" si="1"/>
        <v>45</v>
      </c>
    </row>
    <row r="11" spans="1:16" x14ac:dyDescent="0.25">
      <c r="A11">
        <v>5</v>
      </c>
      <c r="B11">
        <v>1</v>
      </c>
      <c r="C11" t="str">
        <f t="shared" si="2"/>
        <v>0</v>
      </c>
      <c r="D11" t="str">
        <f t="shared" si="3"/>
        <v>00111010010100011110001111001100010101000101</v>
      </c>
    </row>
    <row r="12" spans="1:16" x14ac:dyDescent="0.25">
      <c r="A12">
        <v>6</v>
      </c>
      <c r="B12">
        <v>5</v>
      </c>
      <c r="C12" t="str">
        <f t="shared" si="2"/>
        <v>0</v>
      </c>
      <c r="D12" t="str">
        <f t="shared" si="3"/>
        <v>0111010010100011110001111001100010101000101</v>
      </c>
    </row>
    <row r="13" spans="1:16" x14ac:dyDescent="0.25">
      <c r="A13">
        <v>7</v>
      </c>
      <c r="B13">
        <v>3</v>
      </c>
      <c r="C13" t="str">
        <f t="shared" si="2"/>
        <v>1</v>
      </c>
      <c r="D13" t="str">
        <f t="shared" si="3"/>
        <v>111010010100011110001111001100010101000101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11010010100011110001111001100010101000101</v>
      </c>
    </row>
    <row r="15" spans="1:16" x14ac:dyDescent="0.25">
      <c r="A15">
        <v>9</v>
      </c>
      <c r="B15">
        <v>15</v>
      </c>
      <c r="C15" t="str">
        <f t="shared" si="2"/>
        <v>1</v>
      </c>
      <c r="D15" t="str">
        <f t="shared" si="3"/>
        <v>1010010100011110001111001100010101000101</v>
      </c>
    </row>
    <row r="16" spans="1:16" x14ac:dyDescent="0.25">
      <c r="A16">
        <v>10</v>
      </c>
      <c r="B16">
        <v>6</v>
      </c>
      <c r="C16" t="str">
        <f t="shared" si="2"/>
        <v>0</v>
      </c>
      <c r="D16" t="str">
        <f t="shared" si="3"/>
        <v>010010100011110001111001100010101000101</v>
      </c>
    </row>
    <row r="17" spans="1:4" x14ac:dyDescent="0.25">
      <c r="A17">
        <v>11</v>
      </c>
      <c r="B17">
        <v>21</v>
      </c>
      <c r="C17" t="str">
        <f t="shared" si="2"/>
        <v>1</v>
      </c>
      <c r="D17" t="str">
        <f t="shared" si="3"/>
        <v>10010100011110001111001100010101000101</v>
      </c>
    </row>
    <row r="18" spans="1:4" x14ac:dyDescent="0.25">
      <c r="A18">
        <v>12</v>
      </c>
      <c r="B18">
        <v>10</v>
      </c>
      <c r="C18" t="str">
        <f t="shared" si="2"/>
        <v>0</v>
      </c>
      <c r="D18" t="str">
        <f t="shared" si="3"/>
        <v>0010100011110001111001100010101000101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010100011110001111001100010101000101</v>
      </c>
    </row>
    <row r="20" spans="1:4" x14ac:dyDescent="0.25">
      <c r="A20">
        <v>14</v>
      </c>
      <c r="B20">
        <v>19</v>
      </c>
      <c r="C20" t="str">
        <f t="shared" si="2"/>
        <v>1</v>
      </c>
      <c r="D20" t="str">
        <f t="shared" si="3"/>
        <v>10100011110001111001100010101000101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0100011110001111001100010101000101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100011110001111001100010101000101</v>
      </c>
    </row>
    <row r="23" spans="1:4" x14ac:dyDescent="0.25">
      <c r="A23">
        <v>17</v>
      </c>
      <c r="B23">
        <v>26</v>
      </c>
      <c r="C23" t="str">
        <f t="shared" si="2"/>
        <v>0</v>
      </c>
      <c r="D23" t="str">
        <f t="shared" si="3"/>
        <v>00011110001111001100010101000101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0011110001111001100010101000101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011110001111001100010101000101</v>
      </c>
    </row>
    <row r="26" spans="1:4" x14ac:dyDescent="0.25">
      <c r="A26">
        <v>20</v>
      </c>
      <c r="B26">
        <v>7</v>
      </c>
      <c r="C26" t="str">
        <f t="shared" si="2"/>
        <v>1</v>
      </c>
      <c r="D26" t="str">
        <f t="shared" si="3"/>
        <v>11110001111001100010101000101</v>
      </c>
    </row>
    <row r="27" spans="1:4" x14ac:dyDescent="0.25">
      <c r="A27">
        <v>21</v>
      </c>
      <c r="B27">
        <v>27</v>
      </c>
      <c r="C27" t="str">
        <f t="shared" si="2"/>
        <v>1</v>
      </c>
      <c r="D27" t="str">
        <f t="shared" si="3"/>
        <v>1110001111001100010101000101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110001111001100010101000101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10001111001100010101000101</v>
      </c>
    </row>
    <row r="30" spans="1:4" x14ac:dyDescent="0.25">
      <c r="A30">
        <v>24</v>
      </c>
      <c r="B30">
        <v>2</v>
      </c>
      <c r="C30" t="str">
        <f t="shared" si="2"/>
        <v>0</v>
      </c>
      <c r="D30" t="str">
        <f t="shared" si="3"/>
        <v>0001111001100010101000101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001111001100010101000101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01111001100010101000101</v>
      </c>
    </row>
    <row r="33" spans="1:4" x14ac:dyDescent="0.25">
      <c r="A33">
        <v>27</v>
      </c>
      <c r="B33">
        <v>31</v>
      </c>
      <c r="C33" t="str">
        <f t="shared" si="2"/>
        <v>1</v>
      </c>
      <c r="D33" t="str">
        <f t="shared" si="3"/>
        <v>1111001100010101000101</v>
      </c>
    </row>
    <row r="34" spans="1:4" x14ac:dyDescent="0.25">
      <c r="A34">
        <v>28</v>
      </c>
      <c r="B34">
        <v>37</v>
      </c>
      <c r="C34" t="str">
        <f t="shared" si="2"/>
        <v>1</v>
      </c>
      <c r="D34" t="str">
        <f t="shared" si="3"/>
        <v>111001100010101000101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11001100010101000101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1001100010101000101</v>
      </c>
    </row>
    <row r="37" spans="1:4" x14ac:dyDescent="0.25">
      <c r="A37">
        <v>31</v>
      </c>
      <c r="B37">
        <v>30</v>
      </c>
      <c r="C37" t="str">
        <f t="shared" si="2"/>
        <v>0</v>
      </c>
      <c r="D37" t="str">
        <f t="shared" si="3"/>
        <v>001100010101000101</v>
      </c>
    </row>
    <row r="38" spans="1:4" x14ac:dyDescent="0.25">
      <c r="A38">
        <v>32</v>
      </c>
      <c r="B38">
        <v>40</v>
      </c>
      <c r="C38" t="str">
        <f t="shared" si="2"/>
        <v>0</v>
      </c>
      <c r="D38" t="str">
        <f t="shared" si="3"/>
        <v>01100010101000101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1100010101000101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100010101000101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00010101000101</v>
      </c>
    </row>
    <row r="42" spans="1:4" x14ac:dyDescent="0.25">
      <c r="A42">
        <v>36</v>
      </c>
      <c r="B42">
        <v>48</v>
      </c>
      <c r="C42" t="str">
        <f t="shared" si="2"/>
        <v>0</v>
      </c>
      <c r="D42" t="str">
        <f t="shared" si="3"/>
        <v>0010101000101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010101000101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10101000101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0101000101</v>
      </c>
    </row>
    <row r="46" spans="1:4" x14ac:dyDescent="0.25">
      <c r="A46">
        <v>40</v>
      </c>
      <c r="B46">
        <v>56</v>
      </c>
      <c r="C46" t="str">
        <f t="shared" si="2"/>
        <v>1</v>
      </c>
      <c r="D46" t="str">
        <f t="shared" si="3"/>
        <v>101000101</v>
      </c>
    </row>
    <row r="47" spans="1:4" x14ac:dyDescent="0.25">
      <c r="A47">
        <v>41</v>
      </c>
      <c r="B47">
        <v>34</v>
      </c>
      <c r="C47" t="str">
        <f t="shared" si="2"/>
        <v>0</v>
      </c>
      <c r="D47" t="str">
        <f t="shared" si="3"/>
        <v>01000101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1000101</v>
      </c>
    </row>
    <row r="49" spans="1:4" x14ac:dyDescent="0.25">
      <c r="A49">
        <v>43</v>
      </c>
      <c r="B49">
        <v>46</v>
      </c>
      <c r="C49" t="str">
        <f t="shared" si="2"/>
        <v>0</v>
      </c>
      <c r="D49" t="str">
        <f t="shared" si="3"/>
        <v>000101</v>
      </c>
    </row>
    <row r="50" spans="1:4" x14ac:dyDescent="0.25">
      <c r="A50">
        <v>44</v>
      </c>
      <c r="B50">
        <v>42</v>
      </c>
      <c r="C50" t="str">
        <f t="shared" si="2"/>
        <v>0</v>
      </c>
      <c r="D50" t="str">
        <f t="shared" si="3"/>
        <v>00101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0101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4D83-2AEA-4100-802E-9E09D02F60B4}">
  <dimension ref="A1:K221"/>
  <sheetViews>
    <sheetView topLeftCell="A209" workbookViewId="0">
      <selection activeCell="A212" sqref="A212"/>
    </sheetView>
  </sheetViews>
  <sheetFormatPr defaultRowHeight="15" x14ac:dyDescent="0.25"/>
  <sheetData>
    <row r="1" spans="1:4" x14ac:dyDescent="0.25">
      <c r="A1" t="s">
        <v>256</v>
      </c>
      <c r="D1" t="s">
        <v>132</v>
      </c>
    </row>
    <row r="2" spans="1:4" x14ac:dyDescent="0.25">
      <c r="A2" t="s">
        <v>94</v>
      </c>
      <c r="B2" t="s">
        <v>220</v>
      </c>
    </row>
    <row r="3" spans="1:4" x14ac:dyDescent="0.25">
      <c r="A3" t="s">
        <v>95</v>
      </c>
    </row>
    <row r="4" spans="1:4" x14ac:dyDescent="0.25">
      <c r="A4" t="s">
        <v>96</v>
      </c>
      <c r="B4" t="s">
        <v>219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1</v>
      </c>
      <c r="D7" t="str">
        <f t="shared" ref="D7:D52" si="0">C7&amp;D8</f>
        <v>100001011010100100001101010111111001011110101010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00001011010100100001101010111111001011110101010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0001011010100100001101010111111001011110101010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001011010100100001101010111111001011110101010</v>
      </c>
    </row>
    <row r="11" spans="1:4" x14ac:dyDescent="0.25">
      <c r="A11">
        <v>5</v>
      </c>
      <c r="B11">
        <v>4</v>
      </c>
      <c r="C11" t="str">
        <f t="shared" si="1"/>
        <v>0</v>
      </c>
      <c r="D11" t="str">
        <f t="shared" si="0"/>
        <v>01011010100100001101010111111001011110101010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1011010100100001101010111111001011110101010</v>
      </c>
    </row>
    <row r="13" spans="1:4" x14ac:dyDescent="0.25">
      <c r="A13">
        <v>7</v>
      </c>
      <c r="B13">
        <v>4</v>
      </c>
      <c r="C13" t="str">
        <f t="shared" si="1"/>
        <v>0</v>
      </c>
      <c r="D13" t="str">
        <f t="shared" si="0"/>
        <v>011010100100001101010111111001011110101010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11010100100001101010111111001011110101010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1010100100001101010111111001011110101010</v>
      </c>
    </row>
    <row r="16" spans="1:4" x14ac:dyDescent="0.25">
      <c r="A16">
        <v>10</v>
      </c>
      <c r="B16">
        <v>7</v>
      </c>
      <c r="C16" t="str">
        <f t="shared" si="1"/>
        <v>0</v>
      </c>
      <c r="D16" t="str">
        <f t="shared" si="0"/>
        <v>010100100001101010111111001011110101010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10100100001101010111111001011110101010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0100100001101010111111001011110101010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100100001101010111111001011110101010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00100001101010111111001011110101010</v>
      </c>
    </row>
    <row r="21" spans="1:4" x14ac:dyDescent="0.25">
      <c r="A21">
        <v>15</v>
      </c>
      <c r="B21">
        <v>10</v>
      </c>
      <c r="C21" t="str">
        <f t="shared" si="1"/>
        <v>0</v>
      </c>
      <c r="D21" t="str">
        <f t="shared" si="0"/>
        <v>0100001101010111111001011110101010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100001101010111111001011110101010</v>
      </c>
    </row>
    <row r="23" spans="1:4" x14ac:dyDescent="0.25">
      <c r="A23">
        <v>17</v>
      </c>
      <c r="B23">
        <v>12</v>
      </c>
      <c r="C23" t="str">
        <f t="shared" si="1"/>
        <v>0</v>
      </c>
      <c r="D23" t="str">
        <f t="shared" si="0"/>
        <v>00001101010111111001011110101010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0001101010111111001011110101010</v>
      </c>
    </row>
    <row r="25" spans="1:4" x14ac:dyDescent="0.25">
      <c r="A25">
        <v>19</v>
      </c>
      <c r="B25">
        <v>12</v>
      </c>
      <c r="C25" t="str">
        <f t="shared" si="1"/>
        <v>0</v>
      </c>
      <c r="D25" t="str">
        <f t="shared" si="0"/>
        <v>001101010111111001011110101010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01101010111111001011110101010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1101010111111001011110101010</v>
      </c>
    </row>
    <row r="28" spans="1:4" x14ac:dyDescent="0.25">
      <c r="A28">
        <v>22</v>
      </c>
      <c r="B28">
        <v>15</v>
      </c>
      <c r="C28" t="str">
        <f t="shared" si="1"/>
        <v>1</v>
      </c>
      <c r="D28" t="str">
        <f t="shared" si="0"/>
        <v>101010111111001011110101010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01010111111001011110101010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1010111111001011110101010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010111111001011110101010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10111111001011110101010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0111111001011110101010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111111001011110101010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11111001011110101010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1111001011110101010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111001011110101010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11001011110101010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1001011110101010</v>
      </c>
    </row>
    <row r="40" spans="1:4" x14ac:dyDescent="0.25">
      <c r="A40">
        <v>34</v>
      </c>
      <c r="B40">
        <v>23</v>
      </c>
      <c r="C40" t="str">
        <f t="shared" si="1"/>
        <v>0</v>
      </c>
      <c r="D40" t="str">
        <f t="shared" si="0"/>
        <v>001011110101010</v>
      </c>
    </row>
    <row r="41" spans="1:4" x14ac:dyDescent="0.25">
      <c r="A41">
        <v>35</v>
      </c>
      <c r="B41">
        <v>24</v>
      </c>
      <c r="C41" t="str">
        <f t="shared" si="1"/>
        <v>0</v>
      </c>
      <c r="D41" t="str">
        <f t="shared" si="0"/>
        <v>01011110101010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1011110101010</v>
      </c>
    </row>
    <row r="43" spans="1:4" x14ac:dyDescent="0.25">
      <c r="A43">
        <v>37</v>
      </c>
      <c r="B43">
        <v>24</v>
      </c>
      <c r="C43" t="str">
        <f t="shared" si="1"/>
        <v>0</v>
      </c>
      <c r="D43" t="str">
        <f t="shared" si="0"/>
        <v>011110101010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11110101010</v>
      </c>
    </row>
    <row r="45" spans="1:4" x14ac:dyDescent="0.25">
      <c r="A45">
        <v>39</v>
      </c>
      <c r="B45">
        <v>26</v>
      </c>
      <c r="C45" t="str">
        <f t="shared" si="1"/>
        <v>1</v>
      </c>
      <c r="D45" t="str">
        <f t="shared" si="0"/>
        <v>1110101010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110101010</v>
      </c>
    </row>
    <row r="47" spans="1:4" x14ac:dyDescent="0.25">
      <c r="A47">
        <v>41</v>
      </c>
      <c r="B47">
        <v>28</v>
      </c>
      <c r="C47" t="str">
        <f t="shared" si="1"/>
        <v>1</v>
      </c>
      <c r="D47" t="str">
        <f t="shared" si="0"/>
        <v>10101010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0101010</v>
      </c>
    </row>
    <row r="49" spans="1:4" x14ac:dyDescent="0.25">
      <c r="A49">
        <v>43</v>
      </c>
      <c r="B49">
        <v>28</v>
      </c>
      <c r="C49" t="str">
        <f t="shared" si="1"/>
        <v>1</v>
      </c>
      <c r="D49" t="str">
        <f t="shared" si="0"/>
        <v>101010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01010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1010</v>
      </c>
    </row>
    <row r="52" spans="1:4" x14ac:dyDescent="0.25">
      <c r="A52">
        <v>46</v>
      </c>
      <c r="B52">
        <v>31</v>
      </c>
      <c r="C52" t="str">
        <f t="shared" si="1"/>
        <v>0</v>
      </c>
      <c r="D52" t="str">
        <f t="shared" si="0"/>
        <v>010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259</v>
      </c>
      <c r="B56" t="str">
        <f>D7</f>
        <v>100001011010100100001101010111111001011110101010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10000101</v>
      </c>
      <c r="C59" s="7" t="str">
        <f t="shared" ref="C59:C64" si="2">BIN2HEX(B59,2)</f>
        <v>85</v>
      </c>
    </row>
    <row r="60" spans="1:4" x14ac:dyDescent="0.25">
      <c r="A60" s="7">
        <v>2</v>
      </c>
      <c r="B60" s="7" t="str">
        <f t="shared" ref="B60:B64" si="3">MID($B$56,(A60-1)*8+1,8)</f>
        <v>10101001</v>
      </c>
      <c r="C60" s="7" t="str">
        <f t="shared" si="2"/>
        <v>A9</v>
      </c>
    </row>
    <row r="61" spans="1:4" x14ac:dyDescent="0.25">
      <c r="A61" s="7">
        <v>3</v>
      </c>
      <c r="B61" s="7" t="str">
        <f t="shared" si="3"/>
        <v>00001101</v>
      </c>
      <c r="C61" s="7" t="str">
        <f t="shared" si="2"/>
        <v>0D</v>
      </c>
    </row>
    <row r="62" spans="1:4" x14ac:dyDescent="0.25">
      <c r="A62" s="7">
        <v>4</v>
      </c>
      <c r="B62" s="7" t="str">
        <f t="shared" si="3"/>
        <v>01011111</v>
      </c>
      <c r="C62" s="7" t="str">
        <f t="shared" si="2"/>
        <v>5F</v>
      </c>
    </row>
    <row r="63" spans="1:4" x14ac:dyDescent="0.25">
      <c r="A63" s="7">
        <v>5</v>
      </c>
      <c r="B63" s="7" t="str">
        <f t="shared" si="3"/>
        <v>10010111</v>
      </c>
      <c r="C63" s="7" t="str">
        <f t="shared" si="2"/>
        <v>97</v>
      </c>
    </row>
    <row r="64" spans="1:4" x14ac:dyDescent="0.25">
      <c r="A64" s="7">
        <v>6</v>
      </c>
      <c r="B64" s="7" t="str">
        <f t="shared" si="3"/>
        <v>10101010</v>
      </c>
      <c r="C64" s="7" t="str">
        <f t="shared" si="2"/>
        <v>AA</v>
      </c>
    </row>
    <row r="65" spans="1:10" x14ac:dyDescent="0.25">
      <c r="A65" t="s">
        <v>260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01100011</v>
      </c>
      <c r="C68" s="7" t="str">
        <f>BIN2HEX(B68,2)</f>
        <v>63</v>
      </c>
      <c r="D68">
        <f>BIN2DEC(B68)</f>
        <v>99</v>
      </c>
      <c r="G68" s="7">
        <v>1</v>
      </c>
      <c r="H68" s="7" t="str">
        <f>MID($B$56,(G68-1)*8+1,8)</f>
        <v>10000101</v>
      </c>
      <c r="I68" s="7" t="str">
        <f>BIN2HEX(H68,2)</f>
        <v>85</v>
      </c>
      <c r="J68">
        <f>BIN2DEC(H68)</f>
        <v>133</v>
      </c>
    </row>
    <row r="69" spans="1:10" x14ac:dyDescent="0.25">
      <c r="A69" s="7">
        <v>2</v>
      </c>
      <c r="B69" s="7" t="str">
        <f t="shared" ref="B69:B73" si="4">MID($D$1,(A69-1)*8+1,8)</f>
        <v>10100101</v>
      </c>
      <c r="C69" s="7" t="str">
        <f t="shared" ref="C69:C73" si="5">BIN2HEX(B69,2)</f>
        <v>A5</v>
      </c>
      <c r="D69">
        <f t="shared" ref="D69:D73" si="6">BIN2DEC(B69)</f>
        <v>165</v>
      </c>
      <c r="G69" s="7">
        <v>2</v>
      </c>
      <c r="H69" s="7" t="str">
        <f t="shared" ref="H69:H73" si="7">MID($B$56,(G69-1)*8+1,8)</f>
        <v>10101001</v>
      </c>
      <c r="I69" s="7" t="str">
        <f t="shared" ref="I69:I73" si="8">BIN2HEX(H69,2)</f>
        <v>A9</v>
      </c>
      <c r="J69">
        <f t="shared" ref="J69:J73" si="9">BIN2DEC(H69)</f>
        <v>169</v>
      </c>
    </row>
    <row r="70" spans="1:10" x14ac:dyDescent="0.25">
      <c r="A70" s="7">
        <v>3</v>
      </c>
      <c r="B70" s="7" t="str">
        <f t="shared" si="4"/>
        <v>00011110</v>
      </c>
      <c r="C70" s="7" t="str">
        <f t="shared" si="5"/>
        <v>1E</v>
      </c>
      <c r="D70">
        <f t="shared" si="6"/>
        <v>30</v>
      </c>
      <c r="G70" s="7">
        <v>3</v>
      </c>
      <c r="H70" s="7" t="str">
        <f t="shared" si="7"/>
        <v>00001101</v>
      </c>
      <c r="I70" s="7" t="str">
        <f t="shared" si="8"/>
        <v>0D</v>
      </c>
      <c r="J70">
        <f t="shared" si="9"/>
        <v>13</v>
      </c>
    </row>
    <row r="71" spans="1:10" x14ac:dyDescent="0.25">
      <c r="A71" s="7">
        <v>4</v>
      </c>
      <c r="B71" s="7" t="str">
        <f t="shared" si="4"/>
        <v>00111100</v>
      </c>
      <c r="C71" s="7" t="str">
        <f t="shared" si="5"/>
        <v>3C</v>
      </c>
      <c r="D71">
        <f t="shared" si="6"/>
        <v>60</v>
      </c>
      <c r="G71" s="7">
        <v>4</v>
      </c>
      <c r="H71" s="7" t="str">
        <f t="shared" si="7"/>
        <v>01011111</v>
      </c>
      <c r="I71" s="7" t="str">
        <f t="shared" si="8"/>
        <v>5F</v>
      </c>
      <c r="J71">
        <f t="shared" si="9"/>
        <v>95</v>
      </c>
    </row>
    <row r="72" spans="1:10" x14ac:dyDescent="0.25">
      <c r="A72" s="7">
        <v>5</v>
      </c>
      <c r="B72" s="7" t="str">
        <f t="shared" si="4"/>
        <v>11000101</v>
      </c>
      <c r="C72" s="7" t="str">
        <f t="shared" si="5"/>
        <v>C5</v>
      </c>
      <c r="D72">
        <f t="shared" si="6"/>
        <v>197</v>
      </c>
      <c r="G72" s="7">
        <v>5</v>
      </c>
      <c r="H72" s="7" t="str">
        <f t="shared" si="7"/>
        <v>10010111</v>
      </c>
      <c r="I72" s="7" t="str">
        <f t="shared" si="8"/>
        <v>97</v>
      </c>
      <c r="J72">
        <f t="shared" si="9"/>
        <v>151</v>
      </c>
    </row>
    <row r="73" spans="1:10" x14ac:dyDescent="0.25">
      <c r="A73" s="7">
        <v>6</v>
      </c>
      <c r="B73" s="7" t="str">
        <f t="shared" si="4"/>
        <v>01000101</v>
      </c>
      <c r="C73" s="7" t="str">
        <f t="shared" si="5"/>
        <v>45</v>
      </c>
      <c r="D73">
        <f t="shared" si="6"/>
        <v>69</v>
      </c>
      <c r="G73" s="7">
        <v>6</v>
      </c>
      <c r="H73" s="7" t="str">
        <f t="shared" si="7"/>
        <v>10101010</v>
      </c>
      <c r="I73" s="7" t="str">
        <f t="shared" si="8"/>
        <v>AA</v>
      </c>
      <c r="J73">
        <f t="shared" si="9"/>
        <v>170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230</v>
      </c>
      <c r="C76" s="10" t="str">
        <f>DEC2BIN(B76,8)</f>
        <v>11100110</v>
      </c>
      <c r="D76" s="10" t="str">
        <f>DEC2HEX(B76,2)</f>
        <v>E6</v>
      </c>
    </row>
    <row r="77" spans="1:10" x14ac:dyDescent="0.25">
      <c r="A77" s="11">
        <v>2</v>
      </c>
      <c r="B77" s="10">
        <f t="shared" ref="B77:B81" si="10">_xlfn.BITXOR(D69,J69)</f>
        <v>12</v>
      </c>
      <c r="C77" s="10" t="str">
        <f t="shared" ref="C77:C81" si="11">DEC2BIN(B77,8)</f>
        <v>00001100</v>
      </c>
      <c r="D77" s="10" t="str">
        <f t="shared" ref="D77:D81" si="12">DEC2HEX(B77,2)</f>
        <v>0C</v>
      </c>
    </row>
    <row r="78" spans="1:10" x14ac:dyDescent="0.25">
      <c r="A78" s="11">
        <v>3</v>
      </c>
      <c r="B78" s="10">
        <f t="shared" si="10"/>
        <v>19</v>
      </c>
      <c r="C78" s="10" t="str">
        <f t="shared" si="11"/>
        <v>00010011</v>
      </c>
      <c r="D78" s="10" t="str">
        <f t="shared" si="12"/>
        <v>13</v>
      </c>
    </row>
    <row r="79" spans="1:10" x14ac:dyDescent="0.25">
      <c r="A79" s="11">
        <v>4</v>
      </c>
      <c r="B79" s="10">
        <f t="shared" si="10"/>
        <v>99</v>
      </c>
      <c r="C79" s="10" t="str">
        <f t="shared" si="11"/>
        <v>01100011</v>
      </c>
      <c r="D79" s="10" t="str">
        <f t="shared" si="12"/>
        <v>63</v>
      </c>
    </row>
    <row r="80" spans="1:10" x14ac:dyDescent="0.25">
      <c r="A80" s="11">
        <v>5</v>
      </c>
      <c r="B80" s="10">
        <f t="shared" si="10"/>
        <v>82</v>
      </c>
      <c r="C80" s="10" t="str">
        <f t="shared" si="11"/>
        <v>01010010</v>
      </c>
      <c r="D80" s="10" t="str">
        <f t="shared" si="12"/>
        <v>52</v>
      </c>
    </row>
    <row r="81" spans="1:10" x14ac:dyDescent="0.25">
      <c r="A81" s="11">
        <v>6</v>
      </c>
      <c r="B81" s="10">
        <f t="shared" si="10"/>
        <v>239</v>
      </c>
      <c r="C81" s="10" t="str">
        <f t="shared" si="11"/>
        <v>11101111</v>
      </c>
      <c r="D81" s="10" t="str">
        <f t="shared" si="12"/>
        <v>EF</v>
      </c>
    </row>
    <row r="83" spans="1:10" ht="21" x14ac:dyDescent="0.35">
      <c r="B83" t="s">
        <v>261</v>
      </c>
      <c r="D83" s="8" t="str">
        <f>C76&amp;C77&amp;C78&amp;C79&amp;C80&amp;C81</f>
        <v>111001100000110000010011011000110101001011101111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111001</v>
      </c>
      <c r="C86" s="10" t="str">
        <f>LEFT(B86,1)&amp;RIGHT(B86,1)</f>
        <v>11</v>
      </c>
      <c r="D86" s="10" t="str">
        <f>MID(B86,2,4)</f>
        <v>1100</v>
      </c>
      <c r="E86" s="10" t="str">
        <f>C86&amp;D86</f>
        <v>111100</v>
      </c>
      <c r="F86" s="10">
        <f>BIN2DEC(E86)</f>
        <v>60</v>
      </c>
      <c r="G86" s="10"/>
      <c r="H86" s="10">
        <f>VLOOKUP(F86,$A$95:$I$158,2,TRUE)</f>
        <v>10</v>
      </c>
      <c r="I86" s="10" t="str">
        <f>DEC2BIN(H86,4)</f>
        <v>1010</v>
      </c>
      <c r="J86" t="str">
        <f t="shared" ref="J86:J90" si="13">I86&amp;J87</f>
        <v>10100000101101111101000110011101</v>
      </c>
    </row>
    <row r="87" spans="1:10" x14ac:dyDescent="0.25">
      <c r="A87" s="10">
        <v>2</v>
      </c>
      <c r="B87" s="10" t="str">
        <f t="shared" ref="B87:B93" si="14">MID($D$83,(A87-1)*6+1,6)</f>
        <v>100000</v>
      </c>
      <c r="C87" s="10" t="str">
        <f t="shared" ref="C87:C93" si="15">LEFT(B87,1)&amp;RIGHT(B87,1)</f>
        <v>10</v>
      </c>
      <c r="D87" s="10" t="str">
        <f t="shared" ref="D87:D93" si="16">MID(B87,2,4)</f>
        <v>0000</v>
      </c>
      <c r="E87" s="10" t="str">
        <f t="shared" ref="E87:E93" si="17">C87&amp;D87</f>
        <v>100000</v>
      </c>
      <c r="F87" s="10">
        <f t="shared" ref="F87:F93" si="18">BIN2DEC(E87)</f>
        <v>32</v>
      </c>
      <c r="G87" s="10"/>
      <c r="H87" s="10">
        <f>VLOOKUP(F87,$A$95:$I$158,3,TRUE)</f>
        <v>0</v>
      </c>
      <c r="I87" s="10" t="str">
        <f t="shared" ref="I87:I93" si="19">DEC2BIN(H87,4)</f>
        <v>0000</v>
      </c>
      <c r="J87" t="str">
        <f t="shared" si="13"/>
        <v>0000101101111101000110011101</v>
      </c>
    </row>
    <row r="88" spans="1:10" x14ac:dyDescent="0.25">
      <c r="A88" s="10">
        <v>3</v>
      </c>
      <c r="B88" s="10" t="str">
        <f t="shared" si="14"/>
        <v>110000</v>
      </c>
      <c r="C88" s="10" t="str">
        <f t="shared" si="15"/>
        <v>10</v>
      </c>
      <c r="D88" s="10" t="str">
        <f t="shared" si="16"/>
        <v>1000</v>
      </c>
      <c r="E88" s="10" t="str">
        <f t="shared" si="17"/>
        <v>101000</v>
      </c>
      <c r="F88" s="10">
        <f t="shared" si="18"/>
        <v>40</v>
      </c>
      <c r="G88" s="10"/>
      <c r="H88" s="10">
        <f>VLOOKUP(F88,$A$95:$I$158,4,TRUE)</f>
        <v>11</v>
      </c>
      <c r="I88" s="10" t="str">
        <f t="shared" si="19"/>
        <v>1011</v>
      </c>
      <c r="J88" t="str">
        <f t="shared" si="13"/>
        <v>101101111101000110011101</v>
      </c>
    </row>
    <row r="89" spans="1:10" x14ac:dyDescent="0.25">
      <c r="A89" s="10">
        <v>4</v>
      </c>
      <c r="B89" s="10" t="str">
        <f t="shared" si="14"/>
        <v>010011</v>
      </c>
      <c r="C89" s="10" t="str">
        <f t="shared" si="15"/>
        <v>01</v>
      </c>
      <c r="D89" s="10" t="str">
        <f t="shared" si="16"/>
        <v>1001</v>
      </c>
      <c r="E89" s="10" t="str">
        <f t="shared" si="17"/>
        <v>011001</v>
      </c>
      <c r="F89" s="10">
        <f t="shared" si="18"/>
        <v>25</v>
      </c>
      <c r="G89" s="10"/>
      <c r="H89" s="10">
        <f>VLOOKUP(F89,$A$95:$I$158,5,TRUE)</f>
        <v>7</v>
      </c>
      <c r="I89" s="10" t="str">
        <f t="shared" si="19"/>
        <v>0111</v>
      </c>
      <c r="J89" t="str">
        <f t="shared" si="13"/>
        <v>01111101000110011101</v>
      </c>
    </row>
    <row r="90" spans="1:10" x14ac:dyDescent="0.25">
      <c r="A90" s="10">
        <v>5</v>
      </c>
      <c r="B90" s="10" t="str">
        <f t="shared" si="14"/>
        <v>011000</v>
      </c>
      <c r="C90" s="10" t="str">
        <f t="shared" si="15"/>
        <v>00</v>
      </c>
      <c r="D90" s="10" t="str">
        <f t="shared" si="16"/>
        <v>1100</v>
      </c>
      <c r="E90" s="10" t="str">
        <f t="shared" si="17"/>
        <v>001100</v>
      </c>
      <c r="F90" s="10">
        <f t="shared" si="18"/>
        <v>12</v>
      </c>
      <c r="G90" s="10"/>
      <c r="H90" s="10">
        <f>VLOOKUP(F90,$A$95:$I$158,6,TRUE)</f>
        <v>13</v>
      </c>
      <c r="I90" s="10" t="str">
        <f t="shared" si="19"/>
        <v>1101</v>
      </c>
      <c r="J90" t="str">
        <f t="shared" si="13"/>
        <v>1101000110011101</v>
      </c>
    </row>
    <row r="91" spans="1:10" x14ac:dyDescent="0.25">
      <c r="A91" s="10">
        <v>6</v>
      </c>
      <c r="B91" s="10" t="str">
        <f t="shared" si="14"/>
        <v>110101</v>
      </c>
      <c r="C91" s="10" t="str">
        <f t="shared" si="15"/>
        <v>11</v>
      </c>
      <c r="D91" s="10" t="str">
        <f t="shared" si="16"/>
        <v>1010</v>
      </c>
      <c r="E91" s="10" t="str">
        <f t="shared" si="17"/>
        <v>111010</v>
      </c>
      <c r="F91" s="10">
        <f t="shared" si="18"/>
        <v>58</v>
      </c>
      <c r="G91" s="10"/>
      <c r="H91" s="10">
        <f>VLOOKUP(F91,$A$95:$I$158,7,TRUE)</f>
        <v>1</v>
      </c>
      <c r="I91" s="10" t="str">
        <f t="shared" si="19"/>
        <v>0001</v>
      </c>
      <c r="J91" t="str">
        <f>I91&amp;J92</f>
        <v>000110011101</v>
      </c>
    </row>
    <row r="92" spans="1:10" x14ac:dyDescent="0.25">
      <c r="A92" s="10">
        <v>7</v>
      </c>
      <c r="B92" s="10" t="str">
        <f t="shared" si="14"/>
        <v>001011</v>
      </c>
      <c r="C92" s="10" t="str">
        <f t="shared" si="15"/>
        <v>01</v>
      </c>
      <c r="D92" s="10" t="str">
        <f t="shared" si="16"/>
        <v>0101</v>
      </c>
      <c r="E92" s="10" t="str">
        <f t="shared" si="17"/>
        <v>010101</v>
      </c>
      <c r="F92" s="10">
        <f t="shared" si="18"/>
        <v>21</v>
      </c>
      <c r="G92" s="10"/>
      <c r="H92" s="10">
        <f>VLOOKUP(F92,$A$95:$I$158,8,TRUE)</f>
        <v>9</v>
      </c>
      <c r="I92" s="10" t="str">
        <f t="shared" si="19"/>
        <v>1001</v>
      </c>
      <c r="J92" t="str">
        <f>I92&amp;I93</f>
        <v>10011101</v>
      </c>
    </row>
    <row r="93" spans="1:10" x14ac:dyDescent="0.25">
      <c r="A93" s="10">
        <v>8</v>
      </c>
      <c r="B93" s="10" t="str">
        <f t="shared" si="14"/>
        <v>101111</v>
      </c>
      <c r="C93" s="10" t="str">
        <f t="shared" si="15"/>
        <v>11</v>
      </c>
      <c r="D93" s="10" t="str">
        <f t="shared" si="16"/>
        <v>0111</v>
      </c>
      <c r="E93" s="10" t="str">
        <f t="shared" si="17"/>
        <v>110111</v>
      </c>
      <c r="F93" s="10">
        <f t="shared" si="18"/>
        <v>55</v>
      </c>
      <c r="G93" s="10"/>
      <c r="H93" s="10">
        <f>VLOOKUP(F93,$A$95:$I$158,9,TRUE)</f>
        <v>13</v>
      </c>
      <c r="I93" s="10" t="str">
        <f t="shared" si="19"/>
        <v>1101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10100000101101111101000110011101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10101111110001000011101100100101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0</v>
      </c>
      <c r="D166" t="str">
        <f t="shared" si="20"/>
        <v>0101111110001000011101100100101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101111110001000011101100100101</v>
      </c>
    </row>
    <row r="168" spans="1:6" x14ac:dyDescent="0.25">
      <c r="A168">
        <v>4</v>
      </c>
      <c r="B168">
        <v>21</v>
      </c>
      <c r="C168" t="str">
        <f t="shared" si="21"/>
        <v>0</v>
      </c>
      <c r="D168" t="str">
        <f t="shared" si="20"/>
        <v>01111110001000011101100100101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1111110001000011101100100101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111110001000011101100100101</v>
      </c>
    </row>
    <row r="171" spans="1:6" x14ac:dyDescent="0.25">
      <c r="A171">
        <v>7</v>
      </c>
      <c r="B171">
        <v>28</v>
      </c>
      <c r="C171" t="str">
        <f t="shared" si="21"/>
        <v>1</v>
      </c>
      <c r="D171" t="str">
        <f t="shared" si="20"/>
        <v>11110001000011101100100101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1110001000011101100100101</v>
      </c>
    </row>
    <row r="173" spans="1:6" x14ac:dyDescent="0.25">
      <c r="A173">
        <v>9</v>
      </c>
      <c r="B173">
        <v>1</v>
      </c>
      <c r="C173" t="str">
        <f t="shared" si="21"/>
        <v>1</v>
      </c>
      <c r="D173" t="str">
        <f t="shared" si="20"/>
        <v>110001000011101100100101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10001000011101100100101</v>
      </c>
    </row>
    <row r="175" spans="1:6" x14ac:dyDescent="0.25">
      <c r="A175">
        <v>11</v>
      </c>
      <c r="B175">
        <v>23</v>
      </c>
      <c r="C175" t="str">
        <f t="shared" si="21"/>
        <v>0</v>
      </c>
      <c r="D175" t="str">
        <f t="shared" si="20"/>
        <v>0001000011101100100101</v>
      </c>
    </row>
    <row r="176" spans="1:6" x14ac:dyDescent="0.25">
      <c r="A176">
        <v>12</v>
      </c>
      <c r="B176">
        <v>26</v>
      </c>
      <c r="C176" t="str">
        <f t="shared" si="21"/>
        <v>0</v>
      </c>
      <c r="D176" t="str">
        <f t="shared" si="20"/>
        <v>001000011101100100101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01000011101100100101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1000011101100100101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000011101100100101</v>
      </c>
    </row>
    <row r="180" spans="1:4" x14ac:dyDescent="0.25">
      <c r="A180">
        <v>16</v>
      </c>
      <c r="B180">
        <v>10</v>
      </c>
      <c r="C180" t="str">
        <f t="shared" si="21"/>
        <v>0</v>
      </c>
      <c r="D180" t="str">
        <f t="shared" si="20"/>
        <v>00011101100100101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0011101100100101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011101100100101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11101100100101</v>
      </c>
    </row>
    <row r="184" spans="1:4" x14ac:dyDescent="0.25">
      <c r="A184">
        <v>20</v>
      </c>
      <c r="B184">
        <v>14</v>
      </c>
      <c r="C184" t="str">
        <f t="shared" si="21"/>
        <v>1</v>
      </c>
      <c r="D184" t="str">
        <f t="shared" si="20"/>
        <v>1101100100101</v>
      </c>
    </row>
    <row r="185" spans="1:4" x14ac:dyDescent="0.25">
      <c r="A185">
        <v>21</v>
      </c>
      <c r="B185">
        <v>32</v>
      </c>
      <c r="C185" t="str">
        <f t="shared" si="21"/>
        <v>1</v>
      </c>
      <c r="D185" t="str">
        <f t="shared" si="20"/>
        <v>101100100101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01100100101</v>
      </c>
    </row>
    <row r="187" spans="1:4" x14ac:dyDescent="0.25">
      <c r="A187">
        <v>23</v>
      </c>
      <c r="B187">
        <v>3</v>
      </c>
      <c r="C187" t="str">
        <f t="shared" si="21"/>
        <v>1</v>
      </c>
      <c r="D187" t="str">
        <f t="shared" si="20"/>
        <v>1100100101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100100101</v>
      </c>
    </row>
    <row r="189" spans="1:4" x14ac:dyDescent="0.25">
      <c r="A189">
        <v>25</v>
      </c>
      <c r="B189">
        <v>19</v>
      </c>
      <c r="C189" t="str">
        <f t="shared" si="21"/>
        <v>0</v>
      </c>
      <c r="D189" t="str">
        <f t="shared" si="20"/>
        <v>00100101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0100101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100101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00101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0101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101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01</v>
      </c>
    </row>
    <row r="196" spans="1:11" x14ac:dyDescent="0.25">
      <c r="A196">
        <v>32</v>
      </c>
      <c r="B196">
        <v>25</v>
      </c>
      <c r="C196" t="str">
        <f t="shared" si="21"/>
        <v>1</v>
      </c>
    </row>
    <row r="198" spans="1:11" ht="18.75" x14ac:dyDescent="0.3">
      <c r="A198" t="s">
        <v>262</v>
      </c>
      <c r="B198" s="16" t="str">
        <f>D165</f>
        <v>10101111110001000011101100100101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10101111</v>
      </c>
      <c r="J199" s="7" t="str">
        <f>BIN2HEX(I199,2)</f>
        <v>AF</v>
      </c>
      <c r="K199">
        <f>BIN2DEC(I199)</f>
        <v>175</v>
      </c>
    </row>
    <row r="200" spans="1:11" x14ac:dyDescent="0.25">
      <c r="H200" s="7">
        <v>2</v>
      </c>
      <c r="I200" s="7" t="str">
        <f t="shared" ref="I200:I202" si="22">MID($B$198,(H200-1)*8+1,8)</f>
        <v>11000100</v>
      </c>
      <c r="J200" s="7" t="str">
        <f t="shared" ref="J200:J202" si="23">BIN2HEX(I200,2)</f>
        <v>C4</v>
      </c>
      <c r="K200">
        <f t="shared" ref="K200:K202" si="24">BIN2DEC(I200)</f>
        <v>196</v>
      </c>
    </row>
    <row r="201" spans="1:11" x14ac:dyDescent="0.25">
      <c r="H201" s="7">
        <v>3</v>
      </c>
      <c r="I201" s="7" t="str">
        <f t="shared" si="22"/>
        <v>00111011</v>
      </c>
      <c r="J201" s="7" t="str">
        <f t="shared" si="23"/>
        <v>3B</v>
      </c>
      <c r="K201">
        <f t="shared" si="24"/>
        <v>59</v>
      </c>
    </row>
    <row r="202" spans="1:11" x14ac:dyDescent="0.25">
      <c r="H202" s="7">
        <v>4</v>
      </c>
      <c r="I202" s="7" t="str">
        <f t="shared" si="22"/>
        <v>00100101</v>
      </c>
      <c r="J202" s="7" t="str">
        <f t="shared" si="23"/>
        <v>25</v>
      </c>
      <c r="K202">
        <f t="shared" si="24"/>
        <v>37</v>
      </c>
    </row>
    <row r="205" spans="1:11" ht="18.75" x14ac:dyDescent="0.3">
      <c r="A205" t="s">
        <v>102</v>
      </c>
      <c r="B205" s="16" t="str">
        <f>B4</f>
        <v>10011100010101010010110100010011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10011100</v>
      </c>
      <c r="J206" s="7" t="str">
        <f>BIN2HEX(I206,2)</f>
        <v>9C</v>
      </c>
      <c r="K206">
        <f>BIN2DEC(I206)</f>
        <v>156</v>
      </c>
    </row>
    <row r="207" spans="1:11" x14ac:dyDescent="0.25">
      <c r="H207" s="7">
        <v>2</v>
      </c>
      <c r="I207" s="7" t="str">
        <f t="shared" ref="I207:I209" si="25">MID($B$205,(H207-1)*8+1,8)</f>
        <v>01010101</v>
      </c>
      <c r="J207" s="7" t="str">
        <f t="shared" ref="J207:J209" si="26">BIN2HEX(I207,2)</f>
        <v>55</v>
      </c>
      <c r="K207">
        <f t="shared" ref="K207:K209" si="27">BIN2DEC(I207)</f>
        <v>85</v>
      </c>
    </row>
    <row r="208" spans="1:11" x14ac:dyDescent="0.25">
      <c r="H208" s="7">
        <v>3</v>
      </c>
      <c r="I208" s="7" t="str">
        <f t="shared" si="25"/>
        <v>00101101</v>
      </c>
      <c r="J208" s="7" t="str">
        <f t="shared" si="26"/>
        <v>2D</v>
      </c>
      <c r="K208">
        <f t="shared" si="27"/>
        <v>45</v>
      </c>
    </row>
    <row r="209" spans="1:11" x14ac:dyDescent="0.25">
      <c r="H209" s="7">
        <v>4</v>
      </c>
      <c r="I209" s="7" t="str">
        <f t="shared" si="25"/>
        <v>00010011</v>
      </c>
      <c r="J209" s="7" t="str">
        <f t="shared" si="26"/>
        <v>13</v>
      </c>
      <c r="K209">
        <f t="shared" si="27"/>
        <v>19</v>
      </c>
    </row>
    <row r="211" spans="1:11" x14ac:dyDescent="0.25">
      <c r="A211" t="s">
        <v>263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51</v>
      </c>
      <c r="D213" s="7" t="str">
        <f>DEC2HEX(C213)</f>
        <v>33</v>
      </c>
      <c r="E213" s="7" t="str">
        <f>DEC2BIN(C213,8)</f>
        <v>00110011</v>
      </c>
    </row>
    <row r="214" spans="1:11" x14ac:dyDescent="0.25">
      <c r="B214" s="7">
        <v>2</v>
      </c>
      <c r="C214" s="7">
        <f t="shared" ref="C214:C216" si="28">_xlfn.BITXOR(K200,K207)</f>
        <v>145</v>
      </c>
      <c r="D214" s="7" t="str">
        <f t="shared" ref="D214:D216" si="29">DEC2HEX(C214)</f>
        <v>91</v>
      </c>
      <c r="E214" s="7" t="str">
        <f t="shared" ref="E214:E216" si="30">DEC2BIN(C214,8)</f>
        <v>10010001</v>
      </c>
    </row>
    <row r="215" spans="1:11" x14ac:dyDescent="0.25">
      <c r="B215" s="7">
        <v>3</v>
      </c>
      <c r="C215" s="7">
        <f t="shared" si="28"/>
        <v>22</v>
      </c>
      <c r="D215" s="7" t="str">
        <f t="shared" si="29"/>
        <v>16</v>
      </c>
      <c r="E215" s="7" t="str">
        <f t="shared" si="30"/>
        <v>00010110</v>
      </c>
    </row>
    <row r="216" spans="1:11" x14ac:dyDescent="0.25">
      <c r="B216" s="7">
        <v>4</v>
      </c>
      <c r="C216" s="7">
        <f t="shared" si="28"/>
        <v>54</v>
      </c>
      <c r="D216" s="7" t="str">
        <f t="shared" si="29"/>
        <v>36</v>
      </c>
      <c r="E216" s="7" t="str">
        <f t="shared" si="30"/>
        <v>00110110</v>
      </c>
    </row>
    <row r="219" spans="1:11" ht="21" x14ac:dyDescent="0.35">
      <c r="A219" t="s">
        <v>103</v>
      </c>
      <c r="B219" s="8" t="str">
        <f>E213&amp;E214&amp;E215&amp;E216</f>
        <v>00110011100100010001011000110110</v>
      </c>
      <c r="C219" s="8"/>
      <c r="D219" s="8"/>
      <c r="E219" s="8"/>
    </row>
    <row r="220" spans="1:11" x14ac:dyDescent="0.25">
      <c r="A220" t="s">
        <v>104</v>
      </c>
    </row>
    <row r="221" spans="1:11" ht="21" x14ac:dyDescent="0.35">
      <c r="A221" t="s">
        <v>105</v>
      </c>
      <c r="B221" s="8" t="str">
        <f>B2</f>
        <v>00001101001001101011110011110101</v>
      </c>
      <c r="C221" s="8"/>
      <c r="D221" s="8"/>
      <c r="E221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353C-7972-423B-A740-4D8187C93288}">
  <dimension ref="A1:O54"/>
  <sheetViews>
    <sheetView workbookViewId="0">
      <selection activeCell="B6" sqref="B6"/>
    </sheetView>
  </sheetViews>
  <sheetFormatPr defaultRowHeight="15" x14ac:dyDescent="0.25"/>
  <sheetData>
    <row r="1" spans="1:15" ht="18.75" x14ac:dyDescent="0.3">
      <c r="A1" t="s">
        <v>97</v>
      </c>
      <c r="B1" s="22" t="s">
        <v>128</v>
      </c>
      <c r="I1" t="s">
        <v>180</v>
      </c>
      <c r="J1" s="22" t="s">
        <v>130</v>
      </c>
    </row>
    <row r="2" spans="1:15" ht="18.75" x14ac:dyDescent="0.3">
      <c r="A2" t="s">
        <v>106</v>
      </c>
      <c r="B2" s="22" t="s">
        <v>181</v>
      </c>
      <c r="I2" t="s">
        <v>107</v>
      </c>
      <c r="J2" s="22" t="s">
        <v>145</v>
      </c>
    </row>
    <row r="4" spans="1:15" x14ac:dyDescent="0.25">
      <c r="A4" t="s">
        <v>264</v>
      </c>
      <c r="D4" s="1" t="str">
        <f>D7</f>
        <v>011011001000010010110111100010101110010011000110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5" x14ac:dyDescent="0.25">
      <c r="B5" t="s">
        <v>265</v>
      </c>
      <c r="C5" s="6" t="s">
        <v>182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01101100</v>
      </c>
      <c r="L5" s="7" t="str">
        <f>BIN2HEX(K5,2)</f>
        <v>6C</v>
      </c>
      <c r="O5" s="20"/>
    </row>
    <row r="6" spans="1:15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10000100</v>
      </c>
      <c r="L6" s="7" t="str">
        <f t="shared" ref="L6:L10" si="1">BIN2HEX(K6,2)</f>
        <v>84</v>
      </c>
      <c r="O6" s="20"/>
    </row>
    <row r="7" spans="1:15" x14ac:dyDescent="0.25">
      <c r="A7">
        <v>1</v>
      </c>
      <c r="B7">
        <v>14</v>
      </c>
      <c r="C7" t="str">
        <f t="shared" ref="C7:C54" si="2">MID($C$5,B7,1)</f>
        <v>0</v>
      </c>
      <c r="D7" t="str">
        <f t="shared" ref="D7:D51" si="3">C7&amp;D8</f>
        <v>011011001000010010110111100010101110010011000110</v>
      </c>
      <c r="J7" s="7">
        <v>3</v>
      </c>
      <c r="K7" s="7" t="str">
        <f t="shared" si="0"/>
        <v>10110111</v>
      </c>
      <c r="L7" s="7" t="str">
        <f t="shared" si="1"/>
        <v>B7</v>
      </c>
      <c r="O7" s="20"/>
    </row>
    <row r="8" spans="1:15" x14ac:dyDescent="0.25">
      <c r="A8">
        <v>2</v>
      </c>
      <c r="B8">
        <v>17</v>
      </c>
      <c r="C8" t="str">
        <f t="shared" si="2"/>
        <v>1</v>
      </c>
      <c r="D8" t="str">
        <f t="shared" si="3"/>
        <v>11011001000010010110111100010101110010011000110</v>
      </c>
      <c r="J8" s="7">
        <v>4</v>
      </c>
      <c r="K8" s="7" t="str">
        <f t="shared" si="0"/>
        <v>10001010</v>
      </c>
      <c r="L8" s="7" t="str">
        <f t="shared" si="1"/>
        <v>8A</v>
      </c>
    </row>
    <row r="9" spans="1:15" x14ac:dyDescent="0.25">
      <c r="A9">
        <v>3</v>
      </c>
      <c r="B9">
        <v>11</v>
      </c>
      <c r="C9" t="str">
        <f t="shared" si="2"/>
        <v>1</v>
      </c>
      <c r="D9" t="str">
        <f t="shared" si="3"/>
        <v>1011001000010010110111100010101110010011000110</v>
      </c>
      <c r="J9" s="7">
        <v>5</v>
      </c>
      <c r="K9" s="7" t="str">
        <f t="shared" si="0"/>
        <v>11100100</v>
      </c>
      <c r="L9" s="7" t="str">
        <f t="shared" si="1"/>
        <v>E4</v>
      </c>
    </row>
    <row r="10" spans="1:15" x14ac:dyDescent="0.25">
      <c r="A10">
        <v>4</v>
      </c>
      <c r="B10">
        <v>24</v>
      </c>
      <c r="C10" t="str">
        <f t="shared" si="2"/>
        <v>0</v>
      </c>
      <c r="D10" t="str">
        <f t="shared" si="3"/>
        <v>011001000010010110111100010101110010011000110</v>
      </c>
      <c r="J10" s="7">
        <v>6</v>
      </c>
      <c r="K10" s="7" t="str">
        <f>MID($D$4,(J10-1)*8+1,8)</f>
        <v>11000110</v>
      </c>
      <c r="L10" s="7" t="str">
        <f t="shared" si="1"/>
        <v>C6</v>
      </c>
    </row>
    <row r="11" spans="1:15" x14ac:dyDescent="0.25">
      <c r="A11">
        <v>5</v>
      </c>
      <c r="B11">
        <v>1</v>
      </c>
      <c r="C11" t="str">
        <f t="shared" si="2"/>
        <v>1</v>
      </c>
      <c r="D11" t="str">
        <f t="shared" si="3"/>
        <v>11001000010010110111100010101110010011000110</v>
      </c>
    </row>
    <row r="12" spans="1:15" x14ac:dyDescent="0.25">
      <c r="A12">
        <v>6</v>
      </c>
      <c r="B12">
        <v>5</v>
      </c>
      <c r="C12" t="str">
        <f t="shared" si="2"/>
        <v>1</v>
      </c>
      <c r="D12" t="str">
        <f t="shared" si="3"/>
        <v>1001000010010110111100010101110010011000110</v>
      </c>
    </row>
    <row r="13" spans="1:15" x14ac:dyDescent="0.25">
      <c r="A13">
        <v>7</v>
      </c>
      <c r="B13">
        <v>3</v>
      </c>
      <c r="C13" t="str">
        <f t="shared" si="2"/>
        <v>0</v>
      </c>
      <c r="D13" t="str">
        <f t="shared" si="3"/>
        <v>001000010010110111100010101110010011000110</v>
      </c>
    </row>
    <row r="14" spans="1:15" x14ac:dyDescent="0.25">
      <c r="A14">
        <v>8</v>
      </c>
      <c r="B14">
        <v>28</v>
      </c>
      <c r="C14" t="str">
        <f t="shared" si="2"/>
        <v>0</v>
      </c>
      <c r="D14" t="str">
        <f t="shared" si="3"/>
        <v>01000010010110111100010101110010011000110</v>
      </c>
    </row>
    <row r="15" spans="1:15" x14ac:dyDescent="0.25">
      <c r="A15">
        <v>9</v>
      </c>
      <c r="B15">
        <v>15</v>
      </c>
      <c r="C15" t="str">
        <f t="shared" si="2"/>
        <v>1</v>
      </c>
      <c r="D15" t="str">
        <f t="shared" si="3"/>
        <v>1000010010110111100010101110010011000110</v>
      </c>
    </row>
    <row r="16" spans="1:15" x14ac:dyDescent="0.25">
      <c r="A16">
        <v>10</v>
      </c>
      <c r="B16">
        <v>6</v>
      </c>
      <c r="C16" t="str">
        <f t="shared" si="2"/>
        <v>0</v>
      </c>
      <c r="D16" t="str">
        <f t="shared" si="3"/>
        <v>000010010110111100010101110010011000110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00010010110111100010101110010011000110</v>
      </c>
    </row>
    <row r="18" spans="1:4" x14ac:dyDescent="0.25">
      <c r="A18">
        <v>12</v>
      </c>
      <c r="B18">
        <v>10</v>
      </c>
      <c r="C18" t="str">
        <f t="shared" si="2"/>
        <v>0</v>
      </c>
      <c r="D18" t="str">
        <f t="shared" si="3"/>
        <v>0010010110111100010101110010011000110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010010110111100010101110010011000110</v>
      </c>
    </row>
    <row r="20" spans="1:4" x14ac:dyDescent="0.25">
      <c r="A20">
        <v>14</v>
      </c>
      <c r="B20">
        <v>19</v>
      </c>
      <c r="C20" t="str">
        <f t="shared" si="2"/>
        <v>1</v>
      </c>
      <c r="D20" t="str">
        <f t="shared" si="3"/>
        <v>10010110111100010101110010011000110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0010110111100010101110010011000110</v>
      </c>
    </row>
    <row r="22" spans="1:4" x14ac:dyDescent="0.25">
      <c r="A22">
        <v>16</v>
      </c>
      <c r="B22">
        <v>4</v>
      </c>
      <c r="C22" t="str">
        <f t="shared" si="2"/>
        <v>0</v>
      </c>
      <c r="D22" t="str">
        <f t="shared" si="3"/>
        <v>010110111100010101110010011000110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10110111100010101110010011000110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0110111100010101110010011000110</v>
      </c>
    </row>
    <row r="25" spans="1:4" x14ac:dyDescent="0.25">
      <c r="A25">
        <v>19</v>
      </c>
      <c r="B25">
        <v>16</v>
      </c>
      <c r="C25" t="str">
        <f t="shared" si="2"/>
        <v>1</v>
      </c>
      <c r="D25" t="str">
        <f t="shared" si="3"/>
        <v>110111100010101110010011000110</v>
      </c>
    </row>
    <row r="26" spans="1:4" x14ac:dyDescent="0.25">
      <c r="A26">
        <v>20</v>
      </c>
      <c r="B26">
        <v>7</v>
      </c>
      <c r="C26" t="str">
        <f t="shared" si="2"/>
        <v>1</v>
      </c>
      <c r="D26" t="str">
        <f t="shared" si="3"/>
        <v>10111100010101110010011000110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0111100010101110010011000110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111100010101110010011000110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11100010101110010011000110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1100010101110010011000110</v>
      </c>
    </row>
    <row r="31" spans="1:4" x14ac:dyDescent="0.25">
      <c r="A31">
        <v>25</v>
      </c>
      <c r="B31">
        <v>41</v>
      </c>
      <c r="C31" t="str">
        <f t="shared" si="2"/>
        <v>1</v>
      </c>
      <c r="D31" t="str">
        <f t="shared" si="3"/>
        <v>100010101110010011000110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00010101110010011000110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0010101110010011000110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010101110010011000110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10101110010011000110</v>
      </c>
    </row>
    <row r="36" spans="1:4" x14ac:dyDescent="0.25">
      <c r="A36">
        <v>30</v>
      </c>
      <c r="B36">
        <v>55</v>
      </c>
      <c r="C36" t="str">
        <f t="shared" si="2"/>
        <v>0</v>
      </c>
      <c r="D36" t="str">
        <f t="shared" si="3"/>
        <v>0101110010011000110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101110010011000110</v>
      </c>
    </row>
    <row r="38" spans="1:4" x14ac:dyDescent="0.25">
      <c r="A38">
        <v>32</v>
      </c>
      <c r="B38">
        <v>40</v>
      </c>
      <c r="C38" t="str">
        <f t="shared" si="2"/>
        <v>0</v>
      </c>
      <c r="D38" t="str">
        <f t="shared" si="3"/>
        <v>01110010011000110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1110010011000110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110010011000110</v>
      </c>
    </row>
    <row r="41" spans="1:4" x14ac:dyDescent="0.25">
      <c r="A41">
        <v>35</v>
      </c>
      <c r="B41">
        <v>33</v>
      </c>
      <c r="C41" t="str">
        <f t="shared" si="2"/>
        <v>1</v>
      </c>
      <c r="D41" t="str">
        <f t="shared" si="3"/>
        <v>10010011000110</v>
      </c>
    </row>
    <row r="42" spans="1:4" x14ac:dyDescent="0.25">
      <c r="A42">
        <v>36</v>
      </c>
      <c r="B42">
        <v>48</v>
      </c>
      <c r="C42" t="str">
        <f t="shared" si="2"/>
        <v>0</v>
      </c>
      <c r="D42" t="str">
        <f t="shared" si="3"/>
        <v>0010011000110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010011000110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10011000110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0011000110</v>
      </c>
    </row>
    <row r="46" spans="1:4" x14ac:dyDescent="0.25">
      <c r="A46">
        <v>40</v>
      </c>
      <c r="B46">
        <v>56</v>
      </c>
      <c r="C46" t="str">
        <f t="shared" si="2"/>
        <v>0</v>
      </c>
      <c r="D46" t="str">
        <f t="shared" si="3"/>
        <v>011000110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11000110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1000110</v>
      </c>
    </row>
    <row r="49" spans="1:4" x14ac:dyDescent="0.25">
      <c r="A49">
        <v>43</v>
      </c>
      <c r="B49">
        <v>46</v>
      </c>
      <c r="C49" t="str">
        <f t="shared" si="2"/>
        <v>0</v>
      </c>
      <c r="D49" t="str">
        <f t="shared" si="3"/>
        <v>000110</v>
      </c>
    </row>
    <row r="50" spans="1:4" x14ac:dyDescent="0.25">
      <c r="A50">
        <v>44</v>
      </c>
      <c r="B50">
        <v>42</v>
      </c>
      <c r="C50" t="str">
        <f t="shared" si="2"/>
        <v>0</v>
      </c>
      <c r="D50" t="str">
        <f t="shared" si="3"/>
        <v>00110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0110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110</v>
      </c>
    </row>
    <row r="53" spans="1:4" x14ac:dyDescent="0.25">
      <c r="A53">
        <v>47</v>
      </c>
      <c r="B53">
        <v>29</v>
      </c>
      <c r="C53" t="str">
        <f t="shared" si="2"/>
        <v>1</v>
      </c>
      <c r="D53" t="str">
        <f>C53&amp;C54</f>
        <v>10</v>
      </c>
    </row>
    <row r="54" spans="1:4" x14ac:dyDescent="0.25">
      <c r="A54">
        <v>48</v>
      </c>
      <c r="B54">
        <v>32</v>
      </c>
      <c r="C54" t="str">
        <f t="shared" si="2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7010-9273-4D34-9219-7CB952ABC21A}">
  <dimension ref="A1:K221"/>
  <sheetViews>
    <sheetView topLeftCell="A196" workbookViewId="0">
      <selection activeCell="A212" sqref="A212"/>
    </sheetView>
  </sheetViews>
  <sheetFormatPr defaultRowHeight="15" x14ac:dyDescent="0.25"/>
  <sheetData>
    <row r="1" spans="1:4" x14ac:dyDescent="0.25">
      <c r="A1" t="s">
        <v>264</v>
      </c>
      <c r="D1" t="s">
        <v>183</v>
      </c>
    </row>
    <row r="2" spans="1:4" x14ac:dyDescent="0.25">
      <c r="A2" t="s">
        <v>103</v>
      </c>
      <c r="B2" t="s">
        <v>221</v>
      </c>
    </row>
    <row r="3" spans="1:4" x14ac:dyDescent="0.25">
      <c r="A3" t="s">
        <v>104</v>
      </c>
    </row>
    <row r="4" spans="1:4" x14ac:dyDescent="0.25">
      <c r="A4" t="s">
        <v>105</v>
      </c>
      <c r="B4" t="s">
        <v>220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000110100111110010100010100010101100000110101100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00110100111110010100010100010101100000110101100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0110100111110010100010100010101100000110101100</v>
      </c>
    </row>
    <row r="10" spans="1:4" x14ac:dyDescent="0.25">
      <c r="A10">
        <v>4</v>
      </c>
      <c r="B10">
        <v>3</v>
      </c>
      <c r="C10" t="str">
        <f t="shared" si="1"/>
        <v>1</v>
      </c>
      <c r="D10" t="str">
        <f t="shared" si="0"/>
        <v>110100111110010100010100010101100000110101100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10100111110010100010100010101100000110101100</v>
      </c>
    </row>
    <row r="12" spans="1:4" x14ac:dyDescent="0.25">
      <c r="A12">
        <v>6</v>
      </c>
      <c r="B12">
        <v>5</v>
      </c>
      <c r="C12" t="str">
        <f t="shared" si="1"/>
        <v>0</v>
      </c>
      <c r="D12" t="str">
        <f t="shared" si="0"/>
        <v>0100111110010100010100010101100000110101100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100111110010100010100010101100000110101100</v>
      </c>
    </row>
    <row r="14" spans="1:4" x14ac:dyDescent="0.25">
      <c r="A14">
        <v>8</v>
      </c>
      <c r="B14">
        <v>5</v>
      </c>
      <c r="C14" t="str">
        <f t="shared" si="1"/>
        <v>0</v>
      </c>
      <c r="D14" t="str">
        <f t="shared" si="0"/>
        <v>00111110010100010100010101100000110101100</v>
      </c>
    </row>
    <row r="15" spans="1:4" x14ac:dyDescent="0.25">
      <c r="A15">
        <v>9</v>
      </c>
      <c r="B15">
        <v>6</v>
      </c>
      <c r="C15" t="str">
        <f t="shared" si="1"/>
        <v>0</v>
      </c>
      <c r="D15" t="str">
        <f t="shared" si="0"/>
        <v>0111110010100010100010101100000110101100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111110010100010100010101100000110101100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11110010100010100010101100000110101100</v>
      </c>
    </row>
    <row r="18" spans="1:4" x14ac:dyDescent="0.25">
      <c r="A18">
        <v>12</v>
      </c>
      <c r="B18">
        <v>9</v>
      </c>
      <c r="C18" t="str">
        <f t="shared" si="1"/>
        <v>1</v>
      </c>
      <c r="D18" t="str">
        <f t="shared" si="0"/>
        <v>1110010100010100010101100000110101100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110010100010100010101100000110101100</v>
      </c>
    </row>
    <row r="20" spans="1:4" x14ac:dyDescent="0.25">
      <c r="A20">
        <v>14</v>
      </c>
      <c r="B20">
        <v>9</v>
      </c>
      <c r="C20" t="str">
        <f t="shared" si="1"/>
        <v>1</v>
      </c>
      <c r="D20" t="str">
        <f t="shared" si="0"/>
        <v>10010100010100010101100000110101100</v>
      </c>
    </row>
    <row r="21" spans="1:4" x14ac:dyDescent="0.25">
      <c r="A21">
        <v>15</v>
      </c>
      <c r="B21">
        <v>10</v>
      </c>
      <c r="C21" t="str">
        <f t="shared" si="1"/>
        <v>0</v>
      </c>
      <c r="D21" t="str">
        <f t="shared" si="0"/>
        <v>0010100010100010101100000110101100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010100010100010101100000110101100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10100010100010101100000110101100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0100010100010101100000110101100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100010100010101100000110101100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00010100010101100000110101100</v>
      </c>
    </row>
    <row r="27" spans="1:4" x14ac:dyDescent="0.25">
      <c r="A27">
        <v>21</v>
      </c>
      <c r="B27">
        <v>14</v>
      </c>
      <c r="C27" t="str">
        <f t="shared" si="1"/>
        <v>0</v>
      </c>
      <c r="D27" t="str">
        <f t="shared" si="0"/>
        <v>0010100010101100000110101100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010100010101100000110101100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10100010101100000110101100</v>
      </c>
    </row>
    <row r="30" spans="1:4" x14ac:dyDescent="0.25">
      <c r="A30">
        <v>24</v>
      </c>
      <c r="B30">
        <v>17</v>
      </c>
      <c r="C30" t="str">
        <f t="shared" si="1"/>
        <v>0</v>
      </c>
      <c r="D30" t="str">
        <f t="shared" si="0"/>
        <v>0100010101100000110101100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100010101100000110101100</v>
      </c>
    </row>
    <row r="32" spans="1:4" x14ac:dyDescent="0.25">
      <c r="A32">
        <v>26</v>
      </c>
      <c r="B32">
        <v>17</v>
      </c>
      <c r="C32" t="str">
        <f t="shared" si="1"/>
        <v>0</v>
      </c>
      <c r="D32" t="str">
        <f t="shared" si="0"/>
        <v>00010101100000110101100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0010101100000110101100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010101100000110101100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10101100000110101100</v>
      </c>
    </row>
    <row r="36" spans="1:4" x14ac:dyDescent="0.25">
      <c r="A36">
        <v>30</v>
      </c>
      <c r="B36">
        <v>21</v>
      </c>
      <c r="C36" t="str">
        <f t="shared" si="1"/>
        <v>0</v>
      </c>
      <c r="D36" t="str">
        <f t="shared" si="0"/>
        <v>0101100000110101100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101100000110101100</v>
      </c>
    </row>
    <row r="38" spans="1:4" x14ac:dyDescent="0.25">
      <c r="A38">
        <v>32</v>
      </c>
      <c r="B38">
        <v>21</v>
      </c>
      <c r="C38" t="str">
        <f t="shared" si="1"/>
        <v>0</v>
      </c>
      <c r="D38" t="str">
        <f t="shared" si="0"/>
        <v>01100000110101100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1100000110101100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100000110101100</v>
      </c>
    </row>
    <row r="41" spans="1:4" x14ac:dyDescent="0.25">
      <c r="A41">
        <v>35</v>
      </c>
      <c r="B41">
        <v>24</v>
      </c>
      <c r="C41" t="str">
        <f t="shared" si="1"/>
        <v>0</v>
      </c>
      <c r="D41" t="str">
        <f t="shared" si="0"/>
        <v>00000110101100</v>
      </c>
    </row>
    <row r="42" spans="1:4" x14ac:dyDescent="0.25">
      <c r="A42">
        <v>36</v>
      </c>
      <c r="B42">
        <v>25</v>
      </c>
      <c r="C42" t="str">
        <f t="shared" si="1"/>
        <v>0</v>
      </c>
      <c r="D42" t="str">
        <f t="shared" si="0"/>
        <v>0000110101100</v>
      </c>
    </row>
    <row r="43" spans="1:4" x14ac:dyDescent="0.25">
      <c r="A43">
        <v>37</v>
      </c>
      <c r="B43">
        <v>24</v>
      </c>
      <c r="C43" t="str">
        <f t="shared" si="1"/>
        <v>0</v>
      </c>
      <c r="D43" t="str">
        <f t="shared" si="0"/>
        <v>000110101100</v>
      </c>
    </row>
    <row r="44" spans="1:4" x14ac:dyDescent="0.25">
      <c r="A44">
        <v>38</v>
      </c>
      <c r="B44">
        <v>25</v>
      </c>
      <c r="C44" t="str">
        <f t="shared" si="1"/>
        <v>0</v>
      </c>
      <c r="D44" t="str">
        <f t="shared" si="0"/>
        <v>00110101100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0110101100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110101100</v>
      </c>
    </row>
    <row r="47" spans="1:4" x14ac:dyDescent="0.25">
      <c r="A47">
        <v>41</v>
      </c>
      <c r="B47">
        <v>28</v>
      </c>
      <c r="C47" t="str">
        <f t="shared" si="1"/>
        <v>1</v>
      </c>
      <c r="D47" t="str">
        <f t="shared" si="0"/>
        <v>10101100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0101100</v>
      </c>
    </row>
    <row r="49" spans="1:4" x14ac:dyDescent="0.25">
      <c r="A49">
        <v>43</v>
      </c>
      <c r="B49">
        <v>28</v>
      </c>
      <c r="C49" t="str">
        <f t="shared" si="1"/>
        <v>1</v>
      </c>
      <c r="D49" t="str">
        <f t="shared" si="0"/>
        <v>101100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01100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1100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100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266</v>
      </c>
      <c r="B56" t="str">
        <f>D7</f>
        <v>000110100111110010100010100010101100000110101100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00011010</v>
      </c>
      <c r="C59" s="7" t="str">
        <f t="shared" ref="C59:C64" si="2">BIN2HEX(B59,2)</f>
        <v>1A</v>
      </c>
    </row>
    <row r="60" spans="1:4" x14ac:dyDescent="0.25">
      <c r="A60" s="7">
        <v>2</v>
      </c>
      <c r="B60" s="7" t="str">
        <f t="shared" ref="B60:B64" si="3">MID($B$56,(A60-1)*8+1,8)</f>
        <v>01111100</v>
      </c>
      <c r="C60" s="7" t="str">
        <f t="shared" si="2"/>
        <v>7C</v>
      </c>
    </row>
    <row r="61" spans="1:4" x14ac:dyDescent="0.25">
      <c r="A61" s="7">
        <v>3</v>
      </c>
      <c r="B61" s="7" t="str">
        <f t="shared" si="3"/>
        <v>10100010</v>
      </c>
      <c r="C61" s="7" t="str">
        <f t="shared" si="2"/>
        <v>A2</v>
      </c>
    </row>
    <row r="62" spans="1:4" x14ac:dyDescent="0.25">
      <c r="A62" s="7">
        <v>4</v>
      </c>
      <c r="B62" s="7" t="str">
        <f t="shared" si="3"/>
        <v>10001010</v>
      </c>
      <c r="C62" s="7" t="str">
        <f t="shared" si="2"/>
        <v>8A</v>
      </c>
    </row>
    <row r="63" spans="1:4" x14ac:dyDescent="0.25">
      <c r="A63" s="7">
        <v>5</v>
      </c>
      <c r="B63" s="7" t="str">
        <f t="shared" si="3"/>
        <v>11000001</v>
      </c>
      <c r="C63" s="7" t="str">
        <f t="shared" si="2"/>
        <v>C1</v>
      </c>
    </row>
    <row r="64" spans="1:4" x14ac:dyDescent="0.25">
      <c r="A64" s="7">
        <v>6</v>
      </c>
      <c r="B64" s="7" t="str">
        <f t="shared" si="3"/>
        <v>10101100</v>
      </c>
      <c r="C64" s="7" t="str">
        <f t="shared" si="2"/>
        <v>AC</v>
      </c>
    </row>
    <row r="65" spans="1:10" x14ac:dyDescent="0.25">
      <c r="A65" t="s">
        <v>267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01101100</v>
      </c>
      <c r="C68" s="7" t="str">
        <f>BIN2HEX(B68,2)</f>
        <v>6C</v>
      </c>
      <c r="D68">
        <f>BIN2DEC(B68)</f>
        <v>108</v>
      </c>
      <c r="G68" s="7">
        <v>1</v>
      </c>
      <c r="H68" s="7" t="str">
        <f>MID($B$56,(G68-1)*8+1,8)</f>
        <v>00011010</v>
      </c>
      <c r="I68" s="7" t="str">
        <f>BIN2HEX(H68,2)</f>
        <v>1A</v>
      </c>
      <c r="J68">
        <f>BIN2DEC(H68)</f>
        <v>26</v>
      </c>
    </row>
    <row r="69" spans="1:10" x14ac:dyDescent="0.25">
      <c r="A69" s="7">
        <v>2</v>
      </c>
      <c r="B69" s="7" t="str">
        <f t="shared" ref="B69:B73" si="4">MID($D$1,(A69-1)*8+1,8)</f>
        <v>10000100</v>
      </c>
      <c r="C69" s="7" t="str">
        <f t="shared" ref="C69:C73" si="5">BIN2HEX(B69,2)</f>
        <v>84</v>
      </c>
      <c r="D69">
        <f t="shared" ref="D69:D73" si="6">BIN2DEC(B69)</f>
        <v>132</v>
      </c>
      <c r="G69" s="7">
        <v>2</v>
      </c>
      <c r="H69" s="7" t="str">
        <f t="shared" ref="H69:H73" si="7">MID($B$56,(G69-1)*8+1,8)</f>
        <v>01111100</v>
      </c>
      <c r="I69" s="7" t="str">
        <f t="shared" ref="I69:I73" si="8">BIN2HEX(H69,2)</f>
        <v>7C</v>
      </c>
      <c r="J69">
        <f t="shared" ref="J69:J73" si="9">BIN2DEC(H69)</f>
        <v>124</v>
      </c>
    </row>
    <row r="70" spans="1:10" x14ac:dyDescent="0.25">
      <c r="A70" s="7">
        <v>3</v>
      </c>
      <c r="B70" s="7" t="str">
        <f t="shared" si="4"/>
        <v>10110111</v>
      </c>
      <c r="C70" s="7" t="str">
        <f t="shared" si="5"/>
        <v>B7</v>
      </c>
      <c r="D70">
        <f t="shared" si="6"/>
        <v>183</v>
      </c>
      <c r="G70" s="7">
        <v>3</v>
      </c>
      <c r="H70" s="7" t="str">
        <f t="shared" si="7"/>
        <v>10100010</v>
      </c>
      <c r="I70" s="7" t="str">
        <f t="shared" si="8"/>
        <v>A2</v>
      </c>
      <c r="J70">
        <f t="shared" si="9"/>
        <v>162</v>
      </c>
    </row>
    <row r="71" spans="1:10" x14ac:dyDescent="0.25">
      <c r="A71" s="7">
        <v>4</v>
      </c>
      <c r="B71" s="7" t="str">
        <f t="shared" si="4"/>
        <v>10001010</v>
      </c>
      <c r="C71" s="7" t="str">
        <f t="shared" si="5"/>
        <v>8A</v>
      </c>
      <c r="D71">
        <f t="shared" si="6"/>
        <v>138</v>
      </c>
      <c r="G71" s="7">
        <v>4</v>
      </c>
      <c r="H71" s="7" t="str">
        <f t="shared" si="7"/>
        <v>10001010</v>
      </c>
      <c r="I71" s="7" t="str">
        <f t="shared" si="8"/>
        <v>8A</v>
      </c>
      <c r="J71">
        <f t="shared" si="9"/>
        <v>138</v>
      </c>
    </row>
    <row r="72" spans="1:10" x14ac:dyDescent="0.25">
      <c r="A72" s="7">
        <v>5</v>
      </c>
      <c r="B72" s="7" t="str">
        <f t="shared" si="4"/>
        <v>11100100</v>
      </c>
      <c r="C72" s="7" t="str">
        <f t="shared" si="5"/>
        <v>E4</v>
      </c>
      <c r="D72">
        <f t="shared" si="6"/>
        <v>228</v>
      </c>
      <c r="G72" s="7">
        <v>5</v>
      </c>
      <c r="H72" s="7" t="str">
        <f t="shared" si="7"/>
        <v>11000001</v>
      </c>
      <c r="I72" s="7" t="str">
        <f t="shared" si="8"/>
        <v>C1</v>
      </c>
      <c r="J72">
        <f t="shared" si="9"/>
        <v>193</v>
      </c>
    </row>
    <row r="73" spans="1:10" x14ac:dyDescent="0.25">
      <c r="A73" s="7">
        <v>6</v>
      </c>
      <c r="B73" s="7" t="str">
        <f t="shared" si="4"/>
        <v>11000110</v>
      </c>
      <c r="C73" s="7" t="str">
        <f t="shared" si="5"/>
        <v>C6</v>
      </c>
      <c r="D73">
        <f t="shared" si="6"/>
        <v>198</v>
      </c>
      <c r="G73" s="7">
        <v>6</v>
      </c>
      <c r="H73" s="7" t="str">
        <f t="shared" si="7"/>
        <v>10101100</v>
      </c>
      <c r="I73" s="7" t="str">
        <f t="shared" si="8"/>
        <v>AC</v>
      </c>
      <c r="J73">
        <f t="shared" si="9"/>
        <v>172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118</v>
      </c>
      <c r="C76" s="10" t="str">
        <f>DEC2BIN(B76,8)</f>
        <v>01110110</v>
      </c>
      <c r="D76" s="10" t="str">
        <f>DEC2HEX(B76,2)</f>
        <v>76</v>
      </c>
    </row>
    <row r="77" spans="1:10" x14ac:dyDescent="0.25">
      <c r="A77" s="11">
        <v>2</v>
      </c>
      <c r="B77" s="10">
        <f t="shared" ref="B77:B81" si="10">_xlfn.BITXOR(D69,J69)</f>
        <v>248</v>
      </c>
      <c r="C77" s="10" t="str">
        <f t="shared" ref="C77:C81" si="11">DEC2BIN(B77,8)</f>
        <v>11111000</v>
      </c>
      <c r="D77" s="10" t="str">
        <f t="shared" ref="D77:D81" si="12">DEC2HEX(B77,2)</f>
        <v>F8</v>
      </c>
    </row>
    <row r="78" spans="1:10" x14ac:dyDescent="0.25">
      <c r="A78" s="11">
        <v>3</v>
      </c>
      <c r="B78" s="10">
        <f t="shared" si="10"/>
        <v>21</v>
      </c>
      <c r="C78" s="10" t="str">
        <f t="shared" si="11"/>
        <v>00010101</v>
      </c>
      <c r="D78" s="10" t="str">
        <f t="shared" si="12"/>
        <v>15</v>
      </c>
    </row>
    <row r="79" spans="1:10" x14ac:dyDescent="0.25">
      <c r="A79" s="11">
        <v>4</v>
      </c>
      <c r="B79" s="10">
        <f t="shared" si="10"/>
        <v>0</v>
      </c>
      <c r="C79" s="10" t="str">
        <f t="shared" si="11"/>
        <v>00000000</v>
      </c>
      <c r="D79" s="10" t="str">
        <f t="shared" si="12"/>
        <v>00</v>
      </c>
    </row>
    <row r="80" spans="1:10" x14ac:dyDescent="0.25">
      <c r="A80" s="11">
        <v>5</v>
      </c>
      <c r="B80" s="10">
        <f t="shared" si="10"/>
        <v>37</v>
      </c>
      <c r="C80" s="10" t="str">
        <f t="shared" si="11"/>
        <v>00100101</v>
      </c>
      <c r="D80" s="10" t="str">
        <f t="shared" si="12"/>
        <v>25</v>
      </c>
    </row>
    <row r="81" spans="1:10" x14ac:dyDescent="0.25">
      <c r="A81" s="11">
        <v>6</v>
      </c>
      <c r="B81" s="10">
        <f t="shared" si="10"/>
        <v>106</v>
      </c>
      <c r="C81" s="10" t="str">
        <f t="shared" si="11"/>
        <v>01101010</v>
      </c>
      <c r="D81" s="10" t="str">
        <f t="shared" si="12"/>
        <v>6A</v>
      </c>
    </row>
    <row r="83" spans="1:10" ht="21" x14ac:dyDescent="0.35">
      <c r="B83" t="s">
        <v>268</v>
      </c>
      <c r="D83" s="8" t="str">
        <f>C76&amp;C77&amp;C78&amp;C79&amp;C80&amp;C81</f>
        <v>011101101111100000010101000000000010010101101010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011101</v>
      </c>
      <c r="C86" s="10" t="str">
        <f>LEFT(B86,1)&amp;RIGHT(B86,1)</f>
        <v>01</v>
      </c>
      <c r="D86" s="10" t="str">
        <f>MID(B86,2,4)</f>
        <v>1110</v>
      </c>
      <c r="E86" s="10" t="str">
        <f>C86&amp;D86</f>
        <v>011110</v>
      </c>
      <c r="F86" s="10">
        <f>BIN2DEC(E86)</f>
        <v>30</v>
      </c>
      <c r="G86" s="10"/>
      <c r="H86" s="10">
        <f>VLOOKUP(F86,$A$95:$I$158,2,TRUE)</f>
        <v>3</v>
      </c>
      <c r="I86" s="10" t="str">
        <f>DEC2BIN(H86,4)</f>
        <v>0011</v>
      </c>
      <c r="J86" t="str">
        <f t="shared" ref="J86:J90" si="13">I86&amp;J87</f>
        <v>00110010110100100010000101011100</v>
      </c>
    </row>
    <row r="87" spans="1:10" x14ac:dyDescent="0.25">
      <c r="A87" s="10">
        <v>2</v>
      </c>
      <c r="B87" s="10" t="str">
        <f t="shared" ref="B87:B93" si="14">MID($D$83,(A87-1)*6+1,6)</f>
        <v>101111</v>
      </c>
      <c r="C87" s="10" t="str">
        <f t="shared" ref="C87:C93" si="15">LEFT(B87,1)&amp;RIGHT(B87,1)</f>
        <v>11</v>
      </c>
      <c r="D87" s="10" t="str">
        <f t="shared" ref="D87:D93" si="16">MID(B87,2,4)</f>
        <v>0111</v>
      </c>
      <c r="E87" s="10" t="str">
        <f t="shared" ref="E87:E93" si="17">C87&amp;D87</f>
        <v>110111</v>
      </c>
      <c r="F87" s="10">
        <f t="shared" ref="F87:F93" si="18">BIN2DEC(E87)</f>
        <v>55</v>
      </c>
      <c r="G87" s="10"/>
      <c r="H87" s="10">
        <f>VLOOKUP(F87,$A$95:$I$158,3,TRUE)</f>
        <v>2</v>
      </c>
      <c r="I87" s="10" t="str">
        <f t="shared" ref="I87:I93" si="19">DEC2BIN(H87,4)</f>
        <v>0010</v>
      </c>
      <c r="J87" t="str">
        <f t="shared" si="13"/>
        <v>0010110100100010000101011100</v>
      </c>
    </row>
    <row r="88" spans="1:10" x14ac:dyDescent="0.25">
      <c r="A88" s="10">
        <v>3</v>
      </c>
      <c r="B88" s="10" t="str">
        <f t="shared" si="14"/>
        <v>100000</v>
      </c>
      <c r="C88" s="10" t="str">
        <f t="shared" si="15"/>
        <v>10</v>
      </c>
      <c r="D88" s="10" t="str">
        <f t="shared" si="16"/>
        <v>0000</v>
      </c>
      <c r="E88" s="10" t="str">
        <f t="shared" si="17"/>
        <v>100000</v>
      </c>
      <c r="F88" s="10">
        <f t="shared" si="18"/>
        <v>32</v>
      </c>
      <c r="G88" s="10"/>
      <c r="H88" s="10">
        <f>VLOOKUP(F88,$A$95:$I$158,4,TRUE)</f>
        <v>13</v>
      </c>
      <c r="I88" s="10" t="str">
        <f t="shared" si="19"/>
        <v>1101</v>
      </c>
      <c r="J88" t="str">
        <f t="shared" si="13"/>
        <v>110100100010000101011100</v>
      </c>
    </row>
    <row r="89" spans="1:10" x14ac:dyDescent="0.25">
      <c r="A89" s="10">
        <v>4</v>
      </c>
      <c r="B89" s="10" t="str">
        <f t="shared" si="14"/>
        <v>010101</v>
      </c>
      <c r="C89" s="10" t="str">
        <f t="shared" si="15"/>
        <v>01</v>
      </c>
      <c r="D89" s="10" t="str">
        <f t="shared" si="16"/>
        <v>1010</v>
      </c>
      <c r="E89" s="10" t="str">
        <f t="shared" si="17"/>
        <v>011010</v>
      </c>
      <c r="F89" s="10">
        <f t="shared" si="18"/>
        <v>26</v>
      </c>
      <c r="G89" s="10"/>
      <c r="H89" s="10">
        <f>VLOOKUP(F89,$A$95:$I$158,5,TRUE)</f>
        <v>2</v>
      </c>
      <c r="I89" s="10" t="str">
        <f t="shared" si="19"/>
        <v>0010</v>
      </c>
      <c r="J89" t="str">
        <f t="shared" si="13"/>
        <v>00100010000101011100</v>
      </c>
    </row>
    <row r="90" spans="1:10" x14ac:dyDescent="0.25">
      <c r="A90" s="10">
        <v>5</v>
      </c>
      <c r="B90" s="10" t="str">
        <f t="shared" si="14"/>
        <v>000000</v>
      </c>
      <c r="C90" s="10" t="str">
        <f t="shared" si="15"/>
        <v>00</v>
      </c>
      <c r="D90" s="10" t="str">
        <f t="shared" si="16"/>
        <v>0000</v>
      </c>
      <c r="E90" s="10" t="str">
        <f t="shared" si="17"/>
        <v>000000</v>
      </c>
      <c r="F90" s="10">
        <f t="shared" si="18"/>
        <v>0</v>
      </c>
      <c r="G90" s="10"/>
      <c r="H90" s="10">
        <f>VLOOKUP(F90,$A$95:$I$158,6,TRUE)</f>
        <v>2</v>
      </c>
      <c r="I90" s="10" t="str">
        <f t="shared" si="19"/>
        <v>0010</v>
      </c>
      <c r="J90" t="str">
        <f t="shared" si="13"/>
        <v>0010000101011100</v>
      </c>
    </row>
    <row r="91" spans="1:10" x14ac:dyDescent="0.25">
      <c r="A91" s="10">
        <v>6</v>
      </c>
      <c r="B91" s="10" t="str">
        <f t="shared" si="14"/>
        <v>000010</v>
      </c>
      <c r="C91" s="10" t="str">
        <f t="shared" si="15"/>
        <v>00</v>
      </c>
      <c r="D91" s="10" t="str">
        <f t="shared" si="16"/>
        <v>0001</v>
      </c>
      <c r="E91" s="10" t="str">
        <f t="shared" si="17"/>
        <v>000001</v>
      </c>
      <c r="F91" s="10">
        <f t="shared" si="18"/>
        <v>1</v>
      </c>
      <c r="G91" s="10"/>
      <c r="H91" s="10">
        <f>VLOOKUP(F91,$A$95:$I$158,7,TRUE)</f>
        <v>1</v>
      </c>
      <c r="I91" s="10" t="str">
        <f t="shared" si="19"/>
        <v>0001</v>
      </c>
      <c r="J91" t="str">
        <f>I91&amp;J92</f>
        <v>000101011100</v>
      </c>
    </row>
    <row r="92" spans="1:10" x14ac:dyDescent="0.25">
      <c r="A92" s="10">
        <v>7</v>
      </c>
      <c r="B92" s="10" t="str">
        <f t="shared" si="14"/>
        <v>010101</v>
      </c>
      <c r="C92" s="10" t="str">
        <f t="shared" si="15"/>
        <v>01</v>
      </c>
      <c r="D92" s="10" t="str">
        <f t="shared" si="16"/>
        <v>1010</v>
      </c>
      <c r="E92" s="10" t="str">
        <f t="shared" si="17"/>
        <v>011010</v>
      </c>
      <c r="F92" s="10">
        <f t="shared" si="18"/>
        <v>26</v>
      </c>
      <c r="G92" s="10"/>
      <c r="H92" s="10">
        <f>VLOOKUP(F92,$A$95:$I$158,8,TRUE)</f>
        <v>5</v>
      </c>
      <c r="I92" s="10" t="str">
        <f t="shared" si="19"/>
        <v>0101</v>
      </c>
      <c r="J92" t="str">
        <f>I92&amp;I93</f>
        <v>01011100</v>
      </c>
    </row>
    <row r="93" spans="1:10" x14ac:dyDescent="0.25">
      <c r="A93" s="10">
        <v>8</v>
      </c>
      <c r="B93" s="10" t="str">
        <f t="shared" si="14"/>
        <v>101010</v>
      </c>
      <c r="C93" s="10" t="str">
        <f t="shared" si="15"/>
        <v>10</v>
      </c>
      <c r="D93" s="10" t="str">
        <f t="shared" si="16"/>
        <v>0101</v>
      </c>
      <c r="E93" s="10" t="str">
        <f t="shared" si="17"/>
        <v>100101</v>
      </c>
      <c r="F93" s="10">
        <f t="shared" si="18"/>
        <v>37</v>
      </c>
      <c r="G93" s="10"/>
      <c r="H93" s="10">
        <f>VLOOKUP(F93,$A$95:$I$158,9,TRUE)</f>
        <v>12</v>
      </c>
      <c r="I93" s="10" t="str">
        <f t="shared" si="19"/>
        <v>1100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00110010110100100010000101011100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0</v>
      </c>
      <c r="D165" t="str">
        <f t="shared" ref="D165:D193" si="20">C165&amp;D166</f>
        <v>01001110010100010010001110100010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1001110010100010010001110100010</v>
      </c>
    </row>
    <row r="167" spans="1:6" x14ac:dyDescent="0.25">
      <c r="A167">
        <v>3</v>
      </c>
      <c r="B167">
        <v>20</v>
      </c>
      <c r="C167" t="str">
        <f t="shared" si="21"/>
        <v>0</v>
      </c>
      <c r="D167" t="str">
        <f t="shared" si="20"/>
        <v>001110010100010010001110100010</v>
      </c>
    </row>
    <row r="168" spans="1:6" x14ac:dyDescent="0.25">
      <c r="A168">
        <v>4</v>
      </c>
      <c r="B168">
        <v>21</v>
      </c>
      <c r="C168" t="str">
        <f t="shared" si="21"/>
        <v>0</v>
      </c>
      <c r="D168" t="str">
        <f t="shared" si="20"/>
        <v>01110010100010010001110100010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1110010100010010001110100010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110010100010010001110100010</v>
      </c>
    </row>
    <row r="171" spans="1:6" x14ac:dyDescent="0.25">
      <c r="A171">
        <v>7</v>
      </c>
      <c r="B171">
        <v>28</v>
      </c>
      <c r="C171" t="str">
        <f t="shared" si="21"/>
        <v>1</v>
      </c>
      <c r="D171" t="str">
        <f t="shared" si="20"/>
        <v>10010100010010001110100010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0010100010010001110100010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010100010010001110100010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10100010010001110100010</v>
      </c>
    </row>
    <row r="175" spans="1:6" x14ac:dyDescent="0.25">
      <c r="A175">
        <v>11</v>
      </c>
      <c r="B175">
        <v>23</v>
      </c>
      <c r="C175" t="str">
        <f t="shared" si="21"/>
        <v>0</v>
      </c>
      <c r="D175" t="str">
        <f t="shared" si="20"/>
        <v>0100010010001110100010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100010010001110100010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00010010001110100010</v>
      </c>
    </row>
    <row r="178" spans="1:4" x14ac:dyDescent="0.25">
      <c r="A178">
        <v>14</v>
      </c>
      <c r="B178">
        <v>18</v>
      </c>
      <c r="C178" t="str">
        <f t="shared" si="21"/>
        <v>0</v>
      </c>
      <c r="D178" t="str">
        <f t="shared" si="20"/>
        <v>0010010001110100010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010010001110100010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10010001110100010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0010001110100010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010001110100010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10001110100010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0001110100010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001110100010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01110100010</v>
      </c>
    </row>
    <row r="187" spans="1:4" x14ac:dyDescent="0.25">
      <c r="A187">
        <v>23</v>
      </c>
      <c r="B187">
        <v>3</v>
      </c>
      <c r="C187" t="str">
        <f t="shared" si="21"/>
        <v>1</v>
      </c>
      <c r="D187" t="str">
        <f t="shared" si="20"/>
        <v>1110100010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110100010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10100010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0100010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100010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00010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0010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010</v>
      </c>
    </row>
    <row r="195" spans="1:11" x14ac:dyDescent="0.25">
      <c r="A195">
        <v>31</v>
      </c>
      <c r="B195">
        <v>4</v>
      </c>
      <c r="C195" t="str">
        <f t="shared" si="21"/>
        <v>1</v>
      </c>
      <c r="D195" t="str">
        <f>C195&amp;C196</f>
        <v>10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269</v>
      </c>
      <c r="B198" s="16" t="str">
        <f>D165</f>
        <v>01001110010100010010001110100010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01001110</v>
      </c>
      <c r="J199" s="7" t="str">
        <f>BIN2HEX(I199,2)</f>
        <v>4E</v>
      </c>
      <c r="K199">
        <f>BIN2DEC(I199)</f>
        <v>78</v>
      </c>
    </row>
    <row r="200" spans="1:11" x14ac:dyDescent="0.25">
      <c r="H200" s="7">
        <v>2</v>
      </c>
      <c r="I200" s="7" t="str">
        <f t="shared" ref="I200:I202" si="22">MID($B$198,(H200-1)*8+1,8)</f>
        <v>01010001</v>
      </c>
      <c r="J200" s="7" t="str">
        <f t="shared" ref="J200:J202" si="23">BIN2HEX(I200,2)</f>
        <v>51</v>
      </c>
      <c r="K200">
        <f t="shared" ref="K200:K202" si="24">BIN2DEC(I200)</f>
        <v>81</v>
      </c>
    </row>
    <row r="201" spans="1:11" x14ac:dyDescent="0.25">
      <c r="H201" s="7">
        <v>3</v>
      </c>
      <c r="I201" s="7" t="str">
        <f t="shared" si="22"/>
        <v>00100011</v>
      </c>
      <c r="J201" s="7" t="str">
        <f t="shared" si="23"/>
        <v>23</v>
      </c>
      <c r="K201">
        <f t="shared" si="24"/>
        <v>35</v>
      </c>
    </row>
    <row r="202" spans="1:11" x14ac:dyDescent="0.25">
      <c r="H202" s="7">
        <v>4</v>
      </c>
      <c r="I202" s="7" t="str">
        <f t="shared" si="22"/>
        <v>10100010</v>
      </c>
      <c r="J202" s="7" t="str">
        <f t="shared" si="23"/>
        <v>A2</v>
      </c>
      <c r="K202">
        <f t="shared" si="24"/>
        <v>162</v>
      </c>
    </row>
    <row r="205" spans="1:11" ht="18.75" x14ac:dyDescent="0.3">
      <c r="A205" t="s">
        <v>108</v>
      </c>
      <c r="B205" s="16" t="str">
        <f>B4</f>
        <v>00001101001001101011110011110101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00001101</v>
      </c>
      <c r="J206" s="7" t="str">
        <f>BIN2HEX(I206,2)</f>
        <v>0D</v>
      </c>
      <c r="K206">
        <f>BIN2DEC(I206)</f>
        <v>13</v>
      </c>
    </row>
    <row r="207" spans="1:11" x14ac:dyDescent="0.25">
      <c r="H207" s="7">
        <v>2</v>
      </c>
      <c r="I207" s="7" t="str">
        <f t="shared" ref="I207:I209" si="25">MID($B$205,(H207-1)*8+1,8)</f>
        <v>00100110</v>
      </c>
      <c r="J207" s="7" t="str">
        <f t="shared" ref="J207:J209" si="26">BIN2HEX(I207,2)</f>
        <v>26</v>
      </c>
      <c r="K207">
        <f t="shared" ref="K207:K209" si="27">BIN2DEC(I207)</f>
        <v>38</v>
      </c>
    </row>
    <row r="208" spans="1:11" x14ac:dyDescent="0.25">
      <c r="H208" s="7">
        <v>3</v>
      </c>
      <c r="I208" s="7" t="str">
        <f t="shared" si="25"/>
        <v>10111100</v>
      </c>
      <c r="J208" s="7" t="str">
        <f t="shared" si="26"/>
        <v>BC</v>
      </c>
      <c r="K208">
        <f t="shared" si="27"/>
        <v>188</v>
      </c>
    </row>
    <row r="209" spans="1:11" x14ac:dyDescent="0.25">
      <c r="H209" s="7">
        <v>4</v>
      </c>
      <c r="I209" s="7" t="str">
        <f t="shared" si="25"/>
        <v>11110101</v>
      </c>
      <c r="J209" s="7" t="str">
        <f t="shared" si="26"/>
        <v>F5</v>
      </c>
      <c r="K209">
        <f t="shared" si="27"/>
        <v>245</v>
      </c>
    </row>
    <row r="211" spans="1:11" x14ac:dyDescent="0.25">
      <c r="A211" t="s">
        <v>270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67</v>
      </c>
      <c r="D213" s="7" t="str">
        <f>DEC2HEX(C213)</f>
        <v>43</v>
      </c>
      <c r="E213" s="7" t="str">
        <f>DEC2BIN(C213,8)</f>
        <v>01000011</v>
      </c>
    </row>
    <row r="214" spans="1:11" x14ac:dyDescent="0.25">
      <c r="B214" s="7">
        <v>2</v>
      </c>
      <c r="C214" s="7">
        <f t="shared" ref="C214:C216" si="28">_xlfn.BITXOR(K200,K207)</f>
        <v>119</v>
      </c>
      <c r="D214" s="7" t="str">
        <f t="shared" ref="D214:D216" si="29">DEC2HEX(C214)</f>
        <v>77</v>
      </c>
      <c r="E214" s="7" t="str">
        <f t="shared" ref="E214:E216" si="30">DEC2BIN(C214,8)</f>
        <v>01110111</v>
      </c>
    </row>
    <row r="215" spans="1:11" x14ac:dyDescent="0.25">
      <c r="B215" s="7">
        <v>3</v>
      </c>
      <c r="C215" s="7">
        <f t="shared" si="28"/>
        <v>159</v>
      </c>
      <c r="D215" s="7" t="str">
        <f t="shared" si="29"/>
        <v>9F</v>
      </c>
      <c r="E215" s="7" t="str">
        <f t="shared" si="30"/>
        <v>10011111</v>
      </c>
    </row>
    <row r="216" spans="1:11" x14ac:dyDescent="0.25">
      <c r="B216" s="7">
        <v>4</v>
      </c>
      <c r="C216" s="7">
        <f t="shared" si="28"/>
        <v>87</v>
      </c>
      <c r="D216" s="7" t="str">
        <f t="shared" si="29"/>
        <v>57</v>
      </c>
      <c r="E216" s="7" t="str">
        <f t="shared" si="30"/>
        <v>01010111</v>
      </c>
    </row>
    <row r="219" spans="1:11" ht="21" x14ac:dyDescent="0.35">
      <c r="A219" t="s">
        <v>109</v>
      </c>
      <c r="B219" s="8" t="str">
        <f>E213&amp;E214&amp;E215&amp;E216</f>
        <v>01000011011101111001111101010111</v>
      </c>
      <c r="C219" s="8"/>
      <c r="D219" s="8"/>
      <c r="E219" s="8"/>
    </row>
    <row r="220" spans="1:11" x14ac:dyDescent="0.25">
      <c r="A220" t="s">
        <v>110</v>
      </c>
    </row>
    <row r="221" spans="1:11" ht="21" x14ac:dyDescent="0.35">
      <c r="A221" t="s">
        <v>111</v>
      </c>
      <c r="B221" s="8" t="str">
        <f>B2</f>
        <v>00110011100100010001011000110110</v>
      </c>
      <c r="C221" s="8"/>
      <c r="D221" s="8"/>
      <c r="E221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6453-F31F-4C55-A0F4-0DFB562DA8B1}">
  <dimension ref="A1:O54"/>
  <sheetViews>
    <sheetView workbookViewId="0">
      <selection activeCell="B6" sqref="B6"/>
    </sheetView>
  </sheetViews>
  <sheetFormatPr defaultRowHeight="15" x14ac:dyDescent="0.25"/>
  <sheetData>
    <row r="1" spans="1:15" ht="18.75" x14ac:dyDescent="0.3">
      <c r="A1" t="s">
        <v>106</v>
      </c>
      <c r="B1" s="22" t="s">
        <v>181</v>
      </c>
      <c r="I1" t="s">
        <v>107</v>
      </c>
      <c r="J1" s="22" t="s">
        <v>145</v>
      </c>
    </row>
    <row r="2" spans="1:15" ht="18.75" x14ac:dyDescent="0.3">
      <c r="A2" t="s">
        <v>112</v>
      </c>
      <c r="B2" s="22" t="s">
        <v>184</v>
      </c>
      <c r="I2" t="s">
        <v>114</v>
      </c>
      <c r="J2" s="22" t="s">
        <v>158</v>
      </c>
    </row>
    <row r="4" spans="1:15" x14ac:dyDescent="0.25">
      <c r="A4" t="s">
        <v>271</v>
      </c>
      <c r="D4" s="1" t="str">
        <f>D7</f>
        <v>111101111000100000111010111011001110011110000001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5" x14ac:dyDescent="0.25">
      <c r="B5" t="s">
        <v>272</v>
      </c>
      <c r="C5" s="6" t="s">
        <v>185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11110111</v>
      </c>
      <c r="L5" s="7" t="str">
        <f>BIN2HEX(K5,2)</f>
        <v>F7</v>
      </c>
      <c r="O5" s="20"/>
    </row>
    <row r="6" spans="1:15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10001000</v>
      </c>
      <c r="L6" s="7" t="str">
        <f t="shared" ref="L6:L10" si="1">BIN2HEX(K6,2)</f>
        <v>88</v>
      </c>
      <c r="O6" s="20"/>
    </row>
    <row r="7" spans="1:15" x14ac:dyDescent="0.25">
      <c r="A7">
        <v>1</v>
      </c>
      <c r="B7">
        <v>14</v>
      </c>
      <c r="C7" t="str">
        <f t="shared" ref="C7:C54" si="2">MID($C$5,B7,1)</f>
        <v>1</v>
      </c>
      <c r="D7" t="str">
        <f t="shared" ref="D7:D51" si="3">C7&amp;D8</f>
        <v>111101111000100000111010111011001110011110000001</v>
      </c>
      <c r="J7" s="7">
        <v>3</v>
      </c>
      <c r="K7" s="7" t="str">
        <f t="shared" si="0"/>
        <v>00111010</v>
      </c>
      <c r="L7" s="7" t="str">
        <f t="shared" si="1"/>
        <v>3A</v>
      </c>
    </row>
    <row r="8" spans="1:15" x14ac:dyDescent="0.25">
      <c r="A8">
        <v>2</v>
      </c>
      <c r="B8">
        <v>17</v>
      </c>
      <c r="C8" t="str">
        <f t="shared" si="2"/>
        <v>1</v>
      </c>
      <c r="D8" t="str">
        <f t="shared" si="3"/>
        <v>11101111000100000111010111011001110011110000001</v>
      </c>
      <c r="J8" s="7">
        <v>4</v>
      </c>
      <c r="K8" s="7" t="str">
        <f t="shared" si="0"/>
        <v>11101100</v>
      </c>
      <c r="L8" s="7" t="str">
        <f t="shared" si="1"/>
        <v>EC</v>
      </c>
    </row>
    <row r="9" spans="1:15" x14ac:dyDescent="0.25">
      <c r="A9">
        <v>3</v>
      </c>
      <c r="B9">
        <v>11</v>
      </c>
      <c r="C9" t="str">
        <f t="shared" si="2"/>
        <v>1</v>
      </c>
      <c r="D9" t="str">
        <f t="shared" si="3"/>
        <v>1101111000100000111010111011001110011110000001</v>
      </c>
      <c r="J9" s="7">
        <v>5</v>
      </c>
      <c r="K9" s="7" t="str">
        <f t="shared" si="0"/>
        <v>11100111</v>
      </c>
      <c r="L9" s="7" t="str">
        <f t="shared" si="1"/>
        <v>E7</v>
      </c>
    </row>
    <row r="10" spans="1:15" x14ac:dyDescent="0.25">
      <c r="A10">
        <v>4</v>
      </c>
      <c r="B10">
        <v>24</v>
      </c>
      <c r="C10" t="str">
        <f t="shared" si="2"/>
        <v>1</v>
      </c>
      <c r="D10" t="str">
        <f t="shared" si="3"/>
        <v>101111000100000111010111011001110011110000001</v>
      </c>
      <c r="J10" s="7">
        <v>6</v>
      </c>
      <c r="K10" s="7" t="str">
        <f>MID($D$4,(J10-1)*8+1,8)</f>
        <v>10000001</v>
      </c>
      <c r="L10" s="7" t="str">
        <f t="shared" si="1"/>
        <v>81</v>
      </c>
    </row>
    <row r="11" spans="1:15" x14ac:dyDescent="0.25">
      <c r="A11">
        <v>5</v>
      </c>
      <c r="B11">
        <v>1</v>
      </c>
      <c r="C11" t="str">
        <f t="shared" si="2"/>
        <v>0</v>
      </c>
      <c r="D11" t="str">
        <f t="shared" si="3"/>
        <v>01111000100000111010111011001110011110000001</v>
      </c>
    </row>
    <row r="12" spans="1:15" x14ac:dyDescent="0.25">
      <c r="A12">
        <v>6</v>
      </c>
      <c r="B12">
        <v>5</v>
      </c>
      <c r="C12" t="str">
        <f t="shared" si="2"/>
        <v>1</v>
      </c>
      <c r="D12" t="str">
        <f t="shared" si="3"/>
        <v>1111000100000111010111011001110011110000001</v>
      </c>
    </row>
    <row r="13" spans="1:15" x14ac:dyDescent="0.25">
      <c r="A13">
        <v>7</v>
      </c>
      <c r="B13">
        <v>3</v>
      </c>
      <c r="C13" t="str">
        <f t="shared" si="2"/>
        <v>1</v>
      </c>
      <c r="D13" t="str">
        <f t="shared" si="3"/>
        <v>111000100000111010111011001110011110000001</v>
      </c>
    </row>
    <row r="14" spans="1:15" x14ac:dyDescent="0.25">
      <c r="A14">
        <v>8</v>
      </c>
      <c r="B14">
        <v>28</v>
      </c>
      <c r="C14" t="str">
        <f t="shared" si="2"/>
        <v>1</v>
      </c>
      <c r="D14" t="str">
        <f t="shared" si="3"/>
        <v>11000100000111010111011001110011110000001</v>
      </c>
    </row>
    <row r="15" spans="1:15" x14ac:dyDescent="0.25">
      <c r="A15">
        <v>9</v>
      </c>
      <c r="B15">
        <v>15</v>
      </c>
      <c r="C15" t="str">
        <f t="shared" si="2"/>
        <v>1</v>
      </c>
      <c r="D15" t="str">
        <f t="shared" si="3"/>
        <v>1000100000111010111011001110011110000001</v>
      </c>
    </row>
    <row r="16" spans="1:15" x14ac:dyDescent="0.25">
      <c r="A16">
        <v>10</v>
      </c>
      <c r="B16">
        <v>6</v>
      </c>
      <c r="C16" t="str">
        <f t="shared" si="2"/>
        <v>0</v>
      </c>
      <c r="D16" t="str">
        <f t="shared" si="3"/>
        <v>000100000111010111011001110011110000001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00100000111010111011001110011110000001</v>
      </c>
    </row>
    <row r="18" spans="1:4" x14ac:dyDescent="0.25">
      <c r="A18">
        <v>12</v>
      </c>
      <c r="B18">
        <v>10</v>
      </c>
      <c r="C18" t="str">
        <f t="shared" si="2"/>
        <v>0</v>
      </c>
      <c r="D18" t="str">
        <f t="shared" si="3"/>
        <v>0100000111010111011001110011110000001</v>
      </c>
    </row>
    <row r="19" spans="1:4" x14ac:dyDescent="0.25">
      <c r="A19">
        <v>13</v>
      </c>
      <c r="B19">
        <v>23</v>
      </c>
      <c r="C19" t="str">
        <f t="shared" si="2"/>
        <v>1</v>
      </c>
      <c r="D19" t="str">
        <f t="shared" si="3"/>
        <v>100000111010111011001110011110000001</v>
      </c>
    </row>
    <row r="20" spans="1:4" x14ac:dyDescent="0.25">
      <c r="A20">
        <v>14</v>
      </c>
      <c r="B20">
        <v>19</v>
      </c>
      <c r="C20" t="str">
        <f t="shared" si="2"/>
        <v>0</v>
      </c>
      <c r="D20" t="str">
        <f t="shared" si="3"/>
        <v>00000111010111011001110011110000001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0000111010111011001110011110000001</v>
      </c>
    </row>
    <row r="22" spans="1:4" x14ac:dyDescent="0.25">
      <c r="A22">
        <v>16</v>
      </c>
      <c r="B22">
        <v>4</v>
      </c>
      <c r="C22" t="str">
        <f t="shared" si="2"/>
        <v>0</v>
      </c>
      <c r="D22" t="str">
        <f t="shared" si="3"/>
        <v>000111010111011001110011110000001</v>
      </c>
    </row>
    <row r="23" spans="1:4" x14ac:dyDescent="0.25">
      <c r="A23">
        <v>17</v>
      </c>
      <c r="B23">
        <v>26</v>
      </c>
      <c r="C23" t="str">
        <f t="shared" si="2"/>
        <v>0</v>
      </c>
      <c r="D23" t="str">
        <f t="shared" si="3"/>
        <v>00111010111011001110011110000001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0111010111011001110011110000001</v>
      </c>
    </row>
    <row r="25" spans="1:4" x14ac:dyDescent="0.25">
      <c r="A25">
        <v>19</v>
      </c>
      <c r="B25">
        <v>16</v>
      </c>
      <c r="C25" t="str">
        <f t="shared" si="2"/>
        <v>1</v>
      </c>
      <c r="D25" t="str">
        <f t="shared" si="3"/>
        <v>111010111011001110011110000001</v>
      </c>
    </row>
    <row r="26" spans="1:4" x14ac:dyDescent="0.25">
      <c r="A26">
        <v>20</v>
      </c>
      <c r="B26">
        <v>7</v>
      </c>
      <c r="C26" t="str">
        <f t="shared" si="2"/>
        <v>1</v>
      </c>
      <c r="D26" t="str">
        <f t="shared" si="3"/>
        <v>11010111011001110011110000001</v>
      </c>
    </row>
    <row r="27" spans="1:4" x14ac:dyDescent="0.25">
      <c r="A27">
        <v>21</v>
      </c>
      <c r="B27">
        <v>27</v>
      </c>
      <c r="C27" t="str">
        <f t="shared" si="2"/>
        <v>1</v>
      </c>
      <c r="D27" t="str">
        <f t="shared" si="3"/>
        <v>1010111011001110011110000001</v>
      </c>
    </row>
    <row r="28" spans="1:4" x14ac:dyDescent="0.25">
      <c r="A28">
        <v>22</v>
      </c>
      <c r="B28">
        <v>20</v>
      </c>
      <c r="C28" t="str">
        <f t="shared" si="2"/>
        <v>0</v>
      </c>
      <c r="D28" t="str">
        <f t="shared" si="3"/>
        <v>010111011001110011110000001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10111011001110011110000001</v>
      </c>
    </row>
    <row r="30" spans="1:4" x14ac:dyDescent="0.25">
      <c r="A30">
        <v>24</v>
      </c>
      <c r="B30">
        <v>2</v>
      </c>
      <c r="C30" t="str">
        <f t="shared" si="2"/>
        <v>0</v>
      </c>
      <c r="D30" t="str">
        <f t="shared" si="3"/>
        <v>0111011001110011110000001</v>
      </c>
    </row>
    <row r="31" spans="1:4" x14ac:dyDescent="0.25">
      <c r="A31">
        <v>25</v>
      </c>
      <c r="B31">
        <v>41</v>
      </c>
      <c r="C31" t="str">
        <f t="shared" si="2"/>
        <v>1</v>
      </c>
      <c r="D31" t="str">
        <f t="shared" si="3"/>
        <v>111011001110011110000001</v>
      </c>
    </row>
    <row r="32" spans="1:4" x14ac:dyDescent="0.25">
      <c r="A32">
        <v>26</v>
      </c>
      <c r="B32">
        <v>52</v>
      </c>
      <c r="C32" t="str">
        <f t="shared" si="2"/>
        <v>1</v>
      </c>
      <c r="D32" t="str">
        <f t="shared" si="3"/>
        <v>11011001110011110000001</v>
      </c>
    </row>
    <row r="33" spans="1:4" x14ac:dyDescent="0.25">
      <c r="A33">
        <v>27</v>
      </c>
      <c r="B33">
        <v>31</v>
      </c>
      <c r="C33" t="str">
        <f t="shared" si="2"/>
        <v>1</v>
      </c>
      <c r="D33" t="str">
        <f t="shared" si="3"/>
        <v>1011001110011110000001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011001110011110000001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11001110011110000001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1001110011110000001</v>
      </c>
    </row>
    <row r="37" spans="1:4" x14ac:dyDescent="0.25">
      <c r="A37">
        <v>31</v>
      </c>
      <c r="B37">
        <v>30</v>
      </c>
      <c r="C37" t="str">
        <f t="shared" si="2"/>
        <v>0</v>
      </c>
      <c r="D37" t="str">
        <f t="shared" si="3"/>
        <v>001110011110000001</v>
      </c>
    </row>
    <row r="38" spans="1:4" x14ac:dyDescent="0.25">
      <c r="A38">
        <v>32</v>
      </c>
      <c r="B38">
        <v>40</v>
      </c>
      <c r="C38" t="str">
        <f t="shared" si="2"/>
        <v>0</v>
      </c>
      <c r="D38" t="str">
        <f t="shared" si="3"/>
        <v>01110011110000001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1110011110000001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110011110000001</v>
      </c>
    </row>
    <row r="41" spans="1:4" x14ac:dyDescent="0.25">
      <c r="A41">
        <v>35</v>
      </c>
      <c r="B41">
        <v>33</v>
      </c>
      <c r="C41" t="str">
        <f t="shared" si="2"/>
        <v>1</v>
      </c>
      <c r="D41" t="str">
        <f t="shared" si="3"/>
        <v>10011110000001</v>
      </c>
    </row>
    <row r="42" spans="1:4" x14ac:dyDescent="0.25">
      <c r="A42">
        <v>36</v>
      </c>
      <c r="B42">
        <v>48</v>
      </c>
      <c r="C42" t="str">
        <f t="shared" si="2"/>
        <v>0</v>
      </c>
      <c r="D42" t="str">
        <f t="shared" si="3"/>
        <v>0011110000001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011110000001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11110000001</v>
      </c>
    </row>
    <row r="45" spans="1:4" x14ac:dyDescent="0.25">
      <c r="A45">
        <v>39</v>
      </c>
      <c r="B45">
        <v>39</v>
      </c>
      <c r="C45" t="str">
        <f t="shared" si="2"/>
        <v>1</v>
      </c>
      <c r="D45" t="str">
        <f t="shared" si="3"/>
        <v>1110000001</v>
      </c>
    </row>
    <row r="46" spans="1:4" x14ac:dyDescent="0.25">
      <c r="A46">
        <v>40</v>
      </c>
      <c r="B46">
        <v>56</v>
      </c>
      <c r="C46" t="str">
        <f t="shared" si="2"/>
        <v>1</v>
      </c>
      <c r="D46" t="str">
        <f t="shared" si="3"/>
        <v>110000001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10000001</v>
      </c>
    </row>
    <row r="48" spans="1:4" x14ac:dyDescent="0.25">
      <c r="A48">
        <v>42</v>
      </c>
      <c r="B48">
        <v>53</v>
      </c>
      <c r="C48" t="str">
        <f t="shared" si="2"/>
        <v>0</v>
      </c>
      <c r="D48" t="str">
        <f t="shared" si="3"/>
        <v>0000001</v>
      </c>
    </row>
    <row r="49" spans="1:4" x14ac:dyDescent="0.25">
      <c r="A49">
        <v>43</v>
      </c>
      <c r="B49">
        <v>46</v>
      </c>
      <c r="C49" t="str">
        <f t="shared" si="2"/>
        <v>0</v>
      </c>
      <c r="D49" t="str">
        <f t="shared" si="3"/>
        <v>000001</v>
      </c>
    </row>
    <row r="50" spans="1:4" x14ac:dyDescent="0.25">
      <c r="A50">
        <v>44</v>
      </c>
      <c r="B50">
        <v>42</v>
      </c>
      <c r="C50" t="str">
        <f t="shared" si="2"/>
        <v>0</v>
      </c>
      <c r="D50" t="str">
        <f t="shared" si="3"/>
        <v>00001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0001</v>
      </c>
    </row>
    <row r="52" spans="1:4" x14ac:dyDescent="0.25">
      <c r="A52">
        <v>46</v>
      </c>
      <c r="B52">
        <v>36</v>
      </c>
      <c r="C52" t="str">
        <f t="shared" si="2"/>
        <v>0</v>
      </c>
      <c r="D52" t="str">
        <f>C52&amp;D53</f>
        <v>001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6A97-870D-4840-9770-04FD71F726DB}">
  <dimension ref="A1:K221"/>
  <sheetViews>
    <sheetView topLeftCell="A191" workbookViewId="0">
      <selection activeCell="A212" sqref="A212"/>
    </sheetView>
  </sheetViews>
  <sheetFormatPr defaultRowHeight="15" x14ac:dyDescent="0.25"/>
  <sheetData>
    <row r="1" spans="1:4" x14ac:dyDescent="0.25">
      <c r="A1" t="s">
        <v>271</v>
      </c>
      <c r="D1" t="s">
        <v>186</v>
      </c>
    </row>
    <row r="2" spans="1:4" x14ac:dyDescent="0.25">
      <c r="A2" t="s">
        <v>109</v>
      </c>
      <c r="B2" t="s">
        <v>222</v>
      </c>
    </row>
    <row r="3" spans="1:4" x14ac:dyDescent="0.25">
      <c r="A3" t="s">
        <v>110</v>
      </c>
    </row>
    <row r="4" spans="1:4" x14ac:dyDescent="0.25">
      <c r="A4" t="s">
        <v>111</v>
      </c>
      <c r="B4" t="s">
        <v>221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1</v>
      </c>
      <c r="D7" t="str">
        <f t="shared" ref="D7:D52" si="0">C7&amp;D8</f>
        <v>101000000110101110101111110011111110101010101110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01000000110101110101111110011111110101010101110</v>
      </c>
    </row>
    <row r="9" spans="1:4" x14ac:dyDescent="0.25">
      <c r="A9">
        <v>3</v>
      </c>
      <c r="B9">
        <v>2</v>
      </c>
      <c r="C9" t="str">
        <f t="shared" si="1"/>
        <v>1</v>
      </c>
      <c r="D9" t="str">
        <f t="shared" si="0"/>
        <v>1000000110101110101111110011111110101010101110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000000110101110101111110011111110101010101110</v>
      </c>
    </row>
    <row r="11" spans="1:4" x14ac:dyDescent="0.25">
      <c r="A11">
        <v>5</v>
      </c>
      <c r="B11">
        <v>4</v>
      </c>
      <c r="C11" t="str">
        <f t="shared" si="1"/>
        <v>0</v>
      </c>
      <c r="D11" t="str">
        <f t="shared" si="0"/>
        <v>00000110101110101111110011111110101010101110</v>
      </c>
    </row>
    <row r="12" spans="1:4" x14ac:dyDescent="0.25">
      <c r="A12">
        <v>6</v>
      </c>
      <c r="B12">
        <v>5</v>
      </c>
      <c r="C12" t="str">
        <f t="shared" si="1"/>
        <v>0</v>
      </c>
      <c r="D12" t="str">
        <f t="shared" si="0"/>
        <v>0000110101110101111110011111110101010101110</v>
      </c>
    </row>
    <row r="13" spans="1:4" x14ac:dyDescent="0.25">
      <c r="A13">
        <v>7</v>
      </c>
      <c r="B13">
        <v>4</v>
      </c>
      <c r="C13" t="str">
        <f t="shared" si="1"/>
        <v>0</v>
      </c>
      <c r="D13" t="str">
        <f t="shared" si="0"/>
        <v>000110101110101111110011111110101010101110</v>
      </c>
    </row>
    <row r="14" spans="1:4" x14ac:dyDescent="0.25">
      <c r="A14">
        <v>8</v>
      </c>
      <c r="B14">
        <v>5</v>
      </c>
      <c r="C14" t="str">
        <f t="shared" si="1"/>
        <v>0</v>
      </c>
      <c r="D14" t="str">
        <f t="shared" si="0"/>
        <v>00110101110101111110011111110101010101110</v>
      </c>
    </row>
    <row r="15" spans="1:4" x14ac:dyDescent="0.25">
      <c r="A15">
        <v>9</v>
      </c>
      <c r="B15">
        <v>6</v>
      </c>
      <c r="C15" t="str">
        <f t="shared" si="1"/>
        <v>0</v>
      </c>
      <c r="D15" t="str">
        <f t="shared" si="0"/>
        <v>0110101110101111110011111110101010101110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110101110101111110011111110101010101110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10101110101111110011111110101010101110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0101110101111110011111110101010101110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101110101111110011111110101010101110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01110101111110011111110101010101110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1110101111110011111110101010101110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110101111110011111110101010101110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10101111110011111110101010101110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0101111110011111110101010101110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101111110011111110101010101110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01111110011111110101010101110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1111110011111110101010101110</v>
      </c>
    </row>
    <row r="28" spans="1:4" x14ac:dyDescent="0.25">
      <c r="A28">
        <v>22</v>
      </c>
      <c r="B28">
        <v>15</v>
      </c>
      <c r="C28" t="str">
        <f t="shared" si="1"/>
        <v>1</v>
      </c>
      <c r="D28" t="str">
        <f t="shared" si="0"/>
        <v>111110011111110101010101110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11110011111110101010101110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1110011111110101010101110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110011111110101010101110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10011111110101010101110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0011111110101010101110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011111110101010101110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11111110101010101110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1111110101010101110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111110101010101110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11110101010101110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1110101010101110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110101010101110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10101010101110</v>
      </c>
    </row>
    <row r="42" spans="1:4" x14ac:dyDescent="0.25">
      <c r="A42">
        <v>36</v>
      </c>
      <c r="B42">
        <v>25</v>
      </c>
      <c r="C42" t="str">
        <f t="shared" si="1"/>
        <v>0</v>
      </c>
      <c r="D42" t="str">
        <f t="shared" si="0"/>
        <v>0101010101110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101010101110</v>
      </c>
    </row>
    <row r="44" spans="1:4" x14ac:dyDescent="0.25">
      <c r="A44">
        <v>38</v>
      </c>
      <c r="B44">
        <v>25</v>
      </c>
      <c r="C44" t="str">
        <f t="shared" si="1"/>
        <v>0</v>
      </c>
      <c r="D44" t="str">
        <f t="shared" si="0"/>
        <v>01010101110</v>
      </c>
    </row>
    <row r="45" spans="1:4" x14ac:dyDescent="0.25">
      <c r="A45">
        <v>39</v>
      </c>
      <c r="B45">
        <v>26</v>
      </c>
      <c r="C45" t="str">
        <f t="shared" si="1"/>
        <v>1</v>
      </c>
      <c r="D45" t="str">
        <f t="shared" si="0"/>
        <v>1010101110</v>
      </c>
    </row>
    <row r="46" spans="1:4" x14ac:dyDescent="0.25">
      <c r="A46">
        <v>40</v>
      </c>
      <c r="B46">
        <v>27</v>
      </c>
      <c r="C46" t="str">
        <f t="shared" si="1"/>
        <v>0</v>
      </c>
      <c r="D46" t="str">
        <f t="shared" si="0"/>
        <v>010101110</v>
      </c>
    </row>
    <row r="47" spans="1:4" x14ac:dyDescent="0.25">
      <c r="A47">
        <v>41</v>
      </c>
      <c r="B47">
        <v>28</v>
      </c>
      <c r="C47" t="str">
        <f t="shared" si="1"/>
        <v>1</v>
      </c>
      <c r="D47" t="str">
        <f t="shared" si="0"/>
        <v>10101110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0101110</v>
      </c>
    </row>
    <row r="49" spans="1:4" x14ac:dyDescent="0.25">
      <c r="A49">
        <v>43</v>
      </c>
      <c r="B49">
        <v>28</v>
      </c>
      <c r="C49" t="str">
        <f t="shared" si="1"/>
        <v>1</v>
      </c>
      <c r="D49" t="str">
        <f t="shared" si="0"/>
        <v>101110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01110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1110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110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273</v>
      </c>
      <c r="B56" t="str">
        <f>D7</f>
        <v>101000000110101110101111110011111110101010101110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10100000</v>
      </c>
      <c r="C59" s="7" t="str">
        <f t="shared" ref="C59:C64" si="2">BIN2HEX(B59,2)</f>
        <v>A0</v>
      </c>
    </row>
    <row r="60" spans="1:4" x14ac:dyDescent="0.25">
      <c r="A60" s="7">
        <v>2</v>
      </c>
      <c r="B60" s="7" t="str">
        <f t="shared" ref="B60:B64" si="3">MID($B$56,(A60-1)*8+1,8)</f>
        <v>01101011</v>
      </c>
      <c r="C60" s="7" t="str">
        <f t="shared" si="2"/>
        <v>6B</v>
      </c>
    </row>
    <row r="61" spans="1:4" x14ac:dyDescent="0.25">
      <c r="A61" s="7">
        <v>3</v>
      </c>
      <c r="B61" s="7" t="str">
        <f t="shared" si="3"/>
        <v>10101111</v>
      </c>
      <c r="C61" s="7" t="str">
        <f t="shared" si="2"/>
        <v>AF</v>
      </c>
    </row>
    <row r="62" spans="1:4" x14ac:dyDescent="0.25">
      <c r="A62" s="7">
        <v>4</v>
      </c>
      <c r="B62" s="7" t="str">
        <f t="shared" si="3"/>
        <v>11001111</v>
      </c>
      <c r="C62" s="7" t="str">
        <f t="shared" si="2"/>
        <v>CF</v>
      </c>
    </row>
    <row r="63" spans="1:4" x14ac:dyDescent="0.25">
      <c r="A63" s="7">
        <v>5</v>
      </c>
      <c r="B63" s="7" t="str">
        <f t="shared" si="3"/>
        <v>11101010</v>
      </c>
      <c r="C63" s="7" t="str">
        <f t="shared" si="2"/>
        <v>EA</v>
      </c>
    </row>
    <row r="64" spans="1:4" x14ac:dyDescent="0.25">
      <c r="A64" s="7">
        <v>6</v>
      </c>
      <c r="B64" s="7" t="str">
        <f t="shared" si="3"/>
        <v>10101110</v>
      </c>
      <c r="C64" s="7" t="str">
        <f t="shared" si="2"/>
        <v>AE</v>
      </c>
    </row>
    <row r="65" spans="1:10" x14ac:dyDescent="0.25">
      <c r="A65" t="s">
        <v>274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11110111</v>
      </c>
      <c r="C68" s="7" t="str">
        <f>BIN2HEX(B68,2)</f>
        <v>F7</v>
      </c>
      <c r="D68">
        <f>BIN2DEC(B68)</f>
        <v>247</v>
      </c>
      <c r="G68" s="7">
        <v>1</v>
      </c>
      <c r="H68" s="7" t="str">
        <f>MID($B$56,(G68-1)*8+1,8)</f>
        <v>10100000</v>
      </c>
      <c r="I68" s="7" t="str">
        <f>BIN2HEX(H68,2)</f>
        <v>A0</v>
      </c>
      <c r="J68">
        <f>BIN2DEC(H68)</f>
        <v>160</v>
      </c>
    </row>
    <row r="69" spans="1:10" x14ac:dyDescent="0.25">
      <c r="A69" s="7">
        <v>2</v>
      </c>
      <c r="B69" s="7" t="str">
        <f t="shared" ref="B69:B73" si="4">MID($D$1,(A69-1)*8+1,8)</f>
        <v>10001000</v>
      </c>
      <c r="C69" s="7" t="str">
        <f t="shared" ref="C69:C73" si="5">BIN2HEX(B69,2)</f>
        <v>88</v>
      </c>
      <c r="D69">
        <f t="shared" ref="D69:D73" si="6">BIN2DEC(B69)</f>
        <v>136</v>
      </c>
      <c r="G69" s="7">
        <v>2</v>
      </c>
      <c r="H69" s="7" t="str">
        <f t="shared" ref="H69:H73" si="7">MID($B$56,(G69-1)*8+1,8)</f>
        <v>01101011</v>
      </c>
      <c r="I69" s="7" t="str">
        <f t="shared" ref="I69:I73" si="8">BIN2HEX(H69,2)</f>
        <v>6B</v>
      </c>
      <c r="J69">
        <f t="shared" ref="J69:J73" si="9">BIN2DEC(H69)</f>
        <v>107</v>
      </c>
    </row>
    <row r="70" spans="1:10" x14ac:dyDescent="0.25">
      <c r="A70" s="7">
        <v>3</v>
      </c>
      <c r="B70" s="7" t="str">
        <f t="shared" si="4"/>
        <v>00111010</v>
      </c>
      <c r="C70" s="7" t="str">
        <f t="shared" si="5"/>
        <v>3A</v>
      </c>
      <c r="D70">
        <f t="shared" si="6"/>
        <v>58</v>
      </c>
      <c r="G70" s="7">
        <v>3</v>
      </c>
      <c r="H70" s="7" t="str">
        <f t="shared" si="7"/>
        <v>10101111</v>
      </c>
      <c r="I70" s="7" t="str">
        <f t="shared" si="8"/>
        <v>AF</v>
      </c>
      <c r="J70">
        <f t="shared" si="9"/>
        <v>175</v>
      </c>
    </row>
    <row r="71" spans="1:10" x14ac:dyDescent="0.25">
      <c r="A71" s="7">
        <v>4</v>
      </c>
      <c r="B71" s="7" t="str">
        <f t="shared" si="4"/>
        <v>11101100</v>
      </c>
      <c r="C71" s="7" t="str">
        <f t="shared" si="5"/>
        <v>EC</v>
      </c>
      <c r="D71">
        <f t="shared" si="6"/>
        <v>236</v>
      </c>
      <c r="G71" s="7">
        <v>4</v>
      </c>
      <c r="H71" s="7" t="str">
        <f t="shared" si="7"/>
        <v>11001111</v>
      </c>
      <c r="I71" s="7" t="str">
        <f t="shared" si="8"/>
        <v>CF</v>
      </c>
      <c r="J71">
        <f t="shared" si="9"/>
        <v>207</v>
      </c>
    </row>
    <row r="72" spans="1:10" x14ac:dyDescent="0.25">
      <c r="A72" s="7">
        <v>5</v>
      </c>
      <c r="B72" s="7" t="str">
        <f t="shared" si="4"/>
        <v>11100111</v>
      </c>
      <c r="C72" s="7" t="str">
        <f t="shared" si="5"/>
        <v>E7</v>
      </c>
      <c r="D72">
        <f t="shared" si="6"/>
        <v>231</v>
      </c>
      <c r="G72" s="7">
        <v>5</v>
      </c>
      <c r="H72" s="7" t="str">
        <f t="shared" si="7"/>
        <v>11101010</v>
      </c>
      <c r="I72" s="7" t="str">
        <f t="shared" si="8"/>
        <v>EA</v>
      </c>
      <c r="J72">
        <f t="shared" si="9"/>
        <v>234</v>
      </c>
    </row>
    <row r="73" spans="1:10" x14ac:dyDescent="0.25">
      <c r="A73" s="7">
        <v>6</v>
      </c>
      <c r="B73" s="7" t="str">
        <f t="shared" si="4"/>
        <v>10000001</v>
      </c>
      <c r="C73" s="7" t="str">
        <f t="shared" si="5"/>
        <v>81</v>
      </c>
      <c r="D73">
        <f t="shared" si="6"/>
        <v>129</v>
      </c>
      <c r="G73" s="7">
        <v>6</v>
      </c>
      <c r="H73" s="7" t="str">
        <f t="shared" si="7"/>
        <v>10101110</v>
      </c>
      <c r="I73" s="7" t="str">
        <f t="shared" si="8"/>
        <v>AE</v>
      </c>
      <c r="J73">
        <f t="shared" si="9"/>
        <v>174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87</v>
      </c>
      <c r="C76" s="10" t="str">
        <f>DEC2BIN(B76,8)</f>
        <v>01010111</v>
      </c>
      <c r="D76" s="10" t="str">
        <f>DEC2HEX(B76,2)</f>
        <v>57</v>
      </c>
    </row>
    <row r="77" spans="1:10" x14ac:dyDescent="0.25">
      <c r="A77" s="11">
        <v>2</v>
      </c>
      <c r="B77" s="10">
        <f t="shared" ref="B77:B81" si="10">_xlfn.BITXOR(D69,J69)</f>
        <v>227</v>
      </c>
      <c r="C77" s="10" t="str">
        <f t="shared" ref="C77:C81" si="11">DEC2BIN(B77,8)</f>
        <v>11100011</v>
      </c>
      <c r="D77" s="10" t="str">
        <f t="shared" ref="D77:D81" si="12">DEC2HEX(B77,2)</f>
        <v>E3</v>
      </c>
    </row>
    <row r="78" spans="1:10" x14ac:dyDescent="0.25">
      <c r="A78" s="11">
        <v>3</v>
      </c>
      <c r="B78" s="10">
        <f t="shared" si="10"/>
        <v>149</v>
      </c>
      <c r="C78" s="10" t="str">
        <f t="shared" si="11"/>
        <v>10010101</v>
      </c>
      <c r="D78" s="10" t="str">
        <f t="shared" si="12"/>
        <v>95</v>
      </c>
    </row>
    <row r="79" spans="1:10" x14ac:dyDescent="0.25">
      <c r="A79" s="11">
        <v>4</v>
      </c>
      <c r="B79" s="10">
        <f t="shared" si="10"/>
        <v>35</v>
      </c>
      <c r="C79" s="10" t="str">
        <f t="shared" si="11"/>
        <v>00100011</v>
      </c>
      <c r="D79" s="10" t="str">
        <f t="shared" si="12"/>
        <v>23</v>
      </c>
    </row>
    <row r="80" spans="1:10" x14ac:dyDescent="0.25">
      <c r="A80" s="11">
        <v>5</v>
      </c>
      <c r="B80" s="10">
        <f t="shared" si="10"/>
        <v>13</v>
      </c>
      <c r="C80" s="10" t="str">
        <f t="shared" si="11"/>
        <v>00001101</v>
      </c>
      <c r="D80" s="10" t="str">
        <f t="shared" si="12"/>
        <v>0D</v>
      </c>
    </row>
    <row r="81" spans="1:10" x14ac:dyDescent="0.25">
      <c r="A81" s="11">
        <v>6</v>
      </c>
      <c r="B81" s="10">
        <f t="shared" si="10"/>
        <v>47</v>
      </c>
      <c r="C81" s="10" t="str">
        <f t="shared" si="11"/>
        <v>00101111</v>
      </c>
      <c r="D81" s="10" t="str">
        <f t="shared" si="12"/>
        <v>2F</v>
      </c>
    </row>
    <row r="83" spans="1:10" ht="21" x14ac:dyDescent="0.35">
      <c r="B83" t="s">
        <v>275</v>
      </c>
      <c r="D83" s="8" t="str">
        <f>C76&amp;C77&amp;C78&amp;C79&amp;C80&amp;C81</f>
        <v>010101111110001110010101001000110000110100101111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010101</v>
      </c>
      <c r="C86" s="10" t="str">
        <f>LEFT(B86,1)&amp;RIGHT(B86,1)</f>
        <v>01</v>
      </c>
      <c r="D86" s="10" t="str">
        <f>MID(B86,2,4)</f>
        <v>1010</v>
      </c>
      <c r="E86" s="10" t="str">
        <f>C86&amp;D86</f>
        <v>011010</v>
      </c>
      <c r="F86" s="10">
        <f>BIN2DEC(E86)</f>
        <v>26</v>
      </c>
      <c r="G86" s="10"/>
      <c r="H86" s="10">
        <f>VLOOKUP(F86,$A$95:$I$158,2,TRUE)</f>
        <v>12</v>
      </c>
      <c r="I86" s="10" t="str">
        <f>DEC2BIN(H86,4)</f>
        <v>1100</v>
      </c>
      <c r="J86" t="str">
        <f t="shared" ref="J86:J90" si="13">I86&amp;J87</f>
        <v>11001111010100100111011101101101</v>
      </c>
    </row>
    <row r="87" spans="1:10" x14ac:dyDescent="0.25">
      <c r="A87" s="10">
        <v>2</v>
      </c>
      <c r="B87" s="10" t="str">
        <f t="shared" ref="B87:B93" si="14">MID($D$83,(A87-1)*6+1,6)</f>
        <v>111110</v>
      </c>
      <c r="C87" s="10" t="str">
        <f t="shared" ref="C87:C93" si="15">LEFT(B87,1)&amp;RIGHT(B87,1)</f>
        <v>10</v>
      </c>
      <c r="D87" s="10" t="str">
        <f t="shared" ref="D87:D93" si="16">MID(B87,2,4)</f>
        <v>1111</v>
      </c>
      <c r="E87" s="10" t="str">
        <f t="shared" ref="E87:E93" si="17">C87&amp;D87</f>
        <v>101111</v>
      </c>
      <c r="F87" s="10">
        <f t="shared" ref="F87:F93" si="18">BIN2DEC(E87)</f>
        <v>47</v>
      </c>
      <c r="G87" s="10"/>
      <c r="H87" s="10">
        <f>VLOOKUP(F87,$A$95:$I$158,3,TRUE)</f>
        <v>15</v>
      </c>
      <c r="I87" s="10" t="str">
        <f t="shared" ref="I87:I93" si="19">DEC2BIN(H87,4)</f>
        <v>1111</v>
      </c>
      <c r="J87" t="str">
        <f t="shared" si="13"/>
        <v>1111010100100111011101101101</v>
      </c>
    </row>
    <row r="88" spans="1:10" x14ac:dyDescent="0.25">
      <c r="A88" s="10">
        <v>3</v>
      </c>
      <c r="B88" s="10" t="str">
        <f t="shared" si="14"/>
        <v>001110</v>
      </c>
      <c r="C88" s="10" t="str">
        <f t="shared" si="15"/>
        <v>00</v>
      </c>
      <c r="D88" s="10" t="str">
        <f t="shared" si="16"/>
        <v>0111</v>
      </c>
      <c r="E88" s="10" t="str">
        <f t="shared" si="17"/>
        <v>000111</v>
      </c>
      <c r="F88" s="10">
        <f t="shared" si="18"/>
        <v>7</v>
      </c>
      <c r="G88" s="10"/>
      <c r="H88" s="10">
        <f>VLOOKUP(F88,$A$95:$I$158,4,TRUE)</f>
        <v>5</v>
      </c>
      <c r="I88" s="10" t="str">
        <f t="shared" si="19"/>
        <v>0101</v>
      </c>
      <c r="J88" t="str">
        <f t="shared" si="13"/>
        <v>010100100111011101101101</v>
      </c>
    </row>
    <row r="89" spans="1:10" x14ac:dyDescent="0.25">
      <c r="A89" s="10">
        <v>4</v>
      </c>
      <c r="B89" s="10" t="str">
        <f t="shared" si="14"/>
        <v>010101</v>
      </c>
      <c r="C89" s="10" t="str">
        <f t="shared" si="15"/>
        <v>01</v>
      </c>
      <c r="D89" s="10" t="str">
        <f t="shared" si="16"/>
        <v>1010</v>
      </c>
      <c r="E89" s="10" t="str">
        <f t="shared" si="17"/>
        <v>011010</v>
      </c>
      <c r="F89" s="10">
        <f t="shared" si="18"/>
        <v>26</v>
      </c>
      <c r="G89" s="10"/>
      <c r="H89" s="10">
        <f>VLOOKUP(F89,$A$95:$I$158,5,TRUE)</f>
        <v>2</v>
      </c>
      <c r="I89" s="10" t="str">
        <f t="shared" si="19"/>
        <v>0010</v>
      </c>
      <c r="J89" t="str">
        <f t="shared" si="13"/>
        <v>00100111011101101101</v>
      </c>
    </row>
    <row r="90" spans="1:10" x14ac:dyDescent="0.25">
      <c r="A90" s="10">
        <v>5</v>
      </c>
      <c r="B90" s="10" t="str">
        <f t="shared" si="14"/>
        <v>001000</v>
      </c>
      <c r="C90" s="10" t="str">
        <f t="shared" si="15"/>
        <v>00</v>
      </c>
      <c r="D90" s="10" t="str">
        <f t="shared" si="16"/>
        <v>0100</v>
      </c>
      <c r="E90" s="10" t="str">
        <f t="shared" si="17"/>
        <v>000100</v>
      </c>
      <c r="F90" s="10">
        <f t="shared" si="18"/>
        <v>4</v>
      </c>
      <c r="G90" s="10"/>
      <c r="H90" s="10">
        <f>VLOOKUP(F90,$A$95:$I$158,6,TRUE)</f>
        <v>7</v>
      </c>
      <c r="I90" s="10" t="str">
        <f t="shared" si="19"/>
        <v>0111</v>
      </c>
      <c r="J90" t="str">
        <f t="shared" si="13"/>
        <v>0111011101101101</v>
      </c>
    </row>
    <row r="91" spans="1:10" x14ac:dyDescent="0.25">
      <c r="A91" s="10">
        <v>6</v>
      </c>
      <c r="B91" s="10" t="str">
        <f t="shared" si="14"/>
        <v>110000</v>
      </c>
      <c r="C91" s="10" t="str">
        <f t="shared" si="15"/>
        <v>10</v>
      </c>
      <c r="D91" s="10" t="str">
        <f t="shared" si="16"/>
        <v>1000</v>
      </c>
      <c r="E91" s="10" t="str">
        <f t="shared" si="17"/>
        <v>101000</v>
      </c>
      <c r="F91" s="10">
        <f t="shared" si="18"/>
        <v>40</v>
      </c>
      <c r="G91" s="10"/>
      <c r="H91" s="10">
        <f>VLOOKUP(F91,$A$95:$I$158,7,TRUE)</f>
        <v>7</v>
      </c>
      <c r="I91" s="10" t="str">
        <f t="shared" si="19"/>
        <v>0111</v>
      </c>
      <c r="J91" t="str">
        <f>I91&amp;J92</f>
        <v>011101101101</v>
      </c>
    </row>
    <row r="92" spans="1:10" x14ac:dyDescent="0.25">
      <c r="A92" s="10">
        <v>7</v>
      </c>
      <c r="B92" s="10" t="str">
        <f t="shared" si="14"/>
        <v>110100</v>
      </c>
      <c r="C92" s="10" t="str">
        <f t="shared" si="15"/>
        <v>10</v>
      </c>
      <c r="D92" s="10" t="str">
        <f t="shared" si="16"/>
        <v>1010</v>
      </c>
      <c r="E92" s="10" t="str">
        <f t="shared" si="17"/>
        <v>101010</v>
      </c>
      <c r="F92" s="10">
        <f t="shared" si="18"/>
        <v>42</v>
      </c>
      <c r="G92" s="10"/>
      <c r="H92" s="10">
        <f>VLOOKUP(F92,$A$95:$I$158,8,TRUE)</f>
        <v>6</v>
      </c>
      <c r="I92" s="10" t="str">
        <f t="shared" si="19"/>
        <v>0110</v>
      </c>
      <c r="J92" t="str">
        <f>I92&amp;I93</f>
        <v>01101101</v>
      </c>
    </row>
    <row r="93" spans="1:10" x14ac:dyDescent="0.25">
      <c r="A93" s="10">
        <v>8</v>
      </c>
      <c r="B93" s="10" t="str">
        <f t="shared" si="14"/>
        <v>101111</v>
      </c>
      <c r="C93" s="10" t="str">
        <f t="shared" si="15"/>
        <v>11</v>
      </c>
      <c r="D93" s="10" t="str">
        <f t="shared" si="16"/>
        <v>0111</v>
      </c>
      <c r="E93" s="10" t="str">
        <f t="shared" si="17"/>
        <v>110111</v>
      </c>
      <c r="F93" s="10">
        <f t="shared" si="18"/>
        <v>55</v>
      </c>
      <c r="G93" s="10"/>
      <c r="H93" s="10">
        <f>VLOOKUP(F93,$A$95:$I$158,9,TRUE)</f>
        <v>13</v>
      </c>
      <c r="I93" s="10" t="str">
        <f t="shared" si="19"/>
        <v>1101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11001111010100100111011101101101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0</v>
      </c>
      <c r="D165" t="str">
        <f t="shared" ref="D165:D193" si="20">C165&amp;D166</f>
        <v>01101100111111011110110010111000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1101100111111011110110010111000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101100111111011110110010111000</v>
      </c>
    </row>
    <row r="168" spans="1:6" x14ac:dyDescent="0.25">
      <c r="A168">
        <v>4</v>
      </c>
      <c r="B168">
        <v>21</v>
      </c>
      <c r="C168" t="str">
        <f t="shared" si="21"/>
        <v>0</v>
      </c>
      <c r="D168" t="str">
        <f t="shared" si="20"/>
        <v>01100111111011110110010111000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1100111111011110110010111000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100111111011110110010111000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00111111011110110010111000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0111111011110110010111000</v>
      </c>
    </row>
    <row r="173" spans="1:6" x14ac:dyDescent="0.25">
      <c r="A173">
        <v>9</v>
      </c>
      <c r="B173">
        <v>1</v>
      </c>
      <c r="C173" t="str">
        <f t="shared" si="21"/>
        <v>1</v>
      </c>
      <c r="D173" t="str">
        <f t="shared" si="20"/>
        <v>111111011110110010111000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11111011110110010111000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1111011110110010111000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111011110110010111000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11011110110010111000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1011110110010111000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011110110010111000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11110110010111000</v>
      </c>
    </row>
    <row r="181" spans="1:4" x14ac:dyDescent="0.25">
      <c r="A181">
        <v>17</v>
      </c>
      <c r="B181">
        <v>2</v>
      </c>
      <c r="C181" t="str">
        <f t="shared" si="21"/>
        <v>1</v>
      </c>
      <c r="D181" t="str">
        <f t="shared" si="20"/>
        <v>1110110010111000</v>
      </c>
    </row>
    <row r="182" spans="1:4" x14ac:dyDescent="0.25">
      <c r="A182">
        <v>18</v>
      </c>
      <c r="B182">
        <v>8</v>
      </c>
      <c r="C182" t="str">
        <f t="shared" si="21"/>
        <v>1</v>
      </c>
      <c r="D182" t="str">
        <f t="shared" si="20"/>
        <v>110110010111000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10110010111000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0110010111000</v>
      </c>
    </row>
    <row r="185" spans="1:4" x14ac:dyDescent="0.25">
      <c r="A185">
        <v>21</v>
      </c>
      <c r="B185">
        <v>32</v>
      </c>
      <c r="C185" t="str">
        <f t="shared" si="21"/>
        <v>1</v>
      </c>
      <c r="D185" t="str">
        <f t="shared" si="20"/>
        <v>110010111000</v>
      </c>
    </row>
    <row r="186" spans="1:4" x14ac:dyDescent="0.25">
      <c r="A186">
        <v>22</v>
      </c>
      <c r="B186">
        <v>27</v>
      </c>
      <c r="C186" t="str">
        <f t="shared" si="21"/>
        <v>1</v>
      </c>
      <c r="D186" t="str">
        <f t="shared" si="20"/>
        <v>10010111000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0010111000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010111000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10111000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0111000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111000</v>
      </c>
    </row>
    <row r="192" spans="1:4" x14ac:dyDescent="0.25">
      <c r="A192">
        <v>28</v>
      </c>
      <c r="B192">
        <v>6</v>
      </c>
      <c r="C192" t="str">
        <f t="shared" si="21"/>
        <v>1</v>
      </c>
      <c r="D192" t="str">
        <f t="shared" si="20"/>
        <v>11000</v>
      </c>
    </row>
    <row r="193" spans="1:11" x14ac:dyDescent="0.25">
      <c r="A193">
        <v>29</v>
      </c>
      <c r="B193">
        <v>22</v>
      </c>
      <c r="C193" t="str">
        <f t="shared" si="21"/>
        <v>1</v>
      </c>
      <c r="D193" t="str">
        <f t="shared" si="20"/>
        <v>1000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000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276</v>
      </c>
      <c r="B198" s="16" t="str">
        <f>D165</f>
        <v>01101100111111011110110010111000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01101100</v>
      </c>
      <c r="J199" s="7" t="str">
        <f>BIN2HEX(I199,2)</f>
        <v>6C</v>
      </c>
      <c r="K199">
        <f>BIN2DEC(I199)</f>
        <v>108</v>
      </c>
    </row>
    <row r="200" spans="1:11" x14ac:dyDescent="0.25">
      <c r="H200" s="7">
        <v>2</v>
      </c>
      <c r="I200" s="7" t="str">
        <f t="shared" ref="I200:I202" si="22">MID($B$198,(H200-1)*8+1,8)</f>
        <v>11111101</v>
      </c>
      <c r="J200" s="7" t="str">
        <f t="shared" ref="J200:J202" si="23">BIN2HEX(I200,2)</f>
        <v>FD</v>
      </c>
      <c r="K200">
        <f t="shared" ref="K200:K202" si="24">BIN2DEC(I200)</f>
        <v>253</v>
      </c>
    </row>
    <row r="201" spans="1:11" x14ac:dyDescent="0.25">
      <c r="H201" s="7">
        <v>3</v>
      </c>
      <c r="I201" s="7" t="str">
        <f t="shared" si="22"/>
        <v>11101100</v>
      </c>
      <c r="J201" s="7" t="str">
        <f t="shared" si="23"/>
        <v>EC</v>
      </c>
      <c r="K201">
        <f t="shared" si="24"/>
        <v>236</v>
      </c>
    </row>
    <row r="202" spans="1:11" x14ac:dyDescent="0.25">
      <c r="H202" s="7">
        <v>4</v>
      </c>
      <c r="I202" s="7" t="str">
        <f t="shared" si="22"/>
        <v>10111000</v>
      </c>
      <c r="J202" s="7" t="str">
        <f t="shared" si="23"/>
        <v>B8</v>
      </c>
      <c r="K202">
        <f t="shared" si="24"/>
        <v>184</v>
      </c>
    </row>
    <row r="205" spans="1:11" ht="18.75" x14ac:dyDescent="0.3">
      <c r="A205" t="s">
        <v>118</v>
      </c>
      <c r="B205" s="16" t="str">
        <f>B4</f>
        <v>00110011100100010001011000110110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00110011</v>
      </c>
      <c r="J206" s="7" t="str">
        <f>BIN2HEX(I206,2)</f>
        <v>33</v>
      </c>
      <c r="K206">
        <f>BIN2DEC(I206)</f>
        <v>51</v>
      </c>
    </row>
    <row r="207" spans="1:11" x14ac:dyDescent="0.25">
      <c r="H207" s="7">
        <v>2</v>
      </c>
      <c r="I207" s="7" t="str">
        <f t="shared" ref="I207:I209" si="25">MID($B$205,(H207-1)*8+1,8)</f>
        <v>10010001</v>
      </c>
      <c r="J207" s="7" t="str">
        <f t="shared" ref="J207:J209" si="26">BIN2HEX(I207,2)</f>
        <v>91</v>
      </c>
      <c r="K207">
        <f t="shared" ref="K207:K209" si="27">BIN2DEC(I207)</f>
        <v>145</v>
      </c>
    </row>
    <row r="208" spans="1:11" x14ac:dyDescent="0.25">
      <c r="H208" s="7">
        <v>3</v>
      </c>
      <c r="I208" s="7" t="str">
        <f t="shared" si="25"/>
        <v>00010110</v>
      </c>
      <c r="J208" s="7" t="str">
        <f t="shared" si="26"/>
        <v>16</v>
      </c>
      <c r="K208">
        <f t="shared" si="27"/>
        <v>22</v>
      </c>
    </row>
    <row r="209" spans="1:11" x14ac:dyDescent="0.25">
      <c r="H209" s="7">
        <v>4</v>
      </c>
      <c r="I209" s="7" t="str">
        <f t="shared" si="25"/>
        <v>00110110</v>
      </c>
      <c r="J209" s="7" t="str">
        <f t="shared" si="26"/>
        <v>36</v>
      </c>
      <c r="K209">
        <f t="shared" si="27"/>
        <v>54</v>
      </c>
    </row>
    <row r="211" spans="1:11" x14ac:dyDescent="0.25">
      <c r="A211" t="s">
        <v>277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95</v>
      </c>
      <c r="D213" s="7" t="str">
        <f>DEC2HEX(C213)</f>
        <v>5F</v>
      </c>
      <c r="E213" s="7" t="str">
        <f>DEC2BIN(C213,8)</f>
        <v>01011111</v>
      </c>
    </row>
    <row r="214" spans="1:11" x14ac:dyDescent="0.25">
      <c r="B214" s="7">
        <v>2</v>
      </c>
      <c r="C214" s="7">
        <f t="shared" ref="C214:C216" si="28">_xlfn.BITXOR(K200,K207)</f>
        <v>108</v>
      </c>
      <c r="D214" s="7" t="str">
        <f t="shared" ref="D214:D216" si="29">DEC2HEX(C214)</f>
        <v>6C</v>
      </c>
      <c r="E214" s="7" t="str">
        <f t="shared" ref="E214:E216" si="30">DEC2BIN(C214,8)</f>
        <v>01101100</v>
      </c>
    </row>
    <row r="215" spans="1:11" x14ac:dyDescent="0.25">
      <c r="B215" s="7">
        <v>3</v>
      </c>
      <c r="C215" s="7">
        <f t="shared" si="28"/>
        <v>250</v>
      </c>
      <c r="D215" s="7" t="str">
        <f t="shared" si="29"/>
        <v>FA</v>
      </c>
      <c r="E215" s="7" t="str">
        <f t="shared" si="30"/>
        <v>11111010</v>
      </c>
    </row>
    <row r="216" spans="1:11" x14ac:dyDescent="0.25">
      <c r="B216" s="7">
        <v>4</v>
      </c>
      <c r="C216" s="7">
        <f t="shared" si="28"/>
        <v>142</v>
      </c>
      <c r="D216" s="7" t="str">
        <f t="shared" si="29"/>
        <v>8E</v>
      </c>
      <c r="E216" s="7" t="str">
        <f t="shared" si="30"/>
        <v>10001110</v>
      </c>
    </row>
    <row r="219" spans="1:11" ht="21" x14ac:dyDescent="0.35">
      <c r="A219" t="s">
        <v>119</v>
      </c>
      <c r="B219" s="8" t="str">
        <f>E213&amp;E214&amp;E215&amp;E216</f>
        <v>01011111011011001111101010001110</v>
      </c>
      <c r="C219" s="8"/>
      <c r="D219" s="8"/>
      <c r="E219" s="8"/>
    </row>
    <row r="220" spans="1:11" x14ac:dyDescent="0.25">
      <c r="A220" t="s">
        <v>120</v>
      </c>
    </row>
    <row r="221" spans="1:11" ht="21" x14ac:dyDescent="0.35">
      <c r="A221" t="s">
        <v>121</v>
      </c>
      <c r="B221" s="8" t="str">
        <f>B2</f>
        <v>01000011011101111001111101010111</v>
      </c>
      <c r="C221" s="8"/>
      <c r="D221" s="8"/>
      <c r="E221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5E6AC-C262-455D-AD90-7A25AA88C2A8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112</v>
      </c>
      <c r="B1" s="22" t="s">
        <v>184</v>
      </c>
      <c r="I1" t="s">
        <v>114</v>
      </c>
      <c r="J1" s="22" t="s">
        <v>158</v>
      </c>
    </row>
    <row r="2" spans="1:16" ht="18.75" x14ac:dyDescent="0.3">
      <c r="A2" t="s">
        <v>122</v>
      </c>
      <c r="B2" s="22" t="s">
        <v>187</v>
      </c>
      <c r="I2" t="s">
        <v>70</v>
      </c>
      <c r="J2" s="22" t="s">
        <v>165</v>
      </c>
    </row>
    <row r="4" spans="1:16" x14ac:dyDescent="0.25">
      <c r="A4" t="s">
        <v>278</v>
      </c>
      <c r="D4" s="1" t="str">
        <f>D7</f>
        <v>110000001101101111101011001001111011100000111001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279</v>
      </c>
      <c r="C5" s="6" t="s">
        <v>188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11000000</v>
      </c>
      <c r="L5" s="7" t="str">
        <f>BIN2HEX(K5,2)</f>
        <v>C0</v>
      </c>
      <c r="P5" s="20" t="str">
        <f>B2&amp;J2</f>
        <v>01010101010111111000011001100111100001010101010101100110</v>
      </c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11011011</v>
      </c>
      <c r="L6" s="7" t="str">
        <f t="shared" ref="L6:L10" si="1">BIN2HEX(K6,2)</f>
        <v>DB</v>
      </c>
      <c r="O6" s="20"/>
    </row>
    <row r="7" spans="1:16" x14ac:dyDescent="0.25">
      <c r="A7">
        <v>1</v>
      </c>
      <c r="B7">
        <v>14</v>
      </c>
      <c r="C7" t="str">
        <f t="shared" ref="C7:C54" si="2">MID($C$5,B7,1)</f>
        <v>1</v>
      </c>
      <c r="D7" t="str">
        <f t="shared" ref="D7:D51" si="3">C7&amp;D8</f>
        <v>110000001101101111101011001001111011100000111001</v>
      </c>
      <c r="J7" s="7">
        <v>3</v>
      </c>
      <c r="K7" s="7" t="str">
        <f t="shared" si="0"/>
        <v>11101011</v>
      </c>
      <c r="L7" s="7" t="str">
        <f t="shared" si="1"/>
        <v>EB</v>
      </c>
      <c r="P7" s="20"/>
    </row>
    <row r="8" spans="1:16" x14ac:dyDescent="0.25">
      <c r="A8">
        <v>2</v>
      </c>
      <c r="B8">
        <v>17</v>
      </c>
      <c r="C8" t="str">
        <f t="shared" si="2"/>
        <v>1</v>
      </c>
      <c r="D8" t="str">
        <f t="shared" si="3"/>
        <v>10000001101101111101011001001111011100000111001</v>
      </c>
      <c r="J8" s="7">
        <v>4</v>
      </c>
      <c r="K8" s="7" t="str">
        <f t="shared" si="0"/>
        <v>00100111</v>
      </c>
      <c r="L8" s="7" t="str">
        <f t="shared" si="1"/>
        <v>27</v>
      </c>
    </row>
    <row r="9" spans="1:16" x14ac:dyDescent="0.25">
      <c r="A9">
        <v>3</v>
      </c>
      <c r="B9">
        <v>11</v>
      </c>
      <c r="C9" t="str">
        <f t="shared" si="2"/>
        <v>0</v>
      </c>
      <c r="D9" t="str">
        <f t="shared" si="3"/>
        <v>0000001101101111101011001001111011100000111001</v>
      </c>
      <c r="J9" s="7">
        <v>5</v>
      </c>
      <c r="K9" s="7" t="str">
        <f t="shared" si="0"/>
        <v>10111000</v>
      </c>
      <c r="L9" s="7" t="str">
        <f t="shared" si="1"/>
        <v>B8</v>
      </c>
    </row>
    <row r="10" spans="1:16" x14ac:dyDescent="0.25">
      <c r="A10">
        <v>4</v>
      </c>
      <c r="B10">
        <v>24</v>
      </c>
      <c r="C10" t="str">
        <f t="shared" si="2"/>
        <v>0</v>
      </c>
      <c r="D10" t="str">
        <f t="shared" si="3"/>
        <v>000001101101111101011001001111011100000111001</v>
      </c>
      <c r="J10" s="7">
        <v>6</v>
      </c>
      <c r="K10" s="7" t="str">
        <f>MID($D$4,(J10-1)*8+1,8)</f>
        <v>00111001</v>
      </c>
      <c r="L10" s="7" t="str">
        <f t="shared" si="1"/>
        <v>39</v>
      </c>
    </row>
    <row r="11" spans="1:16" x14ac:dyDescent="0.25">
      <c r="A11">
        <v>5</v>
      </c>
      <c r="B11">
        <v>1</v>
      </c>
      <c r="C11" t="str">
        <f t="shared" si="2"/>
        <v>0</v>
      </c>
      <c r="D11" t="str">
        <f t="shared" si="3"/>
        <v>00001101101111101011001001111011100000111001</v>
      </c>
    </row>
    <row r="12" spans="1:16" x14ac:dyDescent="0.25">
      <c r="A12">
        <v>6</v>
      </c>
      <c r="B12">
        <v>5</v>
      </c>
      <c r="C12" t="str">
        <f t="shared" si="2"/>
        <v>0</v>
      </c>
      <c r="D12" t="str">
        <f t="shared" si="3"/>
        <v>0001101101111101011001001111011100000111001</v>
      </c>
    </row>
    <row r="13" spans="1:16" x14ac:dyDescent="0.25">
      <c r="A13">
        <v>7</v>
      </c>
      <c r="B13">
        <v>3</v>
      </c>
      <c r="C13" t="str">
        <f t="shared" si="2"/>
        <v>0</v>
      </c>
      <c r="D13" t="str">
        <f t="shared" si="3"/>
        <v>001101101111101011001001111011100000111001</v>
      </c>
    </row>
    <row r="14" spans="1:16" x14ac:dyDescent="0.25">
      <c r="A14">
        <v>8</v>
      </c>
      <c r="B14">
        <v>28</v>
      </c>
      <c r="C14" t="str">
        <f t="shared" si="2"/>
        <v>0</v>
      </c>
      <c r="D14" t="str">
        <f t="shared" si="3"/>
        <v>01101101111101011001001111011100000111001</v>
      </c>
    </row>
    <row r="15" spans="1:16" x14ac:dyDescent="0.25">
      <c r="A15">
        <v>9</v>
      </c>
      <c r="B15">
        <v>15</v>
      </c>
      <c r="C15" t="str">
        <f t="shared" si="2"/>
        <v>1</v>
      </c>
      <c r="D15" t="str">
        <f t="shared" si="3"/>
        <v>1101101111101011001001111011100000111001</v>
      </c>
    </row>
    <row r="16" spans="1:16" x14ac:dyDescent="0.25">
      <c r="A16">
        <v>10</v>
      </c>
      <c r="B16">
        <v>6</v>
      </c>
      <c r="C16" t="str">
        <f t="shared" si="2"/>
        <v>1</v>
      </c>
      <c r="D16" t="str">
        <f t="shared" si="3"/>
        <v>101101111101011001001111011100000111001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01101111101011001001111011100000111001</v>
      </c>
    </row>
    <row r="18" spans="1:4" x14ac:dyDescent="0.25">
      <c r="A18">
        <v>12</v>
      </c>
      <c r="B18">
        <v>10</v>
      </c>
      <c r="C18" t="str">
        <f t="shared" si="2"/>
        <v>1</v>
      </c>
      <c r="D18" t="str">
        <f t="shared" si="3"/>
        <v>1101111101011001001111011100000111001</v>
      </c>
    </row>
    <row r="19" spans="1:4" x14ac:dyDescent="0.25">
      <c r="A19">
        <v>13</v>
      </c>
      <c r="B19">
        <v>23</v>
      </c>
      <c r="C19" t="str">
        <f t="shared" si="2"/>
        <v>1</v>
      </c>
      <c r="D19" t="str">
        <f t="shared" si="3"/>
        <v>101111101011001001111011100000111001</v>
      </c>
    </row>
    <row r="20" spans="1:4" x14ac:dyDescent="0.25">
      <c r="A20">
        <v>14</v>
      </c>
      <c r="B20">
        <v>19</v>
      </c>
      <c r="C20" t="str">
        <f t="shared" si="2"/>
        <v>0</v>
      </c>
      <c r="D20" t="str">
        <f t="shared" si="3"/>
        <v>01111101011001001111011100000111001</v>
      </c>
    </row>
    <row r="21" spans="1:4" x14ac:dyDescent="0.25">
      <c r="A21">
        <v>15</v>
      </c>
      <c r="B21">
        <v>12</v>
      </c>
      <c r="C21" t="str">
        <f t="shared" si="2"/>
        <v>1</v>
      </c>
      <c r="D21" t="str">
        <f t="shared" si="3"/>
        <v>1111101011001001111011100000111001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111101011001001111011100000111001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11101011001001111011100000111001</v>
      </c>
    </row>
    <row r="24" spans="1:4" x14ac:dyDescent="0.25">
      <c r="A24">
        <v>18</v>
      </c>
      <c r="B24">
        <v>8</v>
      </c>
      <c r="C24" t="str">
        <f t="shared" si="2"/>
        <v>1</v>
      </c>
      <c r="D24" t="str">
        <f t="shared" si="3"/>
        <v>1101011001001111011100000111001</v>
      </c>
    </row>
    <row r="25" spans="1:4" x14ac:dyDescent="0.25">
      <c r="A25">
        <v>19</v>
      </c>
      <c r="B25">
        <v>16</v>
      </c>
      <c r="C25" t="str">
        <f t="shared" si="2"/>
        <v>1</v>
      </c>
      <c r="D25" t="str">
        <f t="shared" si="3"/>
        <v>101011001001111011100000111001</v>
      </c>
    </row>
    <row r="26" spans="1:4" x14ac:dyDescent="0.25">
      <c r="A26">
        <v>20</v>
      </c>
      <c r="B26">
        <v>7</v>
      </c>
      <c r="C26" t="str">
        <f t="shared" si="2"/>
        <v>0</v>
      </c>
      <c r="D26" t="str">
        <f t="shared" si="3"/>
        <v>01011001001111011100000111001</v>
      </c>
    </row>
    <row r="27" spans="1:4" x14ac:dyDescent="0.25">
      <c r="A27">
        <v>21</v>
      </c>
      <c r="B27">
        <v>27</v>
      </c>
      <c r="C27" t="str">
        <f t="shared" si="2"/>
        <v>1</v>
      </c>
      <c r="D27" t="str">
        <f t="shared" si="3"/>
        <v>1011001001111011100000111001</v>
      </c>
    </row>
    <row r="28" spans="1:4" x14ac:dyDescent="0.25">
      <c r="A28">
        <v>22</v>
      </c>
      <c r="B28">
        <v>20</v>
      </c>
      <c r="C28" t="str">
        <f t="shared" si="2"/>
        <v>0</v>
      </c>
      <c r="D28" t="str">
        <f t="shared" si="3"/>
        <v>011001001111011100000111001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11001001111011100000111001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1001001111011100000111001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001001111011100000111001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01001111011100000111001</v>
      </c>
    </row>
    <row r="33" spans="1:4" x14ac:dyDescent="0.25">
      <c r="A33">
        <v>27</v>
      </c>
      <c r="B33">
        <v>31</v>
      </c>
      <c r="C33" t="str">
        <f t="shared" si="2"/>
        <v>1</v>
      </c>
      <c r="D33" t="str">
        <f t="shared" si="3"/>
        <v>1001111011100000111001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001111011100000111001</v>
      </c>
    </row>
    <row r="35" spans="1:4" x14ac:dyDescent="0.25">
      <c r="A35">
        <v>29</v>
      </c>
      <c r="B35">
        <v>47</v>
      </c>
      <c r="C35" t="str">
        <f t="shared" si="2"/>
        <v>0</v>
      </c>
      <c r="D35" t="str">
        <f t="shared" si="3"/>
        <v>01111011100000111001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1111011100000111001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111011100000111001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11011100000111001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1011100000111001</v>
      </c>
    </row>
    <row r="40" spans="1:4" x14ac:dyDescent="0.25">
      <c r="A40">
        <v>34</v>
      </c>
      <c r="B40">
        <v>45</v>
      </c>
      <c r="C40" t="str">
        <f t="shared" si="2"/>
        <v>0</v>
      </c>
      <c r="D40" t="str">
        <f t="shared" si="3"/>
        <v>011100000111001</v>
      </c>
    </row>
    <row r="41" spans="1:4" x14ac:dyDescent="0.25">
      <c r="A41">
        <v>35</v>
      </c>
      <c r="B41">
        <v>33</v>
      </c>
      <c r="C41" t="str">
        <f t="shared" si="2"/>
        <v>1</v>
      </c>
      <c r="D41" t="str">
        <f t="shared" si="3"/>
        <v>11100000111001</v>
      </c>
    </row>
    <row r="42" spans="1:4" x14ac:dyDescent="0.25">
      <c r="A42">
        <v>36</v>
      </c>
      <c r="B42">
        <v>48</v>
      </c>
      <c r="C42" t="str">
        <f t="shared" si="2"/>
        <v>1</v>
      </c>
      <c r="D42" t="str">
        <f t="shared" si="3"/>
        <v>1100000111001</v>
      </c>
    </row>
    <row r="43" spans="1:4" x14ac:dyDescent="0.25">
      <c r="A43">
        <v>37</v>
      </c>
      <c r="B43">
        <v>44</v>
      </c>
      <c r="C43" t="str">
        <f t="shared" si="2"/>
        <v>1</v>
      </c>
      <c r="D43" t="str">
        <f t="shared" si="3"/>
        <v>100000111001</v>
      </c>
    </row>
    <row r="44" spans="1:4" x14ac:dyDescent="0.25">
      <c r="A44">
        <v>38</v>
      </c>
      <c r="B44">
        <v>49</v>
      </c>
      <c r="C44" t="str">
        <f t="shared" si="2"/>
        <v>0</v>
      </c>
      <c r="D44" t="str">
        <f t="shared" si="3"/>
        <v>00000111001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0000111001</v>
      </c>
    </row>
    <row r="46" spans="1:4" x14ac:dyDescent="0.25">
      <c r="A46">
        <v>40</v>
      </c>
      <c r="B46">
        <v>56</v>
      </c>
      <c r="C46" t="str">
        <f t="shared" si="2"/>
        <v>0</v>
      </c>
      <c r="D46" t="str">
        <f t="shared" si="3"/>
        <v>000111001</v>
      </c>
    </row>
    <row r="47" spans="1:4" x14ac:dyDescent="0.25">
      <c r="A47">
        <v>41</v>
      </c>
      <c r="B47">
        <v>34</v>
      </c>
      <c r="C47" t="str">
        <f t="shared" si="2"/>
        <v>0</v>
      </c>
      <c r="D47" t="str">
        <f t="shared" si="3"/>
        <v>00111001</v>
      </c>
    </row>
    <row r="48" spans="1:4" x14ac:dyDescent="0.25">
      <c r="A48">
        <v>42</v>
      </c>
      <c r="B48">
        <v>53</v>
      </c>
      <c r="C48" t="str">
        <f t="shared" si="2"/>
        <v>0</v>
      </c>
      <c r="D48" t="str">
        <f t="shared" si="3"/>
        <v>0111001</v>
      </c>
    </row>
    <row r="49" spans="1:4" x14ac:dyDescent="0.25">
      <c r="A49">
        <v>43</v>
      </c>
      <c r="B49">
        <v>46</v>
      </c>
      <c r="C49" t="str">
        <f t="shared" si="2"/>
        <v>1</v>
      </c>
      <c r="D49" t="str">
        <f t="shared" si="3"/>
        <v>111001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11001</v>
      </c>
    </row>
    <row r="51" spans="1:4" x14ac:dyDescent="0.25">
      <c r="A51">
        <v>45</v>
      </c>
      <c r="B51">
        <v>50</v>
      </c>
      <c r="C51" t="str">
        <f t="shared" si="2"/>
        <v>1</v>
      </c>
      <c r="D51" t="str">
        <f t="shared" si="3"/>
        <v>1001</v>
      </c>
    </row>
    <row r="52" spans="1:4" x14ac:dyDescent="0.25">
      <c r="A52">
        <v>46</v>
      </c>
      <c r="B52">
        <v>36</v>
      </c>
      <c r="C52" t="str">
        <f t="shared" si="2"/>
        <v>0</v>
      </c>
      <c r="D52" t="str">
        <f>C52&amp;D53</f>
        <v>001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E118-EC58-4BC8-8C82-C79E56248C27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278</v>
      </c>
      <c r="D1" t="s">
        <v>166</v>
      </c>
    </row>
    <row r="2" spans="1:4" x14ac:dyDescent="0.25">
      <c r="A2" t="s">
        <v>119</v>
      </c>
      <c r="B2" t="s">
        <v>223</v>
      </c>
    </row>
    <row r="3" spans="1:4" x14ac:dyDescent="0.25">
      <c r="A3" t="s">
        <v>120</v>
      </c>
    </row>
    <row r="4" spans="1:4" x14ac:dyDescent="0.25">
      <c r="A4" t="s">
        <v>121</v>
      </c>
      <c r="B4" t="s">
        <v>222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001011111110101101011001011111110101010001011100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01011111110101101011001011111110101010001011100</v>
      </c>
    </row>
    <row r="9" spans="1:4" x14ac:dyDescent="0.25">
      <c r="A9">
        <v>3</v>
      </c>
      <c r="B9">
        <v>2</v>
      </c>
      <c r="C9" t="str">
        <f t="shared" si="1"/>
        <v>1</v>
      </c>
      <c r="D9" t="str">
        <f t="shared" si="0"/>
        <v>1011111110101101011001011111110101010001011100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011111110101101011001011111110101010001011100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11111110101101011001011111110101010001011100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1111110101101011001011111110101010001011100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111110101101011001011111110101010001011100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11110101101011001011111110101010001011100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1110101101011001011111110101010001011100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110101101011001011111110101010001011100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10101101011001011111110101010001011100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0101101011001011111110101010001011100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101101011001011111110101010001011100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01101011001011111110101010001011100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1101011001011111110101010001011100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101011001011111110101010001011100</v>
      </c>
    </row>
    <row r="23" spans="1:4" x14ac:dyDescent="0.25">
      <c r="A23">
        <v>17</v>
      </c>
      <c r="B23">
        <v>12</v>
      </c>
      <c r="C23" t="str">
        <f t="shared" si="1"/>
        <v>0</v>
      </c>
      <c r="D23" t="str">
        <f t="shared" si="0"/>
        <v>01011001011111110101010001011100</v>
      </c>
    </row>
    <row r="24" spans="1:4" x14ac:dyDescent="0.25">
      <c r="A24">
        <v>18</v>
      </c>
      <c r="B24">
        <v>13</v>
      </c>
      <c r="C24" t="str">
        <f t="shared" si="1"/>
        <v>1</v>
      </c>
      <c r="D24" t="str">
        <f t="shared" si="0"/>
        <v>1011001011111110101010001011100</v>
      </c>
    </row>
    <row r="25" spans="1:4" x14ac:dyDescent="0.25">
      <c r="A25">
        <v>19</v>
      </c>
      <c r="B25">
        <v>12</v>
      </c>
      <c r="C25" t="str">
        <f t="shared" si="1"/>
        <v>0</v>
      </c>
      <c r="D25" t="str">
        <f t="shared" si="0"/>
        <v>011001011111110101010001011100</v>
      </c>
    </row>
    <row r="26" spans="1:4" x14ac:dyDescent="0.25">
      <c r="A26">
        <v>20</v>
      </c>
      <c r="B26">
        <v>13</v>
      </c>
      <c r="C26" t="str">
        <f t="shared" si="1"/>
        <v>1</v>
      </c>
      <c r="D26" t="str">
        <f t="shared" si="0"/>
        <v>11001011111110101010001011100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1001011111110101010001011100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001011111110101010001011100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01011111110101010001011100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1011111110101010001011100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011111110101010001011100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11111110101010001011100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1111110101010001011100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111110101010001011100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11110101010001011100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1110101010001011100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110101010001011100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10101010001011100</v>
      </c>
    </row>
    <row r="39" spans="1:4" x14ac:dyDescent="0.25">
      <c r="A39">
        <v>33</v>
      </c>
      <c r="B39">
        <v>22</v>
      </c>
      <c r="C39" t="str">
        <f t="shared" si="1"/>
        <v>0</v>
      </c>
      <c r="D39" t="str">
        <f t="shared" si="0"/>
        <v>0101010001011100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101010001011100</v>
      </c>
    </row>
    <row r="41" spans="1:4" x14ac:dyDescent="0.25">
      <c r="A41">
        <v>35</v>
      </c>
      <c r="B41">
        <v>24</v>
      </c>
      <c r="C41" t="str">
        <f t="shared" si="1"/>
        <v>0</v>
      </c>
      <c r="D41" t="str">
        <f t="shared" si="0"/>
        <v>01010001011100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1010001011100</v>
      </c>
    </row>
    <row r="43" spans="1:4" x14ac:dyDescent="0.25">
      <c r="A43">
        <v>37</v>
      </c>
      <c r="B43">
        <v>24</v>
      </c>
      <c r="C43" t="str">
        <f t="shared" si="1"/>
        <v>0</v>
      </c>
      <c r="D43" t="str">
        <f t="shared" si="0"/>
        <v>010001011100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10001011100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0001011100</v>
      </c>
    </row>
    <row r="46" spans="1:4" x14ac:dyDescent="0.25">
      <c r="A46">
        <v>40</v>
      </c>
      <c r="B46">
        <v>27</v>
      </c>
      <c r="C46" t="str">
        <f t="shared" si="1"/>
        <v>0</v>
      </c>
      <c r="D46" t="str">
        <f t="shared" si="0"/>
        <v>001011100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01011100</v>
      </c>
    </row>
    <row r="48" spans="1:4" x14ac:dyDescent="0.25">
      <c r="A48">
        <v>42</v>
      </c>
      <c r="B48">
        <v>29</v>
      </c>
      <c r="C48" t="str">
        <f t="shared" si="1"/>
        <v>1</v>
      </c>
      <c r="D48" t="str">
        <f t="shared" si="0"/>
        <v>1011100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011100</v>
      </c>
    </row>
    <row r="50" spans="1:4" x14ac:dyDescent="0.25">
      <c r="A50">
        <v>44</v>
      </c>
      <c r="B50">
        <v>29</v>
      </c>
      <c r="C50" t="str">
        <f t="shared" si="1"/>
        <v>1</v>
      </c>
      <c r="D50" t="str">
        <f t="shared" si="0"/>
        <v>11100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1100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100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284</v>
      </c>
      <c r="B56" t="str">
        <f>D7</f>
        <v>001011111110101101011001011111110101010001011100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00101111</v>
      </c>
      <c r="C59" s="7" t="str">
        <f t="shared" ref="C59:C64" si="2">BIN2HEX(B59,2)</f>
        <v>2F</v>
      </c>
    </row>
    <row r="60" spans="1:4" x14ac:dyDescent="0.25">
      <c r="A60" s="7">
        <v>2</v>
      </c>
      <c r="B60" s="7" t="str">
        <f t="shared" ref="B60:B64" si="3">MID($B$56,(A60-1)*8+1,8)</f>
        <v>11101011</v>
      </c>
      <c r="C60" s="7" t="str">
        <f t="shared" si="2"/>
        <v>EB</v>
      </c>
    </row>
    <row r="61" spans="1:4" x14ac:dyDescent="0.25">
      <c r="A61" s="7">
        <v>3</v>
      </c>
      <c r="B61" s="7" t="str">
        <f t="shared" si="3"/>
        <v>01011001</v>
      </c>
      <c r="C61" s="7" t="str">
        <f t="shared" si="2"/>
        <v>59</v>
      </c>
    </row>
    <row r="62" spans="1:4" x14ac:dyDescent="0.25">
      <c r="A62" s="7">
        <v>4</v>
      </c>
      <c r="B62" s="7" t="str">
        <f t="shared" si="3"/>
        <v>01111111</v>
      </c>
      <c r="C62" s="7" t="str">
        <f t="shared" si="2"/>
        <v>7F</v>
      </c>
    </row>
    <row r="63" spans="1:4" x14ac:dyDescent="0.25">
      <c r="A63" s="7">
        <v>5</v>
      </c>
      <c r="B63" s="7" t="str">
        <f t="shared" si="3"/>
        <v>01010100</v>
      </c>
      <c r="C63" s="7" t="str">
        <f t="shared" si="2"/>
        <v>54</v>
      </c>
    </row>
    <row r="64" spans="1:4" x14ac:dyDescent="0.25">
      <c r="A64" s="7">
        <v>6</v>
      </c>
      <c r="B64" s="7" t="str">
        <f t="shared" si="3"/>
        <v>01011100</v>
      </c>
      <c r="C64" s="7" t="str">
        <f t="shared" si="2"/>
        <v>5C</v>
      </c>
    </row>
    <row r="65" spans="1:10" x14ac:dyDescent="0.25">
      <c r="A65" t="s">
        <v>283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11000000</v>
      </c>
      <c r="C68" s="7" t="str">
        <f>BIN2HEX(B68,2)</f>
        <v>C0</v>
      </c>
      <c r="D68">
        <f>BIN2DEC(B68)</f>
        <v>192</v>
      </c>
      <c r="G68" s="7">
        <v>1</v>
      </c>
      <c r="H68" s="7" t="str">
        <f>MID($B$56,(G68-1)*8+1,8)</f>
        <v>00101111</v>
      </c>
      <c r="I68" s="7" t="str">
        <f>BIN2HEX(H68,2)</f>
        <v>2F</v>
      </c>
      <c r="J68">
        <f>BIN2DEC(H68)</f>
        <v>47</v>
      </c>
    </row>
    <row r="69" spans="1:10" x14ac:dyDescent="0.25">
      <c r="A69" s="7">
        <v>2</v>
      </c>
      <c r="B69" s="7" t="str">
        <f t="shared" ref="B69:B73" si="4">MID($D$1,(A69-1)*8+1,8)</f>
        <v>11011011</v>
      </c>
      <c r="C69" s="7" t="str">
        <f t="shared" ref="C69:C73" si="5">BIN2HEX(B69,2)</f>
        <v>DB</v>
      </c>
      <c r="D69">
        <f t="shared" ref="D69:D73" si="6">BIN2DEC(B69)</f>
        <v>219</v>
      </c>
      <c r="G69" s="7">
        <v>2</v>
      </c>
      <c r="H69" s="7" t="str">
        <f t="shared" ref="H69:H73" si="7">MID($B$56,(G69-1)*8+1,8)</f>
        <v>11101011</v>
      </c>
      <c r="I69" s="7" t="str">
        <f t="shared" ref="I69:I73" si="8">BIN2HEX(H69,2)</f>
        <v>EB</v>
      </c>
      <c r="J69">
        <f t="shared" ref="J69:J73" si="9">BIN2DEC(H69)</f>
        <v>235</v>
      </c>
    </row>
    <row r="70" spans="1:10" x14ac:dyDescent="0.25">
      <c r="A70" s="7">
        <v>3</v>
      </c>
      <c r="B70" s="7" t="str">
        <f t="shared" si="4"/>
        <v>11101011</v>
      </c>
      <c r="C70" s="7" t="str">
        <f t="shared" si="5"/>
        <v>EB</v>
      </c>
      <c r="D70">
        <f t="shared" si="6"/>
        <v>235</v>
      </c>
      <c r="G70" s="7">
        <v>3</v>
      </c>
      <c r="H70" s="7" t="str">
        <f t="shared" si="7"/>
        <v>01011001</v>
      </c>
      <c r="I70" s="7" t="str">
        <f t="shared" si="8"/>
        <v>59</v>
      </c>
      <c r="J70">
        <f t="shared" si="9"/>
        <v>89</v>
      </c>
    </row>
    <row r="71" spans="1:10" x14ac:dyDescent="0.25">
      <c r="A71" s="7">
        <v>4</v>
      </c>
      <c r="B71" s="7" t="str">
        <f t="shared" si="4"/>
        <v>00100111</v>
      </c>
      <c r="C71" s="7" t="str">
        <f t="shared" si="5"/>
        <v>27</v>
      </c>
      <c r="D71">
        <f t="shared" si="6"/>
        <v>39</v>
      </c>
      <c r="G71" s="7">
        <v>4</v>
      </c>
      <c r="H71" s="7" t="str">
        <f t="shared" si="7"/>
        <v>01111111</v>
      </c>
      <c r="I71" s="7" t="str">
        <f t="shared" si="8"/>
        <v>7F</v>
      </c>
      <c r="J71">
        <f t="shared" si="9"/>
        <v>127</v>
      </c>
    </row>
    <row r="72" spans="1:10" x14ac:dyDescent="0.25">
      <c r="A72" s="7">
        <v>5</v>
      </c>
      <c r="B72" s="7" t="str">
        <f t="shared" si="4"/>
        <v>10111000</v>
      </c>
      <c r="C72" s="7" t="str">
        <f t="shared" si="5"/>
        <v>B8</v>
      </c>
      <c r="D72">
        <f t="shared" si="6"/>
        <v>184</v>
      </c>
      <c r="G72" s="7">
        <v>5</v>
      </c>
      <c r="H72" s="7" t="str">
        <f t="shared" si="7"/>
        <v>01010100</v>
      </c>
      <c r="I72" s="7" t="str">
        <f t="shared" si="8"/>
        <v>54</v>
      </c>
      <c r="J72">
        <f t="shared" si="9"/>
        <v>84</v>
      </c>
    </row>
    <row r="73" spans="1:10" x14ac:dyDescent="0.25">
      <c r="A73" s="7">
        <v>6</v>
      </c>
      <c r="B73" s="7" t="str">
        <f t="shared" si="4"/>
        <v>00111001</v>
      </c>
      <c r="C73" s="7" t="str">
        <f t="shared" si="5"/>
        <v>39</v>
      </c>
      <c r="D73">
        <f t="shared" si="6"/>
        <v>57</v>
      </c>
      <c r="G73" s="7">
        <v>6</v>
      </c>
      <c r="H73" s="7" t="str">
        <f t="shared" si="7"/>
        <v>01011100</v>
      </c>
      <c r="I73" s="7" t="str">
        <f t="shared" si="8"/>
        <v>5C</v>
      </c>
      <c r="J73">
        <f t="shared" si="9"/>
        <v>92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239</v>
      </c>
      <c r="C76" s="10" t="str">
        <f>DEC2BIN(B76,8)</f>
        <v>11101111</v>
      </c>
      <c r="D76" s="10" t="str">
        <f>DEC2HEX(B76,2)</f>
        <v>EF</v>
      </c>
    </row>
    <row r="77" spans="1:10" x14ac:dyDescent="0.25">
      <c r="A77" s="11">
        <v>2</v>
      </c>
      <c r="B77" s="10">
        <f t="shared" ref="B77:B81" si="10">_xlfn.BITXOR(D69,J69)</f>
        <v>48</v>
      </c>
      <c r="C77" s="10" t="str">
        <f t="shared" ref="C77:C81" si="11">DEC2BIN(B77,8)</f>
        <v>00110000</v>
      </c>
      <c r="D77" s="10" t="str">
        <f t="shared" ref="D77:D81" si="12">DEC2HEX(B77,2)</f>
        <v>30</v>
      </c>
    </row>
    <row r="78" spans="1:10" x14ac:dyDescent="0.25">
      <c r="A78" s="11">
        <v>3</v>
      </c>
      <c r="B78" s="10">
        <f t="shared" si="10"/>
        <v>178</v>
      </c>
      <c r="C78" s="10" t="str">
        <f t="shared" si="11"/>
        <v>10110010</v>
      </c>
      <c r="D78" s="10" t="str">
        <f t="shared" si="12"/>
        <v>B2</v>
      </c>
    </row>
    <row r="79" spans="1:10" x14ac:dyDescent="0.25">
      <c r="A79" s="11">
        <v>4</v>
      </c>
      <c r="B79" s="10">
        <f t="shared" si="10"/>
        <v>88</v>
      </c>
      <c r="C79" s="10" t="str">
        <f t="shared" si="11"/>
        <v>01011000</v>
      </c>
      <c r="D79" s="10" t="str">
        <f t="shared" si="12"/>
        <v>58</v>
      </c>
    </row>
    <row r="80" spans="1:10" x14ac:dyDescent="0.25">
      <c r="A80" s="11">
        <v>5</v>
      </c>
      <c r="B80" s="10">
        <f t="shared" si="10"/>
        <v>236</v>
      </c>
      <c r="C80" s="10" t="str">
        <f t="shared" si="11"/>
        <v>11101100</v>
      </c>
      <c r="D80" s="10" t="str">
        <f t="shared" si="12"/>
        <v>EC</v>
      </c>
    </row>
    <row r="81" spans="1:10" x14ac:dyDescent="0.25">
      <c r="A81" s="11">
        <v>6</v>
      </c>
      <c r="B81" s="10">
        <f t="shared" si="10"/>
        <v>101</v>
      </c>
      <c r="C81" s="10" t="str">
        <f t="shared" si="11"/>
        <v>01100101</v>
      </c>
      <c r="D81" s="10" t="str">
        <f t="shared" si="12"/>
        <v>65</v>
      </c>
    </row>
    <row r="83" spans="1:10" ht="21" x14ac:dyDescent="0.35">
      <c r="B83" t="s">
        <v>282</v>
      </c>
      <c r="D83" s="8" t="str">
        <f>C76&amp;C77&amp;C78&amp;C79&amp;C80&amp;C81</f>
        <v>111011110011000010110010010110001110110001100101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111011</v>
      </c>
      <c r="C86" s="10" t="str">
        <f>LEFT(B86,1)&amp;RIGHT(B86,1)</f>
        <v>11</v>
      </c>
      <c r="D86" s="10" t="str">
        <f>MID(B86,2,4)</f>
        <v>1101</v>
      </c>
      <c r="E86" s="10" t="str">
        <f>C86&amp;D86</f>
        <v>111101</v>
      </c>
      <c r="F86" s="10">
        <f>BIN2DEC(E86)</f>
        <v>61</v>
      </c>
      <c r="G86" s="10"/>
      <c r="H86" s="10">
        <f>VLOOKUP(F86,$A$95:$I$158,2,TRUE)</f>
        <v>0</v>
      </c>
      <c r="I86" s="10" t="str">
        <f>DEC2BIN(H86,4)</f>
        <v>0000</v>
      </c>
      <c r="J86" t="str">
        <f t="shared" ref="J86:J90" si="13">I86&amp;J87</f>
        <v>00000110000000011111100010011110</v>
      </c>
    </row>
    <row r="87" spans="1:10" x14ac:dyDescent="0.25">
      <c r="A87" s="10">
        <v>2</v>
      </c>
      <c r="B87" s="10" t="str">
        <f t="shared" ref="B87:B93" si="14">MID($D$83,(A87-1)*6+1,6)</f>
        <v>110011</v>
      </c>
      <c r="C87" s="10" t="str">
        <f t="shared" ref="C87:C93" si="15">LEFT(B87,1)&amp;RIGHT(B87,1)</f>
        <v>11</v>
      </c>
      <c r="D87" s="10" t="str">
        <f t="shared" ref="D87:D93" si="16">MID(B87,2,4)</f>
        <v>1001</v>
      </c>
      <c r="E87" s="10" t="str">
        <f t="shared" ref="E87:E93" si="17">C87&amp;D87</f>
        <v>111001</v>
      </c>
      <c r="F87" s="10">
        <f t="shared" ref="F87:F93" si="18">BIN2DEC(E87)</f>
        <v>57</v>
      </c>
      <c r="G87" s="10"/>
      <c r="H87" s="10">
        <f>VLOOKUP(F87,$A$95:$I$158,3,TRUE)</f>
        <v>6</v>
      </c>
      <c r="I87" s="10" t="str">
        <f t="shared" ref="I87:I93" si="19">DEC2BIN(H87,4)</f>
        <v>0110</v>
      </c>
      <c r="J87" t="str">
        <f t="shared" si="13"/>
        <v>0110000000011111100010011110</v>
      </c>
    </row>
    <row r="88" spans="1:10" x14ac:dyDescent="0.25">
      <c r="A88" s="10">
        <v>3</v>
      </c>
      <c r="B88" s="10" t="str">
        <f t="shared" si="14"/>
        <v>000010</v>
      </c>
      <c r="C88" s="10" t="str">
        <f t="shared" si="15"/>
        <v>00</v>
      </c>
      <c r="D88" s="10" t="str">
        <f t="shared" si="16"/>
        <v>0001</v>
      </c>
      <c r="E88" s="10" t="str">
        <f t="shared" si="17"/>
        <v>000001</v>
      </c>
      <c r="F88" s="10">
        <f t="shared" si="18"/>
        <v>1</v>
      </c>
      <c r="G88" s="10"/>
      <c r="H88" s="10">
        <f>VLOOKUP(F88,$A$95:$I$158,4,TRUE)</f>
        <v>0</v>
      </c>
      <c r="I88" s="10" t="str">
        <f t="shared" si="19"/>
        <v>0000</v>
      </c>
      <c r="J88" t="str">
        <f t="shared" si="13"/>
        <v>000000011111100010011110</v>
      </c>
    </row>
    <row r="89" spans="1:10" x14ac:dyDescent="0.25">
      <c r="A89" s="10">
        <v>4</v>
      </c>
      <c r="B89" s="10" t="str">
        <f t="shared" si="14"/>
        <v>110010</v>
      </c>
      <c r="C89" s="10" t="str">
        <f t="shared" si="15"/>
        <v>10</v>
      </c>
      <c r="D89" s="10" t="str">
        <f t="shared" si="16"/>
        <v>1001</v>
      </c>
      <c r="E89" s="10" t="str">
        <f t="shared" si="17"/>
        <v>101001</v>
      </c>
      <c r="F89" s="10">
        <f t="shared" si="18"/>
        <v>41</v>
      </c>
      <c r="G89" s="10"/>
      <c r="H89" s="10">
        <f>VLOOKUP(F89,$A$95:$I$158,5,TRUE)</f>
        <v>1</v>
      </c>
      <c r="I89" s="10" t="str">
        <f t="shared" si="19"/>
        <v>0001</v>
      </c>
      <c r="J89" t="str">
        <f t="shared" si="13"/>
        <v>00011111100010011110</v>
      </c>
    </row>
    <row r="90" spans="1:10" x14ac:dyDescent="0.25">
      <c r="A90" s="10">
        <v>5</v>
      </c>
      <c r="B90" s="10" t="str">
        <f t="shared" si="14"/>
        <v>010110</v>
      </c>
      <c r="C90" s="10" t="str">
        <f t="shared" si="15"/>
        <v>00</v>
      </c>
      <c r="D90" s="10" t="str">
        <f t="shared" si="16"/>
        <v>1011</v>
      </c>
      <c r="E90" s="10" t="str">
        <f t="shared" si="17"/>
        <v>001011</v>
      </c>
      <c r="F90" s="10">
        <f t="shared" si="18"/>
        <v>11</v>
      </c>
      <c r="G90" s="10"/>
      <c r="H90" s="10">
        <f>VLOOKUP(F90,$A$95:$I$158,6,TRUE)</f>
        <v>15</v>
      </c>
      <c r="I90" s="10" t="str">
        <f t="shared" si="19"/>
        <v>1111</v>
      </c>
      <c r="J90" t="str">
        <f t="shared" si="13"/>
        <v>1111100010011110</v>
      </c>
    </row>
    <row r="91" spans="1:10" x14ac:dyDescent="0.25">
      <c r="A91" s="10">
        <v>6</v>
      </c>
      <c r="B91" s="10" t="str">
        <f t="shared" si="14"/>
        <v>001110</v>
      </c>
      <c r="C91" s="10" t="str">
        <f t="shared" si="15"/>
        <v>00</v>
      </c>
      <c r="D91" s="10" t="str">
        <f t="shared" si="16"/>
        <v>0111</v>
      </c>
      <c r="E91" s="10" t="str">
        <f t="shared" si="17"/>
        <v>000111</v>
      </c>
      <c r="F91" s="10">
        <f t="shared" si="18"/>
        <v>7</v>
      </c>
      <c r="G91" s="10"/>
      <c r="H91" s="10">
        <f>VLOOKUP(F91,$A$95:$I$158,7,TRUE)</f>
        <v>8</v>
      </c>
      <c r="I91" s="10" t="str">
        <f t="shared" si="19"/>
        <v>1000</v>
      </c>
      <c r="J91" t="str">
        <f>I91&amp;J92</f>
        <v>100010011110</v>
      </c>
    </row>
    <row r="92" spans="1:10" x14ac:dyDescent="0.25">
      <c r="A92" s="10">
        <v>7</v>
      </c>
      <c r="B92" s="10" t="str">
        <f t="shared" si="14"/>
        <v>110001</v>
      </c>
      <c r="C92" s="10" t="str">
        <f t="shared" si="15"/>
        <v>11</v>
      </c>
      <c r="D92" s="10" t="str">
        <f t="shared" si="16"/>
        <v>1000</v>
      </c>
      <c r="E92" s="10" t="str">
        <f t="shared" si="17"/>
        <v>111000</v>
      </c>
      <c r="F92" s="10">
        <f t="shared" si="18"/>
        <v>56</v>
      </c>
      <c r="G92" s="10"/>
      <c r="H92" s="10">
        <f>VLOOKUP(F92,$A$95:$I$158,8,TRUE)</f>
        <v>9</v>
      </c>
      <c r="I92" s="10" t="str">
        <f t="shared" si="19"/>
        <v>1001</v>
      </c>
      <c r="J92" t="str">
        <f>I92&amp;I93</f>
        <v>10011110</v>
      </c>
    </row>
    <row r="93" spans="1:10" x14ac:dyDescent="0.25">
      <c r="A93" s="10">
        <v>8</v>
      </c>
      <c r="B93" s="10" t="str">
        <f t="shared" si="14"/>
        <v>100101</v>
      </c>
      <c r="C93" s="10" t="str">
        <f t="shared" si="15"/>
        <v>11</v>
      </c>
      <c r="D93" s="10" t="str">
        <f t="shared" si="16"/>
        <v>0010</v>
      </c>
      <c r="E93" s="10" t="str">
        <f t="shared" si="17"/>
        <v>110010</v>
      </c>
      <c r="F93" s="10">
        <f t="shared" si="18"/>
        <v>50</v>
      </c>
      <c r="G93" s="10"/>
      <c r="H93" s="10">
        <f>VLOOKUP(F93,$A$95:$I$158,9,TRUE)</f>
        <v>14</v>
      </c>
      <c r="I93" s="10" t="str">
        <f t="shared" si="19"/>
        <v>1110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00000110000000011111100010011110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11111011000001100000000010110001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1111011000001100000000010110001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111011000001100000000010110001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11011000001100000000010110001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1011000001100000000010110001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011000001100000000010110001</v>
      </c>
    </row>
    <row r="171" spans="1:6" x14ac:dyDescent="0.25">
      <c r="A171">
        <v>7</v>
      </c>
      <c r="B171">
        <v>28</v>
      </c>
      <c r="C171" t="str">
        <f t="shared" si="21"/>
        <v>1</v>
      </c>
      <c r="D171" t="str">
        <f t="shared" si="20"/>
        <v>11000001100000000010110001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1000001100000000010110001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000001100000000010110001</v>
      </c>
    </row>
    <row r="174" spans="1:6" x14ac:dyDescent="0.25">
      <c r="A174">
        <v>10</v>
      </c>
      <c r="B174">
        <v>15</v>
      </c>
      <c r="C174" t="str">
        <f t="shared" si="21"/>
        <v>0</v>
      </c>
      <c r="D174" t="str">
        <f t="shared" si="20"/>
        <v>00001100000000010110001</v>
      </c>
    </row>
    <row r="175" spans="1:6" x14ac:dyDescent="0.25">
      <c r="A175">
        <v>11</v>
      </c>
      <c r="B175">
        <v>23</v>
      </c>
      <c r="C175" t="str">
        <f t="shared" si="21"/>
        <v>0</v>
      </c>
      <c r="D175" t="str">
        <f t="shared" si="20"/>
        <v>0001100000000010110001</v>
      </c>
    </row>
    <row r="176" spans="1:6" x14ac:dyDescent="0.25">
      <c r="A176">
        <v>12</v>
      </c>
      <c r="B176">
        <v>26</v>
      </c>
      <c r="C176" t="str">
        <f t="shared" si="21"/>
        <v>0</v>
      </c>
      <c r="D176" t="str">
        <f t="shared" si="20"/>
        <v>001100000000010110001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01100000000010110001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1100000000010110001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100000000010110001</v>
      </c>
    </row>
    <row r="180" spans="1:4" x14ac:dyDescent="0.25">
      <c r="A180">
        <v>16</v>
      </c>
      <c r="B180">
        <v>10</v>
      </c>
      <c r="C180" t="str">
        <f t="shared" si="21"/>
        <v>0</v>
      </c>
      <c r="D180" t="str">
        <f t="shared" si="20"/>
        <v>00000000010110001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0000000010110001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000000010110001</v>
      </c>
    </row>
    <row r="183" spans="1:4" x14ac:dyDescent="0.25">
      <c r="A183">
        <v>19</v>
      </c>
      <c r="B183">
        <v>24</v>
      </c>
      <c r="C183" t="str">
        <f t="shared" si="21"/>
        <v>0</v>
      </c>
      <c r="D183" t="str">
        <f t="shared" si="20"/>
        <v>00000010110001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0000010110001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000010110001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00010110001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0010110001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010110001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10110001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0110001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110001</v>
      </c>
    </row>
    <row r="192" spans="1:4" x14ac:dyDescent="0.25">
      <c r="A192">
        <v>28</v>
      </c>
      <c r="B192">
        <v>6</v>
      </c>
      <c r="C192" t="str">
        <f t="shared" si="21"/>
        <v>1</v>
      </c>
      <c r="D192" t="str">
        <f t="shared" si="20"/>
        <v>10001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0001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001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01</v>
      </c>
    </row>
    <row r="196" spans="1:11" x14ac:dyDescent="0.25">
      <c r="A196">
        <v>32</v>
      </c>
      <c r="B196">
        <v>25</v>
      </c>
      <c r="C196" t="str">
        <f t="shared" si="21"/>
        <v>1</v>
      </c>
    </row>
    <row r="198" spans="1:11" ht="18.75" x14ac:dyDescent="0.3">
      <c r="A198" t="s">
        <v>281</v>
      </c>
      <c r="B198" s="16" t="str">
        <f>D165</f>
        <v>11111011000001100000000010110001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11111011</v>
      </c>
      <c r="J199" s="7" t="str">
        <f>BIN2HEX(I199,2)</f>
        <v>FB</v>
      </c>
      <c r="K199">
        <f>BIN2DEC(I199)</f>
        <v>251</v>
      </c>
    </row>
    <row r="200" spans="1:11" x14ac:dyDescent="0.25">
      <c r="H200" s="7">
        <v>2</v>
      </c>
      <c r="I200" s="7" t="str">
        <f t="shared" ref="I200:I202" si="22">MID($B$198,(H200-1)*8+1,8)</f>
        <v>00000110</v>
      </c>
      <c r="J200" s="7" t="str">
        <f t="shared" ref="J200:J202" si="23">BIN2HEX(I200,2)</f>
        <v>06</v>
      </c>
      <c r="K200">
        <f t="shared" ref="K200:K202" si="24">BIN2DEC(I200)</f>
        <v>6</v>
      </c>
    </row>
    <row r="201" spans="1:11" x14ac:dyDescent="0.25">
      <c r="H201" s="7">
        <v>3</v>
      </c>
      <c r="I201" s="7" t="str">
        <f t="shared" si="22"/>
        <v>00000000</v>
      </c>
      <c r="J201" s="7" t="str">
        <f t="shared" si="23"/>
        <v>00</v>
      </c>
      <c r="K201">
        <f t="shared" si="24"/>
        <v>0</v>
      </c>
    </row>
    <row r="202" spans="1:11" x14ac:dyDescent="0.25">
      <c r="H202" s="7">
        <v>4</v>
      </c>
      <c r="I202" s="7" t="str">
        <f t="shared" si="22"/>
        <v>10110001</v>
      </c>
      <c r="J202" s="7" t="str">
        <f t="shared" si="23"/>
        <v>B1</v>
      </c>
      <c r="K202">
        <f t="shared" si="24"/>
        <v>177</v>
      </c>
    </row>
    <row r="205" spans="1:11" ht="18.75" x14ac:dyDescent="0.3">
      <c r="A205" t="s">
        <v>123</v>
      </c>
      <c r="B205" s="16" t="str">
        <f>B4</f>
        <v>01000011011101111001111101010111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01000011</v>
      </c>
      <c r="J206" s="7" t="str">
        <f>BIN2HEX(I206,2)</f>
        <v>43</v>
      </c>
      <c r="K206">
        <f>BIN2DEC(I206)</f>
        <v>67</v>
      </c>
    </row>
    <row r="207" spans="1:11" x14ac:dyDescent="0.25">
      <c r="H207" s="7">
        <v>2</v>
      </c>
      <c r="I207" s="7" t="str">
        <f t="shared" ref="I207:I209" si="25">MID($B$205,(H207-1)*8+1,8)</f>
        <v>01110111</v>
      </c>
      <c r="J207" s="7" t="str">
        <f t="shared" ref="J207:J209" si="26">BIN2HEX(I207,2)</f>
        <v>77</v>
      </c>
      <c r="K207">
        <f t="shared" ref="K207:K209" si="27">BIN2DEC(I207)</f>
        <v>119</v>
      </c>
    </row>
    <row r="208" spans="1:11" x14ac:dyDescent="0.25">
      <c r="H208" s="7">
        <v>3</v>
      </c>
      <c r="I208" s="7" t="str">
        <f t="shared" si="25"/>
        <v>10011111</v>
      </c>
      <c r="J208" s="7" t="str">
        <f t="shared" si="26"/>
        <v>9F</v>
      </c>
      <c r="K208">
        <f t="shared" si="27"/>
        <v>159</v>
      </c>
    </row>
    <row r="209" spans="1:11" x14ac:dyDescent="0.25">
      <c r="H209" s="7">
        <v>4</v>
      </c>
      <c r="I209" s="7" t="str">
        <f t="shared" si="25"/>
        <v>01010111</v>
      </c>
      <c r="J209" s="7" t="str">
        <f t="shared" si="26"/>
        <v>57</v>
      </c>
      <c r="K209">
        <f t="shared" si="27"/>
        <v>87</v>
      </c>
    </row>
    <row r="211" spans="1:11" x14ac:dyDescent="0.25">
      <c r="A211" t="s">
        <v>280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184</v>
      </c>
      <c r="D213" s="7" t="str">
        <f>DEC2HEX(C213)</f>
        <v>B8</v>
      </c>
      <c r="E213" s="7" t="str">
        <f>DEC2BIN(C213,8)</f>
        <v>10111000</v>
      </c>
    </row>
    <row r="214" spans="1:11" x14ac:dyDescent="0.25">
      <c r="B214" s="7">
        <v>2</v>
      </c>
      <c r="C214" s="7">
        <f t="shared" ref="C214:C216" si="28">_xlfn.BITXOR(K200,K207)</f>
        <v>113</v>
      </c>
      <c r="D214" s="7" t="str">
        <f t="shared" ref="D214:D216" si="29">DEC2HEX(C214)</f>
        <v>71</v>
      </c>
      <c r="E214" s="7" t="str">
        <f t="shared" ref="E214:E216" si="30">DEC2BIN(C214,8)</f>
        <v>01110001</v>
      </c>
    </row>
    <row r="215" spans="1:11" x14ac:dyDescent="0.25">
      <c r="B215" s="7">
        <v>3</v>
      </c>
      <c r="C215" s="7">
        <f t="shared" si="28"/>
        <v>159</v>
      </c>
      <c r="D215" s="7" t="str">
        <f t="shared" si="29"/>
        <v>9F</v>
      </c>
      <c r="E215" s="7" t="str">
        <f t="shared" si="30"/>
        <v>10011111</v>
      </c>
    </row>
    <row r="216" spans="1:11" x14ac:dyDescent="0.25">
      <c r="B216" s="7">
        <v>4</v>
      </c>
      <c r="C216" s="7">
        <f t="shared" si="28"/>
        <v>230</v>
      </c>
      <c r="D216" s="7" t="str">
        <f t="shared" si="29"/>
        <v>E6</v>
      </c>
      <c r="E216" s="7" t="str">
        <f t="shared" si="30"/>
        <v>11100110</v>
      </c>
    </row>
    <row r="219" spans="1:11" ht="21" x14ac:dyDescent="0.35">
      <c r="A219" t="s">
        <v>124</v>
      </c>
      <c r="B219" s="8" t="str">
        <f>E213&amp;E214&amp;E215&amp;E216</f>
        <v>10111000011100011001111111100110</v>
      </c>
      <c r="C219" s="8"/>
      <c r="D219" s="8"/>
      <c r="E219" s="8"/>
    </row>
    <row r="220" spans="1:11" x14ac:dyDescent="0.25">
      <c r="A220" t="s">
        <v>125</v>
      </c>
    </row>
    <row r="221" spans="1:11" ht="21" x14ac:dyDescent="0.35">
      <c r="A221" t="s">
        <v>126</v>
      </c>
      <c r="B221" s="8" t="str">
        <f>B2</f>
        <v>01011111011011001111101010001110</v>
      </c>
      <c r="C221" s="8"/>
      <c r="D221" s="8"/>
      <c r="E221" s="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5FC5-4714-4AF6-8F5F-7E3CDCA19165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122</v>
      </c>
      <c r="B1" s="22" t="s">
        <v>187</v>
      </c>
      <c r="I1" t="s">
        <v>70</v>
      </c>
      <c r="J1" s="22" t="s">
        <v>165</v>
      </c>
    </row>
    <row r="2" spans="1:16" ht="18.75" x14ac:dyDescent="0.3">
      <c r="A2" t="s">
        <v>127</v>
      </c>
      <c r="B2" s="22" t="s">
        <v>189</v>
      </c>
      <c r="I2" t="s">
        <v>129</v>
      </c>
      <c r="J2" s="22" t="s">
        <v>190</v>
      </c>
    </row>
    <row r="4" spans="1:16" x14ac:dyDescent="0.25">
      <c r="A4" t="s">
        <v>285</v>
      </c>
      <c r="D4" s="1" t="str">
        <f>D7</f>
        <v>101100011111001101000111011000110001110101110110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286</v>
      </c>
      <c r="C5" s="6" t="s">
        <v>191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10110001</v>
      </c>
      <c r="L5" s="7" t="str">
        <f>BIN2HEX(K5,2)</f>
        <v>B1</v>
      </c>
      <c r="O5" s="20"/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11110011</v>
      </c>
      <c r="L6" s="7" t="str">
        <f t="shared" ref="L6:L10" si="1">BIN2HEX(K6,2)</f>
        <v>F3</v>
      </c>
    </row>
    <row r="7" spans="1:16" x14ac:dyDescent="0.25">
      <c r="A7">
        <v>1</v>
      </c>
      <c r="B7">
        <v>14</v>
      </c>
      <c r="C7" t="str">
        <f t="shared" ref="C7:C54" si="2">MID($C$5,B7,1)</f>
        <v>1</v>
      </c>
      <c r="D7" t="str">
        <f t="shared" ref="D7:D51" si="3">C7&amp;D8</f>
        <v>101100011111001101000111011000110001110101110110</v>
      </c>
      <c r="J7" s="7">
        <v>3</v>
      </c>
      <c r="K7" s="7" t="str">
        <f t="shared" si="0"/>
        <v>01000111</v>
      </c>
      <c r="L7" s="7" t="str">
        <f t="shared" si="1"/>
        <v>47</v>
      </c>
    </row>
    <row r="8" spans="1:16" x14ac:dyDescent="0.25">
      <c r="A8">
        <v>2</v>
      </c>
      <c r="B8">
        <v>17</v>
      </c>
      <c r="C8" t="str">
        <f t="shared" si="2"/>
        <v>0</v>
      </c>
      <c r="D8" t="str">
        <f t="shared" si="3"/>
        <v>01100011111001101000111011000110001110101110110</v>
      </c>
      <c r="J8" s="7">
        <v>4</v>
      </c>
      <c r="K8" s="7" t="str">
        <f t="shared" si="0"/>
        <v>01100011</v>
      </c>
      <c r="L8" s="7" t="str">
        <f t="shared" si="1"/>
        <v>63</v>
      </c>
      <c r="P8" s="20"/>
    </row>
    <row r="9" spans="1:16" x14ac:dyDescent="0.25">
      <c r="A9">
        <v>3</v>
      </c>
      <c r="B9">
        <v>11</v>
      </c>
      <c r="C9" t="str">
        <f t="shared" si="2"/>
        <v>1</v>
      </c>
      <c r="D9" t="str">
        <f t="shared" si="3"/>
        <v>1100011111001101000111011000110001110101110110</v>
      </c>
      <c r="J9" s="7">
        <v>5</v>
      </c>
      <c r="K9" s="7" t="str">
        <f t="shared" si="0"/>
        <v>00011101</v>
      </c>
      <c r="L9" s="7" t="str">
        <f t="shared" si="1"/>
        <v>1D</v>
      </c>
    </row>
    <row r="10" spans="1:16" x14ac:dyDescent="0.25">
      <c r="A10">
        <v>4</v>
      </c>
      <c r="B10">
        <v>24</v>
      </c>
      <c r="C10" t="str">
        <f t="shared" si="2"/>
        <v>1</v>
      </c>
      <c r="D10" t="str">
        <f t="shared" si="3"/>
        <v>100011111001101000111011000110001110101110110</v>
      </c>
      <c r="J10" s="7">
        <v>6</v>
      </c>
      <c r="K10" s="7" t="str">
        <f>MID($D$4,(J10-1)*8+1,8)</f>
        <v>01110110</v>
      </c>
      <c r="L10" s="7" t="str">
        <f t="shared" si="1"/>
        <v>76</v>
      </c>
    </row>
    <row r="11" spans="1:16" x14ac:dyDescent="0.25">
      <c r="A11">
        <v>5</v>
      </c>
      <c r="B11">
        <v>1</v>
      </c>
      <c r="C11" t="str">
        <f t="shared" si="2"/>
        <v>0</v>
      </c>
      <c r="D11" t="str">
        <f t="shared" si="3"/>
        <v>00011111001101000111011000110001110101110110</v>
      </c>
    </row>
    <row r="12" spans="1:16" x14ac:dyDescent="0.25">
      <c r="A12">
        <v>6</v>
      </c>
      <c r="B12">
        <v>5</v>
      </c>
      <c r="C12" t="str">
        <f t="shared" si="2"/>
        <v>0</v>
      </c>
      <c r="D12" t="str">
        <f t="shared" si="3"/>
        <v>0011111001101000111011000110001110101110110</v>
      </c>
    </row>
    <row r="13" spans="1:16" x14ac:dyDescent="0.25">
      <c r="A13">
        <v>7</v>
      </c>
      <c r="B13">
        <v>3</v>
      </c>
      <c r="C13" t="str">
        <f t="shared" si="2"/>
        <v>0</v>
      </c>
      <c r="D13" t="str">
        <f t="shared" si="3"/>
        <v>011111001101000111011000110001110101110110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11111001101000111011000110001110101110110</v>
      </c>
    </row>
    <row r="15" spans="1:16" x14ac:dyDescent="0.25">
      <c r="A15">
        <v>9</v>
      </c>
      <c r="B15">
        <v>15</v>
      </c>
      <c r="C15" t="str">
        <f t="shared" si="2"/>
        <v>1</v>
      </c>
      <c r="D15" t="str">
        <f t="shared" si="3"/>
        <v>1111001101000111011000110001110101110110</v>
      </c>
    </row>
    <row r="16" spans="1:16" x14ac:dyDescent="0.25">
      <c r="A16">
        <v>10</v>
      </c>
      <c r="B16">
        <v>6</v>
      </c>
      <c r="C16" t="str">
        <f t="shared" si="2"/>
        <v>1</v>
      </c>
      <c r="D16" t="str">
        <f t="shared" si="3"/>
        <v>111001101000111011000110001110101110110</v>
      </c>
    </row>
    <row r="17" spans="1:4" x14ac:dyDescent="0.25">
      <c r="A17">
        <v>11</v>
      </c>
      <c r="B17">
        <v>21</v>
      </c>
      <c r="C17" t="str">
        <f t="shared" si="2"/>
        <v>1</v>
      </c>
      <c r="D17" t="str">
        <f t="shared" si="3"/>
        <v>11001101000111011000110001110101110110</v>
      </c>
    </row>
    <row r="18" spans="1:4" x14ac:dyDescent="0.25">
      <c r="A18">
        <v>12</v>
      </c>
      <c r="B18">
        <v>10</v>
      </c>
      <c r="C18" t="str">
        <f t="shared" si="2"/>
        <v>1</v>
      </c>
      <c r="D18" t="str">
        <f t="shared" si="3"/>
        <v>1001101000111011000110001110101110110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001101000111011000110001110101110110</v>
      </c>
    </row>
    <row r="20" spans="1:4" x14ac:dyDescent="0.25">
      <c r="A20">
        <v>14</v>
      </c>
      <c r="B20">
        <v>19</v>
      </c>
      <c r="C20" t="str">
        <f t="shared" si="2"/>
        <v>0</v>
      </c>
      <c r="D20" t="str">
        <f t="shared" si="3"/>
        <v>01101000111011000110001110101110110</v>
      </c>
    </row>
    <row r="21" spans="1:4" x14ac:dyDescent="0.25">
      <c r="A21">
        <v>15</v>
      </c>
      <c r="B21">
        <v>12</v>
      </c>
      <c r="C21" t="str">
        <f t="shared" si="2"/>
        <v>1</v>
      </c>
      <c r="D21" t="str">
        <f t="shared" si="3"/>
        <v>1101000111011000110001110101110110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101000111011000110001110101110110</v>
      </c>
    </row>
    <row r="23" spans="1:4" x14ac:dyDescent="0.25">
      <c r="A23">
        <v>17</v>
      </c>
      <c r="B23">
        <v>26</v>
      </c>
      <c r="C23" t="str">
        <f t="shared" si="2"/>
        <v>0</v>
      </c>
      <c r="D23" t="str">
        <f t="shared" si="3"/>
        <v>01000111011000110001110101110110</v>
      </c>
    </row>
    <row r="24" spans="1:4" x14ac:dyDescent="0.25">
      <c r="A24">
        <v>18</v>
      </c>
      <c r="B24">
        <v>8</v>
      </c>
      <c r="C24" t="str">
        <f t="shared" si="2"/>
        <v>1</v>
      </c>
      <c r="D24" t="str">
        <f t="shared" si="3"/>
        <v>1000111011000110001110101110110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000111011000110001110101110110</v>
      </c>
    </row>
    <row r="26" spans="1:4" x14ac:dyDescent="0.25">
      <c r="A26">
        <v>20</v>
      </c>
      <c r="B26">
        <v>7</v>
      </c>
      <c r="C26" t="str">
        <f t="shared" si="2"/>
        <v>0</v>
      </c>
      <c r="D26" t="str">
        <f t="shared" si="3"/>
        <v>00111011000110001110101110110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0111011000110001110101110110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111011000110001110101110110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11011000110001110101110110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1011000110001110101110110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011000110001110101110110</v>
      </c>
    </row>
    <row r="32" spans="1:4" x14ac:dyDescent="0.25">
      <c r="A32">
        <v>26</v>
      </c>
      <c r="B32">
        <v>52</v>
      </c>
      <c r="C32" t="str">
        <f t="shared" si="2"/>
        <v>1</v>
      </c>
      <c r="D32" t="str">
        <f t="shared" si="3"/>
        <v>11000110001110101110110</v>
      </c>
    </row>
    <row r="33" spans="1:4" x14ac:dyDescent="0.25">
      <c r="A33">
        <v>27</v>
      </c>
      <c r="B33">
        <v>31</v>
      </c>
      <c r="C33" t="str">
        <f t="shared" si="2"/>
        <v>1</v>
      </c>
      <c r="D33" t="str">
        <f t="shared" si="3"/>
        <v>1000110001110101110110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000110001110101110110</v>
      </c>
    </row>
    <row r="35" spans="1:4" x14ac:dyDescent="0.25">
      <c r="A35">
        <v>29</v>
      </c>
      <c r="B35">
        <v>47</v>
      </c>
      <c r="C35" t="str">
        <f t="shared" si="2"/>
        <v>0</v>
      </c>
      <c r="D35" t="str">
        <f t="shared" si="3"/>
        <v>00110001110101110110</v>
      </c>
    </row>
    <row r="36" spans="1:4" x14ac:dyDescent="0.25">
      <c r="A36">
        <v>30</v>
      </c>
      <c r="B36">
        <v>55</v>
      </c>
      <c r="C36" t="str">
        <f t="shared" si="2"/>
        <v>0</v>
      </c>
      <c r="D36" t="str">
        <f t="shared" si="3"/>
        <v>0110001110101110110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110001110101110110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10001110101110110</v>
      </c>
    </row>
    <row r="39" spans="1:4" x14ac:dyDescent="0.25">
      <c r="A39">
        <v>33</v>
      </c>
      <c r="B39">
        <v>51</v>
      </c>
      <c r="C39" t="str">
        <f t="shared" si="2"/>
        <v>0</v>
      </c>
      <c r="D39" t="str">
        <f t="shared" si="3"/>
        <v>0001110101110110</v>
      </c>
    </row>
    <row r="40" spans="1:4" x14ac:dyDescent="0.25">
      <c r="A40">
        <v>34</v>
      </c>
      <c r="B40">
        <v>45</v>
      </c>
      <c r="C40" t="str">
        <f t="shared" si="2"/>
        <v>0</v>
      </c>
      <c r="D40" t="str">
        <f t="shared" si="3"/>
        <v>001110101110110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01110101110110</v>
      </c>
    </row>
    <row r="42" spans="1:4" x14ac:dyDescent="0.25">
      <c r="A42">
        <v>36</v>
      </c>
      <c r="B42">
        <v>48</v>
      </c>
      <c r="C42" t="str">
        <f t="shared" si="2"/>
        <v>1</v>
      </c>
      <c r="D42" t="str">
        <f t="shared" si="3"/>
        <v>1110101110110</v>
      </c>
    </row>
    <row r="43" spans="1:4" x14ac:dyDescent="0.25">
      <c r="A43">
        <v>37</v>
      </c>
      <c r="B43">
        <v>44</v>
      </c>
      <c r="C43" t="str">
        <f t="shared" si="2"/>
        <v>1</v>
      </c>
      <c r="D43" t="str">
        <f t="shared" si="3"/>
        <v>110101110110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10101110110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0101110110</v>
      </c>
    </row>
    <row r="46" spans="1:4" x14ac:dyDescent="0.25">
      <c r="A46">
        <v>40</v>
      </c>
      <c r="B46">
        <v>56</v>
      </c>
      <c r="C46" t="str">
        <f t="shared" si="2"/>
        <v>1</v>
      </c>
      <c r="D46" t="str">
        <f t="shared" si="3"/>
        <v>101110110</v>
      </c>
    </row>
    <row r="47" spans="1:4" x14ac:dyDescent="0.25">
      <c r="A47">
        <v>41</v>
      </c>
      <c r="B47">
        <v>34</v>
      </c>
      <c r="C47" t="str">
        <f t="shared" si="2"/>
        <v>0</v>
      </c>
      <c r="D47" t="str">
        <f t="shared" si="3"/>
        <v>01110110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1110110</v>
      </c>
    </row>
    <row r="49" spans="1:4" x14ac:dyDescent="0.25">
      <c r="A49">
        <v>43</v>
      </c>
      <c r="B49">
        <v>46</v>
      </c>
      <c r="C49" t="str">
        <f t="shared" si="2"/>
        <v>1</v>
      </c>
      <c r="D49" t="str">
        <f t="shared" si="3"/>
        <v>110110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10110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0110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110</v>
      </c>
    </row>
    <row r="53" spans="1:4" x14ac:dyDescent="0.25">
      <c r="A53">
        <v>47</v>
      </c>
      <c r="B53">
        <v>29</v>
      </c>
      <c r="C53" t="str">
        <f t="shared" si="2"/>
        <v>1</v>
      </c>
      <c r="D53" t="str">
        <f>C53&amp;C54</f>
        <v>10</v>
      </c>
    </row>
    <row r="54" spans="1:4" x14ac:dyDescent="0.25">
      <c r="A54">
        <v>48</v>
      </c>
      <c r="B54">
        <v>32</v>
      </c>
      <c r="C54" t="str">
        <f t="shared" si="2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8962-04EF-403E-BF69-F78A277CD84F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285</v>
      </c>
      <c r="D1" t="s">
        <v>192</v>
      </c>
    </row>
    <row r="2" spans="1:4" x14ac:dyDescent="0.25">
      <c r="A2" t="s">
        <v>124</v>
      </c>
      <c r="B2" t="s">
        <v>224</v>
      </c>
    </row>
    <row r="3" spans="1:4" x14ac:dyDescent="0.25">
      <c r="A3" t="s">
        <v>125</v>
      </c>
    </row>
    <row r="4" spans="1:4" x14ac:dyDescent="0.25">
      <c r="A4" t="s">
        <v>126</v>
      </c>
      <c r="B4" t="s">
        <v>223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010111110000001110100011110011111111111100001101</v>
      </c>
    </row>
    <row r="8" spans="1:4" x14ac:dyDescent="0.25">
      <c r="A8">
        <v>2</v>
      </c>
      <c r="B8">
        <v>1</v>
      </c>
      <c r="C8" t="str">
        <f t="shared" ref="C8:C54" si="1">MID($B$2,B8,1)</f>
        <v>1</v>
      </c>
      <c r="D8" t="str">
        <f t="shared" si="0"/>
        <v>10111110000001110100011110011111111111100001101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0111110000001110100011110011111111111100001101</v>
      </c>
    </row>
    <row r="10" spans="1:4" x14ac:dyDescent="0.25">
      <c r="A10">
        <v>4</v>
      </c>
      <c r="B10">
        <v>3</v>
      </c>
      <c r="C10" t="str">
        <f t="shared" si="1"/>
        <v>1</v>
      </c>
      <c r="D10" t="str">
        <f t="shared" si="0"/>
        <v>111110000001110100011110011111111111100001101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11110000001110100011110011111111111100001101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1110000001110100011110011111111111100001101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110000001110100011110011111111111100001101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10000001110100011110011111111111100001101</v>
      </c>
    </row>
    <row r="15" spans="1:4" x14ac:dyDescent="0.25">
      <c r="A15">
        <v>9</v>
      </c>
      <c r="B15">
        <v>6</v>
      </c>
      <c r="C15" t="str">
        <f t="shared" si="1"/>
        <v>0</v>
      </c>
      <c r="D15" t="str">
        <f t="shared" si="0"/>
        <v>0000001110100011110011111111111100001101</v>
      </c>
    </row>
    <row r="16" spans="1:4" x14ac:dyDescent="0.25">
      <c r="A16">
        <v>10</v>
      </c>
      <c r="B16">
        <v>7</v>
      </c>
      <c r="C16" t="str">
        <f t="shared" si="1"/>
        <v>0</v>
      </c>
      <c r="D16" t="str">
        <f t="shared" si="0"/>
        <v>000001110100011110011111111111100001101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00001110100011110011111111111100001101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0001110100011110011111111111100001101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001110100011110011111111111100001101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01110100011110011111111111100001101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1110100011110011111111111100001101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110100011110011111111111100001101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10100011110011111111111100001101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0100011110011111111111100001101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100011110011111111111100001101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00011110011111111111100001101</v>
      </c>
    </row>
    <row r="27" spans="1:4" x14ac:dyDescent="0.25">
      <c r="A27">
        <v>21</v>
      </c>
      <c r="B27">
        <v>14</v>
      </c>
      <c r="C27" t="str">
        <f t="shared" si="1"/>
        <v>0</v>
      </c>
      <c r="D27" t="str">
        <f t="shared" si="0"/>
        <v>0011110011111111111100001101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011110011111111111100001101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11110011111111111100001101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1110011111111111100001101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110011111111111100001101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10011111111111100001101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0011111111111100001101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011111111111100001101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11111111111100001101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1111111111100001101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111111111100001101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11111111100001101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1111111100001101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111111100001101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11111100001101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1111100001101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111100001101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11100001101</v>
      </c>
    </row>
    <row r="45" spans="1:4" x14ac:dyDescent="0.25">
      <c r="A45">
        <v>39</v>
      </c>
      <c r="B45">
        <v>26</v>
      </c>
      <c r="C45" t="str">
        <f t="shared" si="1"/>
        <v>1</v>
      </c>
      <c r="D45" t="str">
        <f t="shared" si="0"/>
        <v>1100001101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100001101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00001101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0001101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001101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01101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1101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101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01</v>
      </c>
    </row>
    <row r="54" spans="1:4" x14ac:dyDescent="0.25">
      <c r="A54">
        <v>48</v>
      </c>
      <c r="B54">
        <v>1</v>
      </c>
      <c r="C54" t="str">
        <f t="shared" si="1"/>
        <v>1</v>
      </c>
    </row>
    <row r="56" spans="1:4" x14ac:dyDescent="0.25">
      <c r="A56" t="s">
        <v>291</v>
      </c>
      <c r="B56" t="str">
        <f>D7</f>
        <v>010111110000001110100011110011111111111100001101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01011111</v>
      </c>
      <c r="C59" s="7" t="str">
        <f t="shared" ref="C59:C64" si="2">BIN2HEX(B59,2)</f>
        <v>5F</v>
      </c>
    </row>
    <row r="60" spans="1:4" x14ac:dyDescent="0.25">
      <c r="A60" s="7">
        <v>2</v>
      </c>
      <c r="B60" s="7" t="str">
        <f t="shared" ref="B60:B64" si="3">MID($B$56,(A60-1)*8+1,8)</f>
        <v>00000011</v>
      </c>
      <c r="C60" s="7" t="str">
        <f t="shared" si="2"/>
        <v>03</v>
      </c>
    </row>
    <row r="61" spans="1:4" x14ac:dyDescent="0.25">
      <c r="A61" s="7">
        <v>3</v>
      </c>
      <c r="B61" s="7" t="str">
        <f t="shared" si="3"/>
        <v>10100011</v>
      </c>
      <c r="C61" s="7" t="str">
        <f t="shared" si="2"/>
        <v>A3</v>
      </c>
    </row>
    <row r="62" spans="1:4" x14ac:dyDescent="0.25">
      <c r="A62" s="7">
        <v>4</v>
      </c>
      <c r="B62" s="7" t="str">
        <f t="shared" si="3"/>
        <v>11001111</v>
      </c>
      <c r="C62" s="7" t="str">
        <f t="shared" si="2"/>
        <v>CF</v>
      </c>
    </row>
    <row r="63" spans="1:4" x14ac:dyDescent="0.25">
      <c r="A63" s="7">
        <v>5</v>
      </c>
      <c r="B63" s="7" t="str">
        <f t="shared" si="3"/>
        <v>11111111</v>
      </c>
      <c r="C63" s="7" t="str">
        <f t="shared" si="2"/>
        <v>FF</v>
      </c>
    </row>
    <row r="64" spans="1:4" x14ac:dyDescent="0.25">
      <c r="A64" s="7">
        <v>6</v>
      </c>
      <c r="B64" s="7" t="str">
        <f t="shared" si="3"/>
        <v>00001101</v>
      </c>
      <c r="C64" s="7" t="str">
        <f t="shared" si="2"/>
        <v>0D</v>
      </c>
    </row>
    <row r="65" spans="1:10" x14ac:dyDescent="0.25">
      <c r="A65" t="s">
        <v>290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10110001</v>
      </c>
      <c r="C68" s="7" t="str">
        <f>BIN2HEX(B68,2)</f>
        <v>B1</v>
      </c>
      <c r="D68">
        <f>BIN2DEC(B68)</f>
        <v>177</v>
      </c>
      <c r="G68" s="7">
        <v>1</v>
      </c>
      <c r="H68" s="7" t="str">
        <f>MID($B$56,(G68-1)*8+1,8)</f>
        <v>01011111</v>
      </c>
      <c r="I68" s="7" t="str">
        <f>BIN2HEX(H68,2)</f>
        <v>5F</v>
      </c>
      <c r="J68">
        <f>BIN2DEC(H68)</f>
        <v>95</v>
      </c>
    </row>
    <row r="69" spans="1:10" x14ac:dyDescent="0.25">
      <c r="A69" s="7">
        <v>2</v>
      </c>
      <c r="B69" s="7" t="str">
        <f t="shared" ref="B69:B73" si="4">MID($D$1,(A69-1)*8+1,8)</f>
        <v>11110011</v>
      </c>
      <c r="C69" s="7" t="str">
        <f t="shared" ref="C69:C73" si="5">BIN2HEX(B69,2)</f>
        <v>F3</v>
      </c>
      <c r="D69">
        <f t="shared" ref="D69:D73" si="6">BIN2DEC(B69)</f>
        <v>243</v>
      </c>
      <c r="G69" s="7">
        <v>2</v>
      </c>
      <c r="H69" s="7" t="str">
        <f t="shared" ref="H69:H73" si="7">MID($B$56,(G69-1)*8+1,8)</f>
        <v>00000011</v>
      </c>
      <c r="I69" s="7" t="str">
        <f t="shared" ref="I69:I73" si="8">BIN2HEX(H69,2)</f>
        <v>03</v>
      </c>
      <c r="J69">
        <f t="shared" ref="J69:J73" si="9">BIN2DEC(H69)</f>
        <v>3</v>
      </c>
    </row>
    <row r="70" spans="1:10" x14ac:dyDescent="0.25">
      <c r="A70" s="7">
        <v>3</v>
      </c>
      <c r="B70" s="7" t="str">
        <f t="shared" si="4"/>
        <v>01000111</v>
      </c>
      <c r="C70" s="7" t="str">
        <f t="shared" si="5"/>
        <v>47</v>
      </c>
      <c r="D70">
        <f t="shared" si="6"/>
        <v>71</v>
      </c>
      <c r="G70" s="7">
        <v>3</v>
      </c>
      <c r="H70" s="7" t="str">
        <f t="shared" si="7"/>
        <v>10100011</v>
      </c>
      <c r="I70" s="7" t="str">
        <f t="shared" si="8"/>
        <v>A3</v>
      </c>
      <c r="J70">
        <f t="shared" si="9"/>
        <v>163</v>
      </c>
    </row>
    <row r="71" spans="1:10" x14ac:dyDescent="0.25">
      <c r="A71" s="7">
        <v>4</v>
      </c>
      <c r="B71" s="7" t="str">
        <f t="shared" si="4"/>
        <v>01100011</v>
      </c>
      <c r="C71" s="7" t="str">
        <f t="shared" si="5"/>
        <v>63</v>
      </c>
      <c r="D71">
        <f t="shared" si="6"/>
        <v>99</v>
      </c>
      <c r="G71" s="7">
        <v>4</v>
      </c>
      <c r="H71" s="7" t="str">
        <f t="shared" si="7"/>
        <v>11001111</v>
      </c>
      <c r="I71" s="7" t="str">
        <f t="shared" si="8"/>
        <v>CF</v>
      </c>
      <c r="J71">
        <f t="shared" si="9"/>
        <v>207</v>
      </c>
    </row>
    <row r="72" spans="1:10" x14ac:dyDescent="0.25">
      <c r="A72" s="7">
        <v>5</v>
      </c>
      <c r="B72" s="7" t="str">
        <f t="shared" si="4"/>
        <v>00011101</v>
      </c>
      <c r="C72" s="7" t="str">
        <f t="shared" si="5"/>
        <v>1D</v>
      </c>
      <c r="D72">
        <f t="shared" si="6"/>
        <v>29</v>
      </c>
      <c r="G72" s="7">
        <v>5</v>
      </c>
      <c r="H72" s="7" t="str">
        <f t="shared" si="7"/>
        <v>11111111</v>
      </c>
      <c r="I72" s="7" t="str">
        <f t="shared" si="8"/>
        <v>FF</v>
      </c>
      <c r="J72">
        <f t="shared" si="9"/>
        <v>255</v>
      </c>
    </row>
    <row r="73" spans="1:10" x14ac:dyDescent="0.25">
      <c r="A73" s="7">
        <v>6</v>
      </c>
      <c r="B73" s="7" t="str">
        <f t="shared" si="4"/>
        <v>01110110</v>
      </c>
      <c r="C73" s="7" t="str">
        <f t="shared" si="5"/>
        <v>76</v>
      </c>
      <c r="D73">
        <f t="shared" si="6"/>
        <v>118</v>
      </c>
      <c r="G73" s="7">
        <v>6</v>
      </c>
      <c r="H73" s="7" t="str">
        <f t="shared" si="7"/>
        <v>00001101</v>
      </c>
      <c r="I73" s="7" t="str">
        <f t="shared" si="8"/>
        <v>0D</v>
      </c>
      <c r="J73">
        <f t="shared" si="9"/>
        <v>13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238</v>
      </c>
      <c r="C76" s="10" t="str">
        <f>DEC2BIN(B76,8)</f>
        <v>11101110</v>
      </c>
      <c r="D76" s="10" t="str">
        <f>DEC2HEX(B76,2)</f>
        <v>EE</v>
      </c>
    </row>
    <row r="77" spans="1:10" x14ac:dyDescent="0.25">
      <c r="A77" s="11">
        <v>2</v>
      </c>
      <c r="B77" s="10">
        <f t="shared" ref="B77:B81" si="10">_xlfn.BITXOR(D69,J69)</f>
        <v>240</v>
      </c>
      <c r="C77" s="10" t="str">
        <f t="shared" ref="C77:C81" si="11">DEC2BIN(B77,8)</f>
        <v>11110000</v>
      </c>
      <c r="D77" s="10" t="str">
        <f t="shared" ref="D77:D81" si="12">DEC2HEX(B77,2)</f>
        <v>F0</v>
      </c>
    </row>
    <row r="78" spans="1:10" x14ac:dyDescent="0.25">
      <c r="A78" s="11">
        <v>3</v>
      </c>
      <c r="B78" s="10">
        <f t="shared" si="10"/>
        <v>228</v>
      </c>
      <c r="C78" s="10" t="str">
        <f t="shared" si="11"/>
        <v>11100100</v>
      </c>
      <c r="D78" s="10" t="str">
        <f t="shared" si="12"/>
        <v>E4</v>
      </c>
    </row>
    <row r="79" spans="1:10" x14ac:dyDescent="0.25">
      <c r="A79" s="11">
        <v>4</v>
      </c>
      <c r="B79" s="10">
        <f t="shared" si="10"/>
        <v>172</v>
      </c>
      <c r="C79" s="10" t="str">
        <f t="shared" si="11"/>
        <v>10101100</v>
      </c>
      <c r="D79" s="10" t="str">
        <f t="shared" si="12"/>
        <v>AC</v>
      </c>
    </row>
    <row r="80" spans="1:10" x14ac:dyDescent="0.25">
      <c r="A80" s="11">
        <v>5</v>
      </c>
      <c r="B80" s="10">
        <f t="shared" si="10"/>
        <v>226</v>
      </c>
      <c r="C80" s="10" t="str">
        <f t="shared" si="11"/>
        <v>11100010</v>
      </c>
      <c r="D80" s="10" t="str">
        <f t="shared" si="12"/>
        <v>E2</v>
      </c>
    </row>
    <row r="81" spans="1:10" x14ac:dyDescent="0.25">
      <c r="A81" s="11">
        <v>6</v>
      </c>
      <c r="B81" s="10">
        <f t="shared" si="10"/>
        <v>123</v>
      </c>
      <c r="C81" s="10" t="str">
        <f t="shared" si="11"/>
        <v>01111011</v>
      </c>
      <c r="D81" s="10" t="str">
        <f t="shared" si="12"/>
        <v>7B</v>
      </c>
    </row>
    <row r="83" spans="1:10" ht="21" x14ac:dyDescent="0.35">
      <c r="B83" t="s">
        <v>289</v>
      </c>
      <c r="D83" s="8" t="str">
        <f>C76&amp;C77&amp;C78&amp;C79&amp;C80&amp;C81</f>
        <v>111011101111000011100100101011001110001001111011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111011</v>
      </c>
      <c r="C86" s="10" t="str">
        <f>LEFT(B86,1)&amp;RIGHT(B86,1)</f>
        <v>11</v>
      </c>
      <c r="D86" s="10" t="str">
        <f>MID(B86,2,4)</f>
        <v>1101</v>
      </c>
      <c r="E86" s="10" t="str">
        <f>C86&amp;D86</f>
        <v>111101</v>
      </c>
      <c r="F86" s="10">
        <f>BIN2DEC(E86)</f>
        <v>61</v>
      </c>
      <c r="G86" s="10"/>
      <c r="H86" s="10">
        <f>VLOOKUP(F86,$A$95:$I$158,2,TRUE)</f>
        <v>0</v>
      </c>
      <c r="I86" s="10" t="str">
        <f>DEC2BIN(H86,4)</f>
        <v>0000</v>
      </c>
      <c r="J86" t="str">
        <f t="shared" ref="J86:J90" si="13">I86&amp;J87</f>
        <v>00000010011110011110100001000101</v>
      </c>
    </row>
    <row r="87" spans="1:10" x14ac:dyDescent="0.25">
      <c r="A87" s="10">
        <v>2</v>
      </c>
      <c r="B87" s="10" t="str">
        <f t="shared" ref="B87:B93" si="14">MID($D$83,(A87-1)*6+1,6)</f>
        <v>101111</v>
      </c>
      <c r="C87" s="10" t="str">
        <f t="shared" ref="C87:C93" si="15">LEFT(B87,1)&amp;RIGHT(B87,1)</f>
        <v>11</v>
      </c>
      <c r="D87" s="10" t="str">
        <f t="shared" ref="D87:D93" si="16">MID(B87,2,4)</f>
        <v>0111</v>
      </c>
      <c r="E87" s="10" t="str">
        <f t="shared" ref="E87:E93" si="17">C87&amp;D87</f>
        <v>110111</v>
      </c>
      <c r="F87" s="10">
        <f t="shared" ref="F87:F93" si="18">BIN2DEC(E87)</f>
        <v>55</v>
      </c>
      <c r="G87" s="10"/>
      <c r="H87" s="10">
        <f>VLOOKUP(F87,$A$95:$I$158,3,TRUE)</f>
        <v>2</v>
      </c>
      <c r="I87" s="10" t="str">
        <f t="shared" ref="I87:I93" si="19">DEC2BIN(H87,4)</f>
        <v>0010</v>
      </c>
      <c r="J87" t="str">
        <f t="shared" si="13"/>
        <v>0010011110011110100001000101</v>
      </c>
    </row>
    <row r="88" spans="1:10" x14ac:dyDescent="0.25">
      <c r="A88" s="10">
        <v>3</v>
      </c>
      <c r="B88" s="10" t="str">
        <f t="shared" si="14"/>
        <v>000011</v>
      </c>
      <c r="C88" s="10" t="str">
        <f t="shared" si="15"/>
        <v>01</v>
      </c>
      <c r="D88" s="10" t="str">
        <f t="shared" si="16"/>
        <v>0001</v>
      </c>
      <c r="E88" s="10" t="str">
        <f t="shared" si="17"/>
        <v>010001</v>
      </c>
      <c r="F88" s="10">
        <f t="shared" si="18"/>
        <v>17</v>
      </c>
      <c r="G88" s="10"/>
      <c r="H88" s="10">
        <f>VLOOKUP(F88,$A$95:$I$158,4,TRUE)</f>
        <v>7</v>
      </c>
      <c r="I88" s="10" t="str">
        <f t="shared" si="19"/>
        <v>0111</v>
      </c>
      <c r="J88" t="str">
        <f t="shared" si="13"/>
        <v>011110011110100001000101</v>
      </c>
    </row>
    <row r="89" spans="1:10" x14ac:dyDescent="0.25">
      <c r="A89" s="10">
        <v>4</v>
      </c>
      <c r="B89" s="10" t="str">
        <f t="shared" si="14"/>
        <v>100100</v>
      </c>
      <c r="C89" s="10" t="str">
        <f t="shared" si="15"/>
        <v>10</v>
      </c>
      <c r="D89" s="10" t="str">
        <f t="shared" si="16"/>
        <v>0010</v>
      </c>
      <c r="E89" s="10" t="str">
        <f t="shared" si="17"/>
        <v>100010</v>
      </c>
      <c r="F89" s="10">
        <f t="shared" si="18"/>
        <v>34</v>
      </c>
      <c r="G89" s="10"/>
      <c r="H89" s="10">
        <f>VLOOKUP(F89,$A$95:$I$158,5,TRUE)</f>
        <v>9</v>
      </c>
      <c r="I89" s="10" t="str">
        <f t="shared" si="19"/>
        <v>1001</v>
      </c>
      <c r="J89" t="str">
        <f t="shared" si="13"/>
        <v>10011110100001000101</v>
      </c>
    </row>
    <row r="90" spans="1:10" x14ac:dyDescent="0.25">
      <c r="A90" s="10">
        <v>5</v>
      </c>
      <c r="B90" s="10" t="str">
        <f t="shared" si="14"/>
        <v>101011</v>
      </c>
      <c r="C90" s="10" t="str">
        <f t="shared" si="15"/>
        <v>11</v>
      </c>
      <c r="D90" s="10" t="str">
        <f t="shared" si="16"/>
        <v>0101</v>
      </c>
      <c r="E90" s="10" t="str">
        <f t="shared" si="17"/>
        <v>110101</v>
      </c>
      <c r="F90" s="10">
        <f t="shared" si="18"/>
        <v>53</v>
      </c>
      <c r="G90" s="10"/>
      <c r="H90" s="10">
        <f>VLOOKUP(F90,$A$95:$I$158,6,TRUE)</f>
        <v>14</v>
      </c>
      <c r="I90" s="10" t="str">
        <f t="shared" si="19"/>
        <v>1110</v>
      </c>
      <c r="J90" t="str">
        <f t="shared" si="13"/>
        <v>1110100001000101</v>
      </c>
    </row>
    <row r="91" spans="1:10" x14ac:dyDescent="0.25">
      <c r="A91" s="10">
        <v>6</v>
      </c>
      <c r="B91" s="10" t="str">
        <f t="shared" si="14"/>
        <v>001110</v>
      </c>
      <c r="C91" s="10" t="str">
        <f t="shared" si="15"/>
        <v>00</v>
      </c>
      <c r="D91" s="10" t="str">
        <f t="shared" si="16"/>
        <v>0111</v>
      </c>
      <c r="E91" s="10" t="str">
        <f t="shared" si="17"/>
        <v>000111</v>
      </c>
      <c r="F91" s="10">
        <f t="shared" si="18"/>
        <v>7</v>
      </c>
      <c r="G91" s="10"/>
      <c r="H91" s="10">
        <f>VLOOKUP(F91,$A$95:$I$158,7,TRUE)</f>
        <v>8</v>
      </c>
      <c r="I91" s="10" t="str">
        <f t="shared" si="19"/>
        <v>1000</v>
      </c>
      <c r="J91" t="str">
        <f>I91&amp;J92</f>
        <v>100001000101</v>
      </c>
    </row>
    <row r="92" spans="1:10" x14ac:dyDescent="0.25">
      <c r="A92" s="10">
        <v>7</v>
      </c>
      <c r="B92" s="10" t="str">
        <f t="shared" si="14"/>
        <v>001001</v>
      </c>
      <c r="C92" s="10" t="str">
        <f t="shared" si="15"/>
        <v>01</v>
      </c>
      <c r="D92" s="10" t="str">
        <f t="shared" si="16"/>
        <v>0100</v>
      </c>
      <c r="E92" s="10" t="str">
        <f t="shared" si="17"/>
        <v>010100</v>
      </c>
      <c r="F92" s="10">
        <f t="shared" si="18"/>
        <v>20</v>
      </c>
      <c r="G92" s="10"/>
      <c r="H92" s="10">
        <f>VLOOKUP(F92,$A$95:$I$158,8,TRUE)</f>
        <v>4</v>
      </c>
      <c r="I92" s="10" t="str">
        <f t="shared" si="19"/>
        <v>0100</v>
      </c>
      <c r="J92" t="str">
        <f>I92&amp;I93</f>
        <v>01000101</v>
      </c>
    </row>
    <row r="93" spans="1:10" x14ac:dyDescent="0.25">
      <c r="A93" s="10">
        <v>8</v>
      </c>
      <c r="B93" s="10" t="str">
        <f t="shared" si="14"/>
        <v>111011</v>
      </c>
      <c r="C93" s="10" t="str">
        <f t="shared" si="15"/>
        <v>11</v>
      </c>
      <c r="D93" s="10" t="str">
        <f t="shared" si="16"/>
        <v>1101</v>
      </c>
      <c r="E93" s="10" t="str">
        <f t="shared" si="17"/>
        <v>111101</v>
      </c>
      <c r="F93" s="10">
        <f t="shared" si="18"/>
        <v>61</v>
      </c>
      <c r="G93" s="10"/>
      <c r="H93" s="10">
        <f>VLOOKUP(F93,$A$95:$I$158,9,TRUE)</f>
        <v>5</v>
      </c>
      <c r="I93" s="10" t="str">
        <f t="shared" si="19"/>
        <v>0101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00000010011110011110100001000101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11010101000101010000100011100100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1010101000101010000100011100100</v>
      </c>
    </row>
    <row r="167" spans="1:6" x14ac:dyDescent="0.25">
      <c r="A167">
        <v>3</v>
      </c>
      <c r="B167">
        <v>20</v>
      </c>
      <c r="C167" t="str">
        <f t="shared" si="21"/>
        <v>0</v>
      </c>
      <c r="D167" t="str">
        <f t="shared" si="20"/>
        <v>010101000101010000100011100100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10101000101010000100011100100</v>
      </c>
    </row>
    <row r="169" spans="1:6" x14ac:dyDescent="0.25">
      <c r="A169">
        <v>5</v>
      </c>
      <c r="B169">
        <v>29</v>
      </c>
      <c r="C169" t="str">
        <f t="shared" si="21"/>
        <v>0</v>
      </c>
      <c r="D169" t="str">
        <f t="shared" si="20"/>
        <v>0101000101010000100011100100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101000101010000100011100100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01000101010000100011100100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1000101010000100011100100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000101010000100011100100</v>
      </c>
    </row>
    <row r="174" spans="1:6" x14ac:dyDescent="0.25">
      <c r="A174">
        <v>10</v>
      </c>
      <c r="B174">
        <v>15</v>
      </c>
      <c r="C174" t="str">
        <f t="shared" si="21"/>
        <v>0</v>
      </c>
      <c r="D174" t="str">
        <f t="shared" si="20"/>
        <v>00101010000100011100100</v>
      </c>
    </row>
    <row r="175" spans="1:6" x14ac:dyDescent="0.25">
      <c r="A175">
        <v>11</v>
      </c>
      <c r="B175">
        <v>23</v>
      </c>
      <c r="C175" t="str">
        <f t="shared" si="21"/>
        <v>0</v>
      </c>
      <c r="D175" t="str">
        <f t="shared" si="20"/>
        <v>0101010000100011100100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101010000100011100100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01010000100011100100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1010000100011100100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010000100011100100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10000100011100100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0000100011100100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000100011100100</v>
      </c>
    </row>
    <row r="183" spans="1:4" x14ac:dyDescent="0.25">
      <c r="A183">
        <v>19</v>
      </c>
      <c r="B183">
        <v>24</v>
      </c>
      <c r="C183" t="str">
        <f t="shared" si="21"/>
        <v>0</v>
      </c>
      <c r="D183" t="str">
        <f t="shared" si="20"/>
        <v>00100011100100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0100011100100</v>
      </c>
    </row>
    <row r="185" spans="1:4" x14ac:dyDescent="0.25">
      <c r="A185">
        <v>21</v>
      </c>
      <c r="B185">
        <v>32</v>
      </c>
      <c r="C185" t="str">
        <f t="shared" si="21"/>
        <v>1</v>
      </c>
      <c r="D185" t="str">
        <f t="shared" si="20"/>
        <v>100011100100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00011100100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0011100100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011100100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11100100</v>
      </c>
    </row>
    <row r="190" spans="1:4" x14ac:dyDescent="0.25">
      <c r="A190">
        <v>26</v>
      </c>
      <c r="B190">
        <v>13</v>
      </c>
      <c r="C190" t="str">
        <f t="shared" si="21"/>
        <v>1</v>
      </c>
      <c r="D190" t="str">
        <f t="shared" si="20"/>
        <v>1100100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100100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00100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0100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100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288</v>
      </c>
      <c r="B198" s="16" t="str">
        <f>D165</f>
        <v>11010101000101010000100011100100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11010101</v>
      </c>
      <c r="J199" s="7" t="str">
        <f>BIN2HEX(I199,2)</f>
        <v>D5</v>
      </c>
      <c r="K199">
        <f>BIN2DEC(I199)</f>
        <v>213</v>
      </c>
    </row>
    <row r="200" spans="1:11" x14ac:dyDescent="0.25">
      <c r="H200" s="7">
        <v>2</v>
      </c>
      <c r="I200" s="7" t="str">
        <f t="shared" ref="I200:I202" si="22">MID($B$198,(H200-1)*8+1,8)</f>
        <v>00010101</v>
      </c>
      <c r="J200" s="7" t="str">
        <f t="shared" ref="J200:J202" si="23">BIN2HEX(I200,2)</f>
        <v>15</v>
      </c>
      <c r="K200">
        <f t="shared" ref="K200:K202" si="24">BIN2DEC(I200)</f>
        <v>21</v>
      </c>
    </row>
    <row r="201" spans="1:11" x14ac:dyDescent="0.25">
      <c r="H201" s="7">
        <v>3</v>
      </c>
      <c r="I201" s="7" t="str">
        <f t="shared" si="22"/>
        <v>00001000</v>
      </c>
      <c r="J201" s="7" t="str">
        <f t="shared" si="23"/>
        <v>08</v>
      </c>
      <c r="K201">
        <f t="shared" si="24"/>
        <v>8</v>
      </c>
    </row>
    <row r="202" spans="1:11" x14ac:dyDescent="0.25">
      <c r="H202" s="7">
        <v>4</v>
      </c>
      <c r="I202" s="7" t="str">
        <f t="shared" si="22"/>
        <v>11100100</v>
      </c>
      <c r="J202" s="7" t="str">
        <f t="shared" si="23"/>
        <v>E4</v>
      </c>
      <c r="K202">
        <f t="shared" si="24"/>
        <v>228</v>
      </c>
    </row>
    <row r="205" spans="1:11" ht="18.75" x14ac:dyDescent="0.3">
      <c r="A205" t="s">
        <v>133</v>
      </c>
      <c r="B205" s="16" t="str">
        <f>B4</f>
        <v>01011111011011001111101010001110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01011111</v>
      </c>
      <c r="J206" s="7" t="str">
        <f>BIN2HEX(I206,2)</f>
        <v>5F</v>
      </c>
      <c r="K206">
        <f>BIN2DEC(I206)</f>
        <v>95</v>
      </c>
    </row>
    <row r="207" spans="1:11" x14ac:dyDescent="0.25">
      <c r="H207" s="7">
        <v>2</v>
      </c>
      <c r="I207" s="7" t="str">
        <f t="shared" ref="I207:I209" si="25">MID($B$205,(H207-1)*8+1,8)</f>
        <v>01101100</v>
      </c>
      <c r="J207" s="7" t="str">
        <f t="shared" ref="J207:J209" si="26">BIN2HEX(I207,2)</f>
        <v>6C</v>
      </c>
      <c r="K207">
        <f t="shared" ref="K207:K209" si="27">BIN2DEC(I207)</f>
        <v>108</v>
      </c>
    </row>
    <row r="208" spans="1:11" x14ac:dyDescent="0.25">
      <c r="H208" s="7">
        <v>3</v>
      </c>
      <c r="I208" s="7" t="str">
        <f t="shared" si="25"/>
        <v>11111010</v>
      </c>
      <c r="J208" s="7" t="str">
        <f t="shared" si="26"/>
        <v>FA</v>
      </c>
      <c r="K208">
        <f t="shared" si="27"/>
        <v>250</v>
      </c>
    </row>
    <row r="209" spans="1:11" x14ac:dyDescent="0.25">
      <c r="H209" s="7">
        <v>4</v>
      </c>
      <c r="I209" s="7" t="str">
        <f t="shared" si="25"/>
        <v>10001110</v>
      </c>
      <c r="J209" s="7" t="str">
        <f t="shared" si="26"/>
        <v>8E</v>
      </c>
      <c r="K209">
        <f t="shared" si="27"/>
        <v>142</v>
      </c>
    </row>
    <row r="211" spans="1:11" x14ac:dyDescent="0.25">
      <c r="A211" t="s">
        <v>287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138</v>
      </c>
      <c r="D213" s="7" t="str">
        <f>DEC2HEX(C213)</f>
        <v>8A</v>
      </c>
      <c r="E213" s="7" t="str">
        <f>DEC2BIN(C213,8)</f>
        <v>10001010</v>
      </c>
    </row>
    <row r="214" spans="1:11" x14ac:dyDescent="0.25">
      <c r="B214" s="7">
        <v>2</v>
      </c>
      <c r="C214" s="7">
        <f t="shared" ref="C214:C216" si="28">_xlfn.BITXOR(K200,K207)</f>
        <v>121</v>
      </c>
      <c r="D214" s="7" t="str">
        <f t="shared" ref="D214:D216" si="29">DEC2HEX(C214)</f>
        <v>79</v>
      </c>
      <c r="E214" s="7" t="str">
        <f t="shared" ref="E214:E216" si="30">DEC2BIN(C214,8)</f>
        <v>01111001</v>
      </c>
    </row>
    <row r="215" spans="1:11" x14ac:dyDescent="0.25">
      <c r="B215" s="7">
        <v>3</v>
      </c>
      <c r="C215" s="7">
        <f t="shared" si="28"/>
        <v>242</v>
      </c>
      <c r="D215" s="7" t="str">
        <f t="shared" si="29"/>
        <v>F2</v>
      </c>
      <c r="E215" s="7" t="str">
        <f t="shared" si="30"/>
        <v>11110010</v>
      </c>
    </row>
    <row r="216" spans="1:11" x14ac:dyDescent="0.25">
      <c r="B216" s="7">
        <v>4</v>
      </c>
      <c r="C216" s="7">
        <f t="shared" si="28"/>
        <v>106</v>
      </c>
      <c r="D216" s="7" t="str">
        <f t="shared" si="29"/>
        <v>6A</v>
      </c>
      <c r="E216" s="7" t="str">
        <f t="shared" si="30"/>
        <v>01101010</v>
      </c>
    </row>
    <row r="219" spans="1:11" ht="21" x14ac:dyDescent="0.35">
      <c r="A219" t="s">
        <v>134</v>
      </c>
      <c r="B219" s="8" t="str">
        <f>E213&amp;E214&amp;E215&amp;E216</f>
        <v>10001010011110011111001001101010</v>
      </c>
      <c r="C219" s="8"/>
      <c r="D219" s="8"/>
      <c r="E219" s="8"/>
    </row>
    <row r="220" spans="1:11" x14ac:dyDescent="0.25">
      <c r="A220" t="s">
        <v>135</v>
      </c>
    </row>
    <row r="221" spans="1:11" ht="21" x14ac:dyDescent="0.35">
      <c r="A221" t="s">
        <v>136</v>
      </c>
      <c r="B221" s="8" t="str">
        <f>B2</f>
        <v>10111000011100011001111111100110</v>
      </c>
      <c r="C221" s="8"/>
      <c r="D221" s="8"/>
      <c r="E221" s="8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7009-B841-4EAC-81FD-F4D54A8C4237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127</v>
      </c>
      <c r="B1" s="22" t="s">
        <v>189</v>
      </c>
      <c r="I1" t="s">
        <v>129</v>
      </c>
      <c r="J1" s="22" t="s">
        <v>190</v>
      </c>
    </row>
    <row r="2" spans="1:16" ht="18.75" x14ac:dyDescent="0.3">
      <c r="A2" t="s">
        <v>137</v>
      </c>
      <c r="B2" s="22" t="s">
        <v>193</v>
      </c>
      <c r="I2" t="s">
        <v>138</v>
      </c>
      <c r="J2" s="22" t="s">
        <v>194</v>
      </c>
    </row>
    <row r="4" spans="1:16" x14ac:dyDescent="0.25">
      <c r="A4" t="s">
        <v>292</v>
      </c>
      <c r="D4" s="1" t="str">
        <f>D7</f>
        <v>001000010101111111000011000011011000100110111110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293</v>
      </c>
      <c r="C5" s="6" t="s">
        <v>195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00100001</v>
      </c>
      <c r="L5" s="7" t="str">
        <f>BIN2HEX(K5,2)</f>
        <v>21</v>
      </c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01011111</v>
      </c>
      <c r="L6" s="7" t="str">
        <f t="shared" ref="L6:L10" si="1">BIN2HEX(K6,2)</f>
        <v>5F</v>
      </c>
      <c r="O6" s="20"/>
      <c r="P6" s="20"/>
    </row>
    <row r="7" spans="1:16" x14ac:dyDescent="0.25">
      <c r="A7">
        <v>1</v>
      </c>
      <c r="B7">
        <v>14</v>
      </c>
      <c r="C7" t="str">
        <f t="shared" ref="C7:C54" si="2">MID($C$5,B7,1)</f>
        <v>0</v>
      </c>
      <c r="D7" t="str">
        <f t="shared" ref="D7:D51" si="3">C7&amp;D8</f>
        <v>001000010101111111000011000011011000100110111110</v>
      </c>
      <c r="J7" s="7">
        <v>3</v>
      </c>
      <c r="K7" s="7" t="str">
        <f t="shared" si="0"/>
        <v>11000011</v>
      </c>
      <c r="L7" s="7" t="str">
        <f t="shared" si="1"/>
        <v>C3</v>
      </c>
    </row>
    <row r="8" spans="1:16" x14ac:dyDescent="0.25">
      <c r="A8">
        <v>2</v>
      </c>
      <c r="B8">
        <v>17</v>
      </c>
      <c r="C8" t="str">
        <f t="shared" si="2"/>
        <v>0</v>
      </c>
      <c r="D8" t="str">
        <f t="shared" si="3"/>
        <v>01000010101111111000011000011011000100110111110</v>
      </c>
      <c r="J8" s="7">
        <v>4</v>
      </c>
      <c r="K8" s="7" t="str">
        <f t="shared" si="0"/>
        <v>00001101</v>
      </c>
      <c r="L8" s="7" t="str">
        <f t="shared" si="1"/>
        <v>0D</v>
      </c>
    </row>
    <row r="9" spans="1:16" x14ac:dyDescent="0.25">
      <c r="A9">
        <v>3</v>
      </c>
      <c r="B9">
        <v>11</v>
      </c>
      <c r="C9" t="str">
        <f t="shared" si="2"/>
        <v>1</v>
      </c>
      <c r="D9" t="str">
        <f t="shared" si="3"/>
        <v>1000010101111111000011000011011000100110111110</v>
      </c>
      <c r="J9" s="7">
        <v>5</v>
      </c>
      <c r="K9" s="7" t="str">
        <f t="shared" si="0"/>
        <v>10001001</v>
      </c>
      <c r="L9" s="7" t="str">
        <f t="shared" si="1"/>
        <v>89</v>
      </c>
    </row>
    <row r="10" spans="1:16" x14ac:dyDescent="0.25">
      <c r="A10">
        <v>4</v>
      </c>
      <c r="B10">
        <v>24</v>
      </c>
      <c r="C10" t="str">
        <f t="shared" si="2"/>
        <v>0</v>
      </c>
      <c r="D10" t="str">
        <f t="shared" si="3"/>
        <v>000010101111111000011000011011000100110111110</v>
      </c>
      <c r="J10" s="7">
        <v>6</v>
      </c>
      <c r="K10" s="7" t="str">
        <f>MID($D$4,(J10-1)*8+1,8)</f>
        <v>10111110</v>
      </c>
      <c r="L10" s="7" t="str">
        <f t="shared" si="1"/>
        <v>BE</v>
      </c>
    </row>
    <row r="11" spans="1:16" x14ac:dyDescent="0.25">
      <c r="A11">
        <v>5</v>
      </c>
      <c r="B11">
        <v>1</v>
      </c>
      <c r="C11" t="str">
        <f t="shared" si="2"/>
        <v>0</v>
      </c>
      <c r="D11" t="str">
        <f t="shared" si="3"/>
        <v>00010101111111000011000011011000100110111110</v>
      </c>
    </row>
    <row r="12" spans="1:16" x14ac:dyDescent="0.25">
      <c r="A12">
        <v>6</v>
      </c>
      <c r="B12">
        <v>5</v>
      </c>
      <c r="C12" t="str">
        <f t="shared" si="2"/>
        <v>0</v>
      </c>
      <c r="D12" t="str">
        <f t="shared" si="3"/>
        <v>0010101111111000011000011011000100110111110</v>
      </c>
    </row>
    <row r="13" spans="1:16" x14ac:dyDescent="0.25">
      <c r="A13">
        <v>7</v>
      </c>
      <c r="B13">
        <v>3</v>
      </c>
      <c r="C13" t="str">
        <f t="shared" si="2"/>
        <v>0</v>
      </c>
      <c r="D13" t="str">
        <f t="shared" si="3"/>
        <v>010101111111000011000011011000100110111110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10101111111000011000011011000100110111110</v>
      </c>
    </row>
    <row r="15" spans="1:16" x14ac:dyDescent="0.25">
      <c r="A15">
        <v>9</v>
      </c>
      <c r="B15">
        <v>15</v>
      </c>
      <c r="C15" t="str">
        <f t="shared" si="2"/>
        <v>0</v>
      </c>
      <c r="D15" t="str">
        <f t="shared" si="3"/>
        <v>0101111111000011000011011000100110111110</v>
      </c>
    </row>
    <row r="16" spans="1:16" x14ac:dyDescent="0.25">
      <c r="A16">
        <v>10</v>
      </c>
      <c r="B16">
        <v>6</v>
      </c>
      <c r="C16" t="str">
        <f t="shared" si="2"/>
        <v>1</v>
      </c>
      <c r="D16" t="str">
        <f t="shared" si="3"/>
        <v>101111111000011000011011000100110111110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01111111000011000011011000100110111110</v>
      </c>
    </row>
    <row r="18" spans="1:4" x14ac:dyDescent="0.25">
      <c r="A18">
        <v>12</v>
      </c>
      <c r="B18">
        <v>10</v>
      </c>
      <c r="C18" t="str">
        <f t="shared" si="2"/>
        <v>1</v>
      </c>
      <c r="D18" t="str">
        <f t="shared" si="3"/>
        <v>1111111000011000011011000100110111110</v>
      </c>
    </row>
    <row r="19" spans="1:4" x14ac:dyDescent="0.25">
      <c r="A19">
        <v>13</v>
      </c>
      <c r="B19">
        <v>23</v>
      </c>
      <c r="C19" t="str">
        <f t="shared" si="2"/>
        <v>1</v>
      </c>
      <c r="D19" t="str">
        <f t="shared" si="3"/>
        <v>111111000011000011011000100110111110</v>
      </c>
    </row>
    <row r="20" spans="1:4" x14ac:dyDescent="0.25">
      <c r="A20">
        <v>14</v>
      </c>
      <c r="B20">
        <v>19</v>
      </c>
      <c r="C20" t="str">
        <f t="shared" si="2"/>
        <v>1</v>
      </c>
      <c r="D20" t="str">
        <f t="shared" si="3"/>
        <v>11111000011000011011000100110111110</v>
      </c>
    </row>
    <row r="21" spans="1:4" x14ac:dyDescent="0.25">
      <c r="A21">
        <v>15</v>
      </c>
      <c r="B21">
        <v>12</v>
      </c>
      <c r="C21" t="str">
        <f t="shared" si="2"/>
        <v>1</v>
      </c>
      <c r="D21" t="str">
        <f t="shared" si="3"/>
        <v>1111000011000011011000100110111110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111000011000011011000100110111110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11000011000011011000100110111110</v>
      </c>
    </row>
    <row r="24" spans="1:4" x14ac:dyDescent="0.25">
      <c r="A24">
        <v>18</v>
      </c>
      <c r="B24">
        <v>8</v>
      </c>
      <c r="C24" t="str">
        <f t="shared" si="2"/>
        <v>1</v>
      </c>
      <c r="D24" t="str">
        <f t="shared" si="3"/>
        <v>1000011000011011000100110111110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000011000011011000100110111110</v>
      </c>
    </row>
    <row r="26" spans="1:4" x14ac:dyDescent="0.25">
      <c r="A26">
        <v>20</v>
      </c>
      <c r="B26">
        <v>7</v>
      </c>
      <c r="C26" t="str">
        <f t="shared" si="2"/>
        <v>0</v>
      </c>
      <c r="D26" t="str">
        <f t="shared" si="3"/>
        <v>00011000011011000100110111110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0011000011011000100110111110</v>
      </c>
    </row>
    <row r="28" spans="1:4" x14ac:dyDescent="0.25">
      <c r="A28">
        <v>22</v>
      </c>
      <c r="B28">
        <v>20</v>
      </c>
      <c r="C28" t="str">
        <f t="shared" si="2"/>
        <v>0</v>
      </c>
      <c r="D28" t="str">
        <f t="shared" si="3"/>
        <v>011000011011000100110111110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11000011011000100110111110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1000011011000100110111110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000011011000100110111110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00011011000100110111110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0011011000100110111110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011011000100110111110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11011000100110111110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1011000100110111110</v>
      </c>
    </row>
    <row r="37" spans="1:4" x14ac:dyDescent="0.25">
      <c r="A37">
        <v>31</v>
      </c>
      <c r="B37">
        <v>30</v>
      </c>
      <c r="C37" t="str">
        <f t="shared" si="2"/>
        <v>0</v>
      </c>
      <c r="D37" t="str">
        <f t="shared" si="3"/>
        <v>011000100110111110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11000100110111110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1000100110111110</v>
      </c>
    </row>
    <row r="40" spans="1:4" x14ac:dyDescent="0.25">
      <c r="A40">
        <v>34</v>
      </c>
      <c r="B40">
        <v>45</v>
      </c>
      <c r="C40" t="str">
        <f t="shared" si="2"/>
        <v>0</v>
      </c>
      <c r="D40" t="str">
        <f t="shared" si="3"/>
        <v>000100110111110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00100110111110</v>
      </c>
    </row>
    <row r="42" spans="1:4" x14ac:dyDescent="0.25">
      <c r="A42">
        <v>36</v>
      </c>
      <c r="B42">
        <v>48</v>
      </c>
      <c r="C42" t="str">
        <f t="shared" si="2"/>
        <v>0</v>
      </c>
      <c r="D42" t="str">
        <f t="shared" si="3"/>
        <v>0100110111110</v>
      </c>
    </row>
    <row r="43" spans="1:4" x14ac:dyDescent="0.25">
      <c r="A43">
        <v>37</v>
      </c>
      <c r="B43">
        <v>44</v>
      </c>
      <c r="C43" t="str">
        <f t="shared" si="2"/>
        <v>1</v>
      </c>
      <c r="D43" t="str">
        <f t="shared" si="3"/>
        <v>100110111110</v>
      </c>
    </row>
    <row r="44" spans="1:4" x14ac:dyDescent="0.25">
      <c r="A44">
        <v>38</v>
      </c>
      <c r="B44">
        <v>49</v>
      </c>
      <c r="C44" t="str">
        <f t="shared" si="2"/>
        <v>0</v>
      </c>
      <c r="D44" t="str">
        <f t="shared" si="3"/>
        <v>00110111110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0110111110</v>
      </c>
    </row>
    <row r="46" spans="1:4" x14ac:dyDescent="0.25">
      <c r="A46">
        <v>40</v>
      </c>
      <c r="B46">
        <v>56</v>
      </c>
      <c r="C46" t="str">
        <f t="shared" si="2"/>
        <v>1</v>
      </c>
      <c r="D46" t="str">
        <f t="shared" si="3"/>
        <v>110111110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10111110</v>
      </c>
    </row>
    <row r="48" spans="1:4" x14ac:dyDescent="0.25">
      <c r="A48">
        <v>42</v>
      </c>
      <c r="B48">
        <v>53</v>
      </c>
      <c r="C48" t="str">
        <f t="shared" si="2"/>
        <v>0</v>
      </c>
      <c r="D48" t="str">
        <f t="shared" si="3"/>
        <v>0111110</v>
      </c>
    </row>
    <row r="49" spans="1:4" x14ac:dyDescent="0.25">
      <c r="A49">
        <v>43</v>
      </c>
      <c r="B49">
        <v>46</v>
      </c>
      <c r="C49" t="str">
        <f t="shared" si="2"/>
        <v>1</v>
      </c>
      <c r="D49" t="str">
        <f t="shared" si="3"/>
        <v>111110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11110</v>
      </c>
    </row>
    <row r="51" spans="1:4" x14ac:dyDescent="0.25">
      <c r="A51">
        <v>45</v>
      </c>
      <c r="B51">
        <v>50</v>
      </c>
      <c r="C51" t="str">
        <f t="shared" si="2"/>
        <v>1</v>
      </c>
      <c r="D51" t="str">
        <f t="shared" si="3"/>
        <v>1110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110</v>
      </c>
    </row>
    <row r="53" spans="1:4" x14ac:dyDescent="0.25">
      <c r="A53">
        <v>47</v>
      </c>
      <c r="B53">
        <v>29</v>
      </c>
      <c r="C53" t="str">
        <f t="shared" si="2"/>
        <v>1</v>
      </c>
      <c r="D53" t="str">
        <f>C53&amp;C54</f>
        <v>10</v>
      </c>
    </row>
    <row r="54" spans="1:4" x14ac:dyDescent="0.25">
      <c r="A54">
        <v>48</v>
      </c>
      <c r="B54">
        <v>32</v>
      </c>
      <c r="C54" t="str">
        <f t="shared" si="2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C7C9-4226-4517-AB48-ED026EEEB073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292</v>
      </c>
      <c r="D1" t="s">
        <v>196</v>
      </c>
    </row>
    <row r="2" spans="1:4" x14ac:dyDescent="0.25">
      <c r="A2" t="s">
        <v>134</v>
      </c>
      <c r="B2" t="s">
        <v>225</v>
      </c>
    </row>
    <row r="3" spans="1:4" x14ac:dyDescent="0.25">
      <c r="A3" t="s">
        <v>135</v>
      </c>
    </row>
    <row r="4" spans="1:4" x14ac:dyDescent="0.25">
      <c r="A4" t="s">
        <v>136</v>
      </c>
      <c r="B4" t="s">
        <v>224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010001010100001111110011111110100100001101010101</v>
      </c>
    </row>
    <row r="8" spans="1:4" x14ac:dyDescent="0.25">
      <c r="A8">
        <v>2</v>
      </c>
      <c r="B8">
        <v>1</v>
      </c>
      <c r="C8" t="str">
        <f t="shared" ref="C8:C54" si="1">MID($B$2,B8,1)</f>
        <v>1</v>
      </c>
      <c r="D8" t="str">
        <f t="shared" si="0"/>
        <v>10001010100001111110011111110100100001101010101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0001010100001111110011111110100100001101010101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001010100001111110011111110100100001101010101</v>
      </c>
    </row>
    <row r="11" spans="1:4" x14ac:dyDescent="0.25">
      <c r="A11">
        <v>5</v>
      </c>
      <c r="B11">
        <v>4</v>
      </c>
      <c r="C11" t="str">
        <f t="shared" si="1"/>
        <v>0</v>
      </c>
      <c r="D11" t="str">
        <f t="shared" si="0"/>
        <v>01010100001111110011111110100100001101010101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1010100001111110011111110100100001101010101</v>
      </c>
    </row>
    <row r="13" spans="1:4" x14ac:dyDescent="0.25">
      <c r="A13">
        <v>7</v>
      </c>
      <c r="B13">
        <v>4</v>
      </c>
      <c r="C13" t="str">
        <f t="shared" si="1"/>
        <v>0</v>
      </c>
      <c r="D13" t="str">
        <f t="shared" si="0"/>
        <v>010100001111110011111110100100001101010101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10100001111110011111110100100001101010101</v>
      </c>
    </row>
    <row r="15" spans="1:4" x14ac:dyDescent="0.25">
      <c r="A15">
        <v>9</v>
      </c>
      <c r="B15">
        <v>6</v>
      </c>
      <c r="C15" t="str">
        <f t="shared" si="1"/>
        <v>0</v>
      </c>
      <c r="D15" t="str">
        <f t="shared" si="0"/>
        <v>0100001111110011111110100100001101010101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100001111110011111110100100001101010101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00001111110011111110100100001101010101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0001111110011111110100100001101010101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001111110011111110100100001101010101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01111110011111110100100001101010101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1111110011111110100100001101010101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111110011111110100100001101010101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11110011111110100100001101010101</v>
      </c>
    </row>
    <row r="24" spans="1:4" x14ac:dyDescent="0.25">
      <c r="A24">
        <v>18</v>
      </c>
      <c r="B24">
        <v>13</v>
      </c>
      <c r="C24" t="str">
        <f t="shared" si="1"/>
        <v>1</v>
      </c>
      <c r="D24" t="str">
        <f t="shared" si="0"/>
        <v>1110011111110100100001101010101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110011111110100100001101010101</v>
      </c>
    </row>
    <row r="26" spans="1:4" x14ac:dyDescent="0.25">
      <c r="A26">
        <v>20</v>
      </c>
      <c r="B26">
        <v>13</v>
      </c>
      <c r="C26" t="str">
        <f t="shared" si="1"/>
        <v>1</v>
      </c>
      <c r="D26" t="str">
        <f t="shared" si="0"/>
        <v>10011111110100100001101010101</v>
      </c>
    </row>
    <row r="27" spans="1:4" x14ac:dyDescent="0.25">
      <c r="A27">
        <v>21</v>
      </c>
      <c r="B27">
        <v>14</v>
      </c>
      <c r="C27" t="str">
        <f t="shared" si="1"/>
        <v>0</v>
      </c>
      <c r="D27" t="str">
        <f t="shared" si="0"/>
        <v>0011111110100100001101010101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011111110100100001101010101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11111110100100001101010101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1111110100100001101010101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111110100100001101010101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11110100100001101010101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1110100100001101010101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110100100001101010101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10100100001101010101</v>
      </c>
    </row>
    <row r="36" spans="1:4" x14ac:dyDescent="0.25">
      <c r="A36">
        <v>30</v>
      </c>
      <c r="B36">
        <v>21</v>
      </c>
      <c r="C36" t="str">
        <f t="shared" si="1"/>
        <v>0</v>
      </c>
      <c r="D36" t="str">
        <f t="shared" si="0"/>
        <v>0100100001101010101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100100001101010101</v>
      </c>
    </row>
    <row r="38" spans="1:4" x14ac:dyDescent="0.25">
      <c r="A38">
        <v>32</v>
      </c>
      <c r="B38">
        <v>21</v>
      </c>
      <c r="C38" t="str">
        <f t="shared" si="1"/>
        <v>0</v>
      </c>
      <c r="D38" t="str">
        <f t="shared" si="0"/>
        <v>00100001101010101</v>
      </c>
    </row>
    <row r="39" spans="1:4" x14ac:dyDescent="0.25">
      <c r="A39">
        <v>33</v>
      </c>
      <c r="B39">
        <v>22</v>
      </c>
      <c r="C39" t="str">
        <f t="shared" si="1"/>
        <v>0</v>
      </c>
      <c r="D39" t="str">
        <f t="shared" si="0"/>
        <v>0100001101010101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100001101010101</v>
      </c>
    </row>
    <row r="41" spans="1:4" x14ac:dyDescent="0.25">
      <c r="A41">
        <v>35</v>
      </c>
      <c r="B41">
        <v>24</v>
      </c>
      <c r="C41" t="str">
        <f t="shared" si="1"/>
        <v>0</v>
      </c>
      <c r="D41" t="str">
        <f t="shared" si="0"/>
        <v>00001101010101</v>
      </c>
    </row>
    <row r="42" spans="1:4" x14ac:dyDescent="0.25">
      <c r="A42">
        <v>36</v>
      </c>
      <c r="B42">
        <v>25</v>
      </c>
      <c r="C42" t="str">
        <f t="shared" si="1"/>
        <v>0</v>
      </c>
      <c r="D42" t="str">
        <f t="shared" si="0"/>
        <v>0001101010101</v>
      </c>
    </row>
    <row r="43" spans="1:4" x14ac:dyDescent="0.25">
      <c r="A43">
        <v>37</v>
      </c>
      <c r="B43">
        <v>24</v>
      </c>
      <c r="C43" t="str">
        <f t="shared" si="1"/>
        <v>0</v>
      </c>
      <c r="D43" t="str">
        <f t="shared" si="0"/>
        <v>001101010101</v>
      </c>
    </row>
    <row r="44" spans="1:4" x14ac:dyDescent="0.25">
      <c r="A44">
        <v>38</v>
      </c>
      <c r="B44">
        <v>25</v>
      </c>
      <c r="C44" t="str">
        <f t="shared" si="1"/>
        <v>0</v>
      </c>
      <c r="D44" t="str">
        <f t="shared" si="0"/>
        <v>01101010101</v>
      </c>
    </row>
    <row r="45" spans="1:4" x14ac:dyDescent="0.25">
      <c r="A45">
        <v>39</v>
      </c>
      <c r="B45">
        <v>26</v>
      </c>
      <c r="C45" t="str">
        <f t="shared" si="1"/>
        <v>1</v>
      </c>
      <c r="D45" t="str">
        <f t="shared" si="0"/>
        <v>1101010101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101010101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01010101</v>
      </c>
    </row>
    <row r="48" spans="1:4" x14ac:dyDescent="0.25">
      <c r="A48">
        <v>42</v>
      </c>
      <c r="B48">
        <v>29</v>
      </c>
      <c r="C48" t="str">
        <f t="shared" si="1"/>
        <v>1</v>
      </c>
      <c r="D48" t="str">
        <f t="shared" si="0"/>
        <v>1010101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010101</v>
      </c>
    </row>
    <row r="50" spans="1:4" x14ac:dyDescent="0.25">
      <c r="A50">
        <v>44</v>
      </c>
      <c r="B50">
        <v>29</v>
      </c>
      <c r="C50" t="str">
        <f t="shared" si="1"/>
        <v>1</v>
      </c>
      <c r="D50" t="str">
        <f t="shared" si="0"/>
        <v>10101</v>
      </c>
    </row>
    <row r="51" spans="1:4" x14ac:dyDescent="0.25">
      <c r="A51">
        <v>45</v>
      </c>
      <c r="B51">
        <v>30</v>
      </c>
      <c r="C51" t="str">
        <f t="shared" si="1"/>
        <v>0</v>
      </c>
      <c r="D51" t="str">
        <f t="shared" si="0"/>
        <v>0101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101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01</v>
      </c>
    </row>
    <row r="54" spans="1:4" x14ac:dyDescent="0.25">
      <c r="A54">
        <v>48</v>
      </c>
      <c r="B54">
        <v>1</v>
      </c>
      <c r="C54" t="str">
        <f t="shared" si="1"/>
        <v>1</v>
      </c>
    </row>
    <row r="56" spans="1:4" x14ac:dyDescent="0.25">
      <c r="A56" t="s">
        <v>298</v>
      </c>
      <c r="B56" t="str">
        <f>D7</f>
        <v>010001010100001111110011111110100100001101010101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01000101</v>
      </c>
      <c r="C59" s="7" t="str">
        <f t="shared" ref="C59:C64" si="2">BIN2HEX(B59,2)</f>
        <v>45</v>
      </c>
    </row>
    <row r="60" spans="1:4" x14ac:dyDescent="0.25">
      <c r="A60" s="7">
        <v>2</v>
      </c>
      <c r="B60" s="7" t="str">
        <f t="shared" ref="B60:B64" si="3">MID($B$56,(A60-1)*8+1,8)</f>
        <v>01000011</v>
      </c>
      <c r="C60" s="7" t="str">
        <f t="shared" si="2"/>
        <v>43</v>
      </c>
    </row>
    <row r="61" spans="1:4" x14ac:dyDescent="0.25">
      <c r="A61" s="7">
        <v>3</v>
      </c>
      <c r="B61" s="7" t="str">
        <f t="shared" si="3"/>
        <v>11110011</v>
      </c>
      <c r="C61" s="7" t="str">
        <f t="shared" si="2"/>
        <v>F3</v>
      </c>
    </row>
    <row r="62" spans="1:4" x14ac:dyDescent="0.25">
      <c r="A62" s="7">
        <v>4</v>
      </c>
      <c r="B62" s="7" t="str">
        <f t="shared" si="3"/>
        <v>11111010</v>
      </c>
      <c r="C62" s="7" t="str">
        <f t="shared" si="2"/>
        <v>FA</v>
      </c>
    </row>
    <row r="63" spans="1:4" x14ac:dyDescent="0.25">
      <c r="A63" s="7">
        <v>5</v>
      </c>
      <c r="B63" s="7" t="str">
        <f t="shared" si="3"/>
        <v>01000011</v>
      </c>
      <c r="C63" s="7" t="str">
        <f t="shared" si="2"/>
        <v>43</v>
      </c>
    </row>
    <row r="64" spans="1:4" x14ac:dyDescent="0.25">
      <c r="A64" s="7">
        <v>6</v>
      </c>
      <c r="B64" s="7" t="str">
        <f t="shared" si="3"/>
        <v>01010101</v>
      </c>
      <c r="C64" s="7" t="str">
        <f t="shared" si="2"/>
        <v>55</v>
      </c>
    </row>
    <row r="65" spans="1:10" x14ac:dyDescent="0.25">
      <c r="A65" t="s">
        <v>297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00100001</v>
      </c>
      <c r="C68" s="7" t="str">
        <f>BIN2HEX(B68,2)</f>
        <v>21</v>
      </c>
      <c r="D68">
        <f>BIN2DEC(B68)</f>
        <v>33</v>
      </c>
      <c r="G68" s="7">
        <v>1</v>
      </c>
      <c r="H68" s="7" t="str">
        <f>MID($B$56,(G68-1)*8+1,8)</f>
        <v>01000101</v>
      </c>
      <c r="I68" s="7" t="str">
        <f>BIN2HEX(H68,2)</f>
        <v>45</v>
      </c>
      <c r="J68">
        <f>BIN2DEC(H68)</f>
        <v>69</v>
      </c>
    </row>
    <row r="69" spans="1:10" x14ac:dyDescent="0.25">
      <c r="A69" s="7">
        <v>2</v>
      </c>
      <c r="B69" s="7" t="str">
        <f t="shared" ref="B69:B73" si="4">MID($D$1,(A69-1)*8+1,8)</f>
        <v>01011111</v>
      </c>
      <c r="C69" s="7" t="str">
        <f t="shared" ref="C69:C73" si="5">BIN2HEX(B69,2)</f>
        <v>5F</v>
      </c>
      <c r="D69">
        <f t="shared" ref="D69:D73" si="6">BIN2DEC(B69)</f>
        <v>95</v>
      </c>
      <c r="G69" s="7">
        <v>2</v>
      </c>
      <c r="H69" s="7" t="str">
        <f t="shared" ref="H69:H73" si="7">MID($B$56,(G69-1)*8+1,8)</f>
        <v>01000011</v>
      </c>
      <c r="I69" s="7" t="str">
        <f t="shared" ref="I69:I73" si="8">BIN2HEX(H69,2)</f>
        <v>43</v>
      </c>
      <c r="J69">
        <f t="shared" ref="J69:J73" si="9">BIN2DEC(H69)</f>
        <v>67</v>
      </c>
    </row>
    <row r="70" spans="1:10" x14ac:dyDescent="0.25">
      <c r="A70" s="7">
        <v>3</v>
      </c>
      <c r="B70" s="7" t="str">
        <f t="shared" si="4"/>
        <v>11000011</v>
      </c>
      <c r="C70" s="7" t="str">
        <f t="shared" si="5"/>
        <v>C3</v>
      </c>
      <c r="D70">
        <f t="shared" si="6"/>
        <v>195</v>
      </c>
      <c r="G70" s="7">
        <v>3</v>
      </c>
      <c r="H70" s="7" t="str">
        <f t="shared" si="7"/>
        <v>11110011</v>
      </c>
      <c r="I70" s="7" t="str">
        <f t="shared" si="8"/>
        <v>F3</v>
      </c>
      <c r="J70">
        <f t="shared" si="9"/>
        <v>243</v>
      </c>
    </row>
    <row r="71" spans="1:10" x14ac:dyDescent="0.25">
      <c r="A71" s="7">
        <v>4</v>
      </c>
      <c r="B71" s="7" t="str">
        <f t="shared" si="4"/>
        <v>00001101</v>
      </c>
      <c r="C71" s="7" t="str">
        <f t="shared" si="5"/>
        <v>0D</v>
      </c>
      <c r="D71">
        <f t="shared" si="6"/>
        <v>13</v>
      </c>
      <c r="G71" s="7">
        <v>4</v>
      </c>
      <c r="H71" s="7" t="str">
        <f t="shared" si="7"/>
        <v>11111010</v>
      </c>
      <c r="I71" s="7" t="str">
        <f t="shared" si="8"/>
        <v>FA</v>
      </c>
      <c r="J71">
        <f t="shared" si="9"/>
        <v>250</v>
      </c>
    </row>
    <row r="72" spans="1:10" x14ac:dyDescent="0.25">
      <c r="A72" s="7">
        <v>5</v>
      </c>
      <c r="B72" s="7" t="str">
        <f t="shared" si="4"/>
        <v>10001001</v>
      </c>
      <c r="C72" s="7" t="str">
        <f t="shared" si="5"/>
        <v>89</v>
      </c>
      <c r="D72">
        <f t="shared" si="6"/>
        <v>137</v>
      </c>
      <c r="G72" s="7">
        <v>5</v>
      </c>
      <c r="H72" s="7" t="str">
        <f t="shared" si="7"/>
        <v>01000011</v>
      </c>
      <c r="I72" s="7" t="str">
        <f t="shared" si="8"/>
        <v>43</v>
      </c>
      <c r="J72">
        <f t="shared" si="9"/>
        <v>67</v>
      </c>
    </row>
    <row r="73" spans="1:10" x14ac:dyDescent="0.25">
      <c r="A73" s="7">
        <v>6</v>
      </c>
      <c r="B73" s="7" t="str">
        <f t="shared" si="4"/>
        <v>10111110</v>
      </c>
      <c r="C73" s="7" t="str">
        <f t="shared" si="5"/>
        <v>BE</v>
      </c>
      <c r="D73">
        <f t="shared" si="6"/>
        <v>190</v>
      </c>
      <c r="G73" s="7">
        <v>6</v>
      </c>
      <c r="H73" s="7" t="str">
        <f t="shared" si="7"/>
        <v>01010101</v>
      </c>
      <c r="I73" s="7" t="str">
        <f t="shared" si="8"/>
        <v>55</v>
      </c>
      <c r="J73">
        <f t="shared" si="9"/>
        <v>85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100</v>
      </c>
      <c r="C76" s="10" t="str">
        <f>DEC2BIN(B76,8)</f>
        <v>01100100</v>
      </c>
      <c r="D76" s="10" t="str">
        <f>DEC2HEX(B76,2)</f>
        <v>64</v>
      </c>
    </row>
    <row r="77" spans="1:10" x14ac:dyDescent="0.25">
      <c r="A77" s="11">
        <v>2</v>
      </c>
      <c r="B77" s="10">
        <f t="shared" ref="B77:B81" si="10">_xlfn.BITXOR(D69,J69)</f>
        <v>28</v>
      </c>
      <c r="C77" s="10" t="str">
        <f t="shared" ref="C77:C81" si="11">DEC2BIN(B77,8)</f>
        <v>00011100</v>
      </c>
      <c r="D77" s="10" t="str">
        <f t="shared" ref="D77:D81" si="12">DEC2HEX(B77,2)</f>
        <v>1C</v>
      </c>
    </row>
    <row r="78" spans="1:10" x14ac:dyDescent="0.25">
      <c r="A78" s="11">
        <v>3</v>
      </c>
      <c r="B78" s="10">
        <f t="shared" si="10"/>
        <v>48</v>
      </c>
      <c r="C78" s="10" t="str">
        <f t="shared" si="11"/>
        <v>00110000</v>
      </c>
      <c r="D78" s="10" t="str">
        <f t="shared" si="12"/>
        <v>30</v>
      </c>
    </row>
    <row r="79" spans="1:10" x14ac:dyDescent="0.25">
      <c r="A79" s="11">
        <v>4</v>
      </c>
      <c r="B79" s="10">
        <f t="shared" si="10"/>
        <v>247</v>
      </c>
      <c r="C79" s="10" t="str">
        <f t="shared" si="11"/>
        <v>11110111</v>
      </c>
      <c r="D79" s="10" t="str">
        <f t="shared" si="12"/>
        <v>F7</v>
      </c>
    </row>
    <row r="80" spans="1:10" x14ac:dyDescent="0.25">
      <c r="A80" s="11">
        <v>5</v>
      </c>
      <c r="B80" s="10">
        <f t="shared" si="10"/>
        <v>202</v>
      </c>
      <c r="C80" s="10" t="str">
        <f t="shared" si="11"/>
        <v>11001010</v>
      </c>
      <c r="D80" s="10" t="str">
        <f t="shared" si="12"/>
        <v>CA</v>
      </c>
    </row>
    <row r="81" spans="1:10" x14ac:dyDescent="0.25">
      <c r="A81" s="11">
        <v>6</v>
      </c>
      <c r="B81" s="10">
        <f t="shared" si="10"/>
        <v>235</v>
      </c>
      <c r="C81" s="10" t="str">
        <f t="shared" si="11"/>
        <v>11101011</v>
      </c>
      <c r="D81" s="10" t="str">
        <f t="shared" si="12"/>
        <v>EB</v>
      </c>
    </row>
    <row r="83" spans="1:10" ht="21" x14ac:dyDescent="0.35">
      <c r="B83" t="s">
        <v>296</v>
      </c>
      <c r="D83" s="8" t="str">
        <f>C76&amp;C77&amp;C78&amp;C79&amp;C80&amp;C81</f>
        <v>011001000001110000110000111101111100101011101011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011001</v>
      </c>
      <c r="C86" s="10" t="str">
        <f>LEFT(B86,1)&amp;RIGHT(B86,1)</f>
        <v>01</v>
      </c>
      <c r="D86" s="10" t="str">
        <f>MID(B86,2,4)</f>
        <v>1100</v>
      </c>
      <c r="E86" s="10" t="str">
        <f>C86&amp;D86</f>
        <v>011100</v>
      </c>
      <c r="F86" s="10">
        <f>BIN2DEC(E86)</f>
        <v>28</v>
      </c>
      <c r="G86" s="10"/>
      <c r="H86" s="10">
        <f>VLOOKUP(F86,$A$95:$I$158,2,TRUE)</f>
        <v>9</v>
      </c>
      <c r="I86" s="10" t="str">
        <f>DEC2BIN(H86,4)</f>
        <v>1001</v>
      </c>
      <c r="J86" t="str">
        <f t="shared" ref="J86:J90" si="13">I86&amp;J87</f>
        <v>10010011101111110101101101001010</v>
      </c>
    </row>
    <row r="87" spans="1:10" x14ac:dyDescent="0.25">
      <c r="A87" s="10">
        <v>2</v>
      </c>
      <c r="B87" s="10" t="str">
        <f t="shared" ref="B87:B93" si="14">MID($D$83,(A87-1)*6+1,6)</f>
        <v>000001</v>
      </c>
      <c r="C87" s="10" t="str">
        <f t="shared" ref="C87:C93" si="15">LEFT(B87,1)&amp;RIGHT(B87,1)</f>
        <v>01</v>
      </c>
      <c r="D87" s="10" t="str">
        <f t="shared" ref="D87:D93" si="16">MID(B87,2,4)</f>
        <v>0000</v>
      </c>
      <c r="E87" s="10" t="str">
        <f t="shared" ref="E87:E93" si="17">C87&amp;D87</f>
        <v>010000</v>
      </c>
      <c r="F87" s="10">
        <f t="shared" ref="F87:F93" si="18">BIN2DEC(E87)</f>
        <v>16</v>
      </c>
      <c r="G87" s="10"/>
      <c r="H87" s="10">
        <f>VLOOKUP(F87,$A$95:$I$158,3,TRUE)</f>
        <v>3</v>
      </c>
      <c r="I87" s="10" t="str">
        <f t="shared" ref="I87:I93" si="19">DEC2BIN(H87,4)</f>
        <v>0011</v>
      </c>
      <c r="J87" t="str">
        <f t="shared" si="13"/>
        <v>0011101111110101101101001010</v>
      </c>
    </row>
    <row r="88" spans="1:10" x14ac:dyDescent="0.25">
      <c r="A88" s="10">
        <v>3</v>
      </c>
      <c r="B88" s="10" t="str">
        <f t="shared" si="14"/>
        <v>110000</v>
      </c>
      <c r="C88" s="10" t="str">
        <f t="shared" si="15"/>
        <v>10</v>
      </c>
      <c r="D88" s="10" t="str">
        <f t="shared" si="16"/>
        <v>1000</v>
      </c>
      <c r="E88" s="10" t="str">
        <f t="shared" si="17"/>
        <v>101000</v>
      </c>
      <c r="F88" s="10">
        <f t="shared" si="18"/>
        <v>40</v>
      </c>
      <c r="G88" s="10"/>
      <c r="H88" s="10">
        <f>VLOOKUP(F88,$A$95:$I$158,4,TRUE)</f>
        <v>11</v>
      </c>
      <c r="I88" s="10" t="str">
        <f t="shared" si="19"/>
        <v>1011</v>
      </c>
      <c r="J88" t="str">
        <f t="shared" si="13"/>
        <v>101111110101101101001010</v>
      </c>
    </row>
    <row r="89" spans="1:10" x14ac:dyDescent="0.25">
      <c r="A89" s="10">
        <v>4</v>
      </c>
      <c r="B89" s="10" t="str">
        <f t="shared" si="14"/>
        <v>110000</v>
      </c>
      <c r="C89" s="10" t="str">
        <f t="shared" si="15"/>
        <v>10</v>
      </c>
      <c r="D89" s="10" t="str">
        <f t="shared" si="16"/>
        <v>1000</v>
      </c>
      <c r="E89" s="10" t="str">
        <f t="shared" si="17"/>
        <v>101000</v>
      </c>
      <c r="F89" s="10">
        <f t="shared" si="18"/>
        <v>40</v>
      </c>
      <c r="G89" s="10"/>
      <c r="H89" s="10">
        <f>VLOOKUP(F89,$A$95:$I$158,5,TRUE)</f>
        <v>15</v>
      </c>
      <c r="I89" s="10" t="str">
        <f t="shared" si="19"/>
        <v>1111</v>
      </c>
      <c r="J89" t="str">
        <f t="shared" si="13"/>
        <v>11110101101101001010</v>
      </c>
    </row>
    <row r="90" spans="1:10" x14ac:dyDescent="0.25">
      <c r="A90" s="10">
        <v>5</v>
      </c>
      <c r="B90" s="10" t="str">
        <f t="shared" si="14"/>
        <v>111101</v>
      </c>
      <c r="C90" s="10" t="str">
        <f t="shared" si="15"/>
        <v>11</v>
      </c>
      <c r="D90" s="10" t="str">
        <f t="shared" si="16"/>
        <v>1110</v>
      </c>
      <c r="E90" s="10" t="str">
        <f t="shared" si="17"/>
        <v>111110</v>
      </c>
      <c r="F90" s="10">
        <f t="shared" si="18"/>
        <v>62</v>
      </c>
      <c r="G90" s="10"/>
      <c r="H90" s="10">
        <f>VLOOKUP(F90,$A$95:$I$158,6,TRUE)</f>
        <v>5</v>
      </c>
      <c r="I90" s="10" t="str">
        <f t="shared" si="19"/>
        <v>0101</v>
      </c>
      <c r="J90" t="str">
        <f t="shared" si="13"/>
        <v>0101101101001010</v>
      </c>
    </row>
    <row r="91" spans="1:10" x14ac:dyDescent="0.25">
      <c r="A91" s="10">
        <v>6</v>
      </c>
      <c r="B91" s="10" t="str">
        <f t="shared" si="14"/>
        <v>111100</v>
      </c>
      <c r="C91" s="10" t="str">
        <f t="shared" si="15"/>
        <v>10</v>
      </c>
      <c r="D91" s="10" t="str">
        <f t="shared" si="16"/>
        <v>1110</v>
      </c>
      <c r="E91" s="10" t="str">
        <f t="shared" si="17"/>
        <v>101110</v>
      </c>
      <c r="F91" s="10">
        <f t="shared" si="18"/>
        <v>46</v>
      </c>
      <c r="G91" s="10"/>
      <c r="H91" s="10">
        <f>VLOOKUP(F91,$A$95:$I$158,7,TRUE)</f>
        <v>11</v>
      </c>
      <c r="I91" s="10" t="str">
        <f t="shared" si="19"/>
        <v>1011</v>
      </c>
      <c r="J91" t="str">
        <f>I91&amp;J92</f>
        <v>101101001010</v>
      </c>
    </row>
    <row r="92" spans="1:10" x14ac:dyDescent="0.25">
      <c r="A92" s="10">
        <v>7</v>
      </c>
      <c r="B92" s="10" t="str">
        <f t="shared" si="14"/>
        <v>101011</v>
      </c>
      <c r="C92" s="10" t="str">
        <f t="shared" si="15"/>
        <v>11</v>
      </c>
      <c r="D92" s="10" t="str">
        <f t="shared" si="16"/>
        <v>0101</v>
      </c>
      <c r="E92" s="10" t="str">
        <f t="shared" si="17"/>
        <v>110101</v>
      </c>
      <c r="F92" s="10">
        <f t="shared" si="18"/>
        <v>53</v>
      </c>
      <c r="G92" s="10"/>
      <c r="H92" s="10">
        <f>VLOOKUP(F92,$A$95:$I$158,8,TRUE)</f>
        <v>4</v>
      </c>
      <c r="I92" s="10" t="str">
        <f t="shared" si="19"/>
        <v>0100</v>
      </c>
      <c r="J92" t="str">
        <f>I92&amp;I93</f>
        <v>01001010</v>
      </c>
    </row>
    <row r="93" spans="1:10" x14ac:dyDescent="0.25">
      <c r="A93" s="10">
        <v>8</v>
      </c>
      <c r="B93" s="10" t="str">
        <f t="shared" si="14"/>
        <v>101011</v>
      </c>
      <c r="C93" s="10" t="str">
        <f t="shared" si="15"/>
        <v>11</v>
      </c>
      <c r="D93" s="10" t="str">
        <f t="shared" si="16"/>
        <v>0101</v>
      </c>
      <c r="E93" s="10" t="str">
        <f t="shared" si="17"/>
        <v>110101</v>
      </c>
      <c r="F93" s="10">
        <f t="shared" si="18"/>
        <v>53</v>
      </c>
      <c r="G93" s="10"/>
      <c r="H93" s="10">
        <f>VLOOKUP(F93,$A$95:$I$158,9,TRUE)</f>
        <v>10</v>
      </c>
      <c r="I93" s="10" t="str">
        <f t="shared" si="19"/>
        <v>1010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10010011101111110101101101001010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11111100111101100111000101000110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1111100111101100111000101000110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111100111101100111000101000110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11100111101100111000101000110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1100111101100111000101000110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100111101100111000101000110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00111101100111000101000110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0111101100111000101000110</v>
      </c>
    </row>
    <row r="173" spans="1:6" x14ac:dyDescent="0.25">
      <c r="A173">
        <v>9</v>
      </c>
      <c r="B173">
        <v>1</v>
      </c>
      <c r="C173" t="str">
        <f t="shared" si="21"/>
        <v>1</v>
      </c>
      <c r="D173" t="str">
        <f t="shared" si="20"/>
        <v>111101100111000101000110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11101100111000101000110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1101100111000101000110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101100111000101000110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01100111000101000110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1100111000101000110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100111000101000110</v>
      </c>
    </row>
    <row r="180" spans="1:4" x14ac:dyDescent="0.25">
      <c r="A180">
        <v>16</v>
      </c>
      <c r="B180">
        <v>10</v>
      </c>
      <c r="C180" t="str">
        <f t="shared" si="21"/>
        <v>0</v>
      </c>
      <c r="D180" t="str">
        <f t="shared" si="20"/>
        <v>00111000101000110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0111000101000110</v>
      </c>
    </row>
    <row r="182" spans="1:4" x14ac:dyDescent="0.25">
      <c r="A182">
        <v>18</v>
      </c>
      <c r="B182">
        <v>8</v>
      </c>
      <c r="C182" t="str">
        <f t="shared" si="21"/>
        <v>1</v>
      </c>
      <c r="D182" t="str">
        <f t="shared" si="20"/>
        <v>111000101000110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11000101000110</v>
      </c>
    </row>
    <row r="184" spans="1:4" x14ac:dyDescent="0.25">
      <c r="A184">
        <v>20</v>
      </c>
      <c r="B184">
        <v>14</v>
      </c>
      <c r="C184" t="str">
        <f t="shared" si="21"/>
        <v>1</v>
      </c>
      <c r="D184" t="str">
        <f t="shared" si="20"/>
        <v>1000101000110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000101000110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00101000110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0101000110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101000110</v>
      </c>
    </row>
    <row r="189" spans="1:4" x14ac:dyDescent="0.25">
      <c r="A189">
        <v>25</v>
      </c>
      <c r="B189">
        <v>19</v>
      </c>
      <c r="C189" t="str">
        <f t="shared" si="21"/>
        <v>0</v>
      </c>
      <c r="D189" t="str">
        <f t="shared" si="20"/>
        <v>01000110</v>
      </c>
    </row>
    <row r="190" spans="1:4" x14ac:dyDescent="0.25">
      <c r="A190">
        <v>26</v>
      </c>
      <c r="B190">
        <v>13</v>
      </c>
      <c r="C190" t="str">
        <f t="shared" si="21"/>
        <v>1</v>
      </c>
      <c r="D190" t="str">
        <f t="shared" si="20"/>
        <v>1000110</v>
      </c>
    </row>
    <row r="191" spans="1:4" x14ac:dyDescent="0.25">
      <c r="A191">
        <v>27</v>
      </c>
      <c r="B191">
        <v>30</v>
      </c>
      <c r="C191" t="str">
        <f t="shared" si="21"/>
        <v>0</v>
      </c>
      <c r="D191" t="str">
        <f t="shared" si="20"/>
        <v>000110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00110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0110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110</v>
      </c>
    </row>
    <row r="195" spans="1:11" x14ac:dyDescent="0.25">
      <c r="A195">
        <v>31</v>
      </c>
      <c r="B195">
        <v>4</v>
      </c>
      <c r="C195" t="str">
        <f t="shared" si="21"/>
        <v>1</v>
      </c>
      <c r="D195" t="str">
        <f>C195&amp;C196</f>
        <v>10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295</v>
      </c>
      <c r="B198" s="16" t="str">
        <f>D165</f>
        <v>11111100111101100111000101000110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11111100</v>
      </c>
      <c r="J199" s="7" t="str">
        <f>BIN2HEX(I199,2)</f>
        <v>FC</v>
      </c>
      <c r="K199">
        <f>BIN2DEC(I199)</f>
        <v>252</v>
      </c>
    </row>
    <row r="200" spans="1:11" x14ac:dyDescent="0.25">
      <c r="H200" s="7">
        <v>2</v>
      </c>
      <c r="I200" s="7" t="str">
        <f t="shared" ref="I200:I202" si="22">MID($B$198,(H200-1)*8+1,8)</f>
        <v>11110110</v>
      </c>
      <c r="J200" s="7" t="str">
        <f t="shared" ref="J200:J202" si="23">BIN2HEX(I200,2)</f>
        <v>F6</v>
      </c>
      <c r="K200">
        <f t="shared" ref="K200:K202" si="24">BIN2DEC(I200)</f>
        <v>246</v>
      </c>
    </row>
    <row r="201" spans="1:11" x14ac:dyDescent="0.25">
      <c r="H201" s="7">
        <v>3</v>
      </c>
      <c r="I201" s="7" t="str">
        <f t="shared" si="22"/>
        <v>01110001</v>
      </c>
      <c r="J201" s="7" t="str">
        <f t="shared" si="23"/>
        <v>71</v>
      </c>
      <c r="K201">
        <f t="shared" si="24"/>
        <v>113</v>
      </c>
    </row>
    <row r="202" spans="1:11" x14ac:dyDescent="0.25">
      <c r="H202" s="7">
        <v>4</v>
      </c>
      <c r="I202" s="7" t="str">
        <f t="shared" si="22"/>
        <v>01000110</v>
      </c>
      <c r="J202" s="7" t="str">
        <f t="shared" si="23"/>
        <v>46</v>
      </c>
      <c r="K202">
        <f t="shared" si="24"/>
        <v>70</v>
      </c>
    </row>
    <row r="205" spans="1:11" ht="18.75" x14ac:dyDescent="0.3">
      <c r="A205" t="s">
        <v>139</v>
      </c>
      <c r="B205" s="16" t="str">
        <f>B4</f>
        <v>10111000011100011001111111100110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10111000</v>
      </c>
      <c r="J206" s="7" t="str">
        <f>BIN2HEX(I206,2)</f>
        <v>B8</v>
      </c>
      <c r="K206">
        <f>BIN2DEC(I206)</f>
        <v>184</v>
      </c>
    </row>
    <row r="207" spans="1:11" x14ac:dyDescent="0.25">
      <c r="H207" s="7">
        <v>2</v>
      </c>
      <c r="I207" s="7" t="str">
        <f t="shared" ref="I207:I209" si="25">MID($B$205,(H207-1)*8+1,8)</f>
        <v>01110001</v>
      </c>
      <c r="J207" s="7" t="str">
        <f t="shared" ref="J207:J209" si="26">BIN2HEX(I207,2)</f>
        <v>71</v>
      </c>
      <c r="K207">
        <f t="shared" ref="K207:K209" si="27">BIN2DEC(I207)</f>
        <v>113</v>
      </c>
    </row>
    <row r="208" spans="1:11" x14ac:dyDescent="0.25">
      <c r="H208" s="7">
        <v>3</v>
      </c>
      <c r="I208" s="7" t="str">
        <f t="shared" si="25"/>
        <v>10011111</v>
      </c>
      <c r="J208" s="7" t="str">
        <f t="shared" si="26"/>
        <v>9F</v>
      </c>
      <c r="K208">
        <f t="shared" si="27"/>
        <v>159</v>
      </c>
    </row>
    <row r="209" spans="1:11" x14ac:dyDescent="0.25">
      <c r="H209" s="7">
        <v>4</v>
      </c>
      <c r="I209" s="7" t="str">
        <f t="shared" si="25"/>
        <v>11100110</v>
      </c>
      <c r="J209" s="7" t="str">
        <f t="shared" si="26"/>
        <v>E6</v>
      </c>
      <c r="K209">
        <f t="shared" si="27"/>
        <v>230</v>
      </c>
    </row>
    <row r="211" spans="1:11" x14ac:dyDescent="0.25">
      <c r="A211" t="s">
        <v>294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68</v>
      </c>
      <c r="D213" s="7" t="str">
        <f>DEC2HEX(C213)</f>
        <v>44</v>
      </c>
      <c r="E213" s="7" t="str">
        <f>DEC2BIN(C213,8)</f>
        <v>01000100</v>
      </c>
    </row>
    <row r="214" spans="1:11" x14ac:dyDescent="0.25">
      <c r="B214" s="7">
        <v>2</v>
      </c>
      <c r="C214" s="7">
        <f t="shared" ref="C214:C216" si="28">_xlfn.BITXOR(K200,K207)</f>
        <v>135</v>
      </c>
      <c r="D214" s="7" t="str">
        <f t="shared" ref="D214:D216" si="29">DEC2HEX(C214)</f>
        <v>87</v>
      </c>
      <c r="E214" s="7" t="str">
        <f t="shared" ref="E214:E216" si="30">DEC2BIN(C214,8)</f>
        <v>10000111</v>
      </c>
    </row>
    <row r="215" spans="1:11" x14ac:dyDescent="0.25">
      <c r="B215" s="7">
        <v>3</v>
      </c>
      <c r="C215" s="7">
        <f t="shared" si="28"/>
        <v>238</v>
      </c>
      <c r="D215" s="7" t="str">
        <f t="shared" si="29"/>
        <v>EE</v>
      </c>
      <c r="E215" s="7" t="str">
        <f t="shared" si="30"/>
        <v>11101110</v>
      </c>
    </row>
    <row r="216" spans="1:11" x14ac:dyDescent="0.25">
      <c r="B216" s="7">
        <v>4</v>
      </c>
      <c r="C216" s="7">
        <f t="shared" si="28"/>
        <v>160</v>
      </c>
      <c r="D216" s="7" t="str">
        <f t="shared" si="29"/>
        <v>A0</v>
      </c>
      <c r="E216" s="7" t="str">
        <f t="shared" si="30"/>
        <v>10100000</v>
      </c>
    </row>
    <row r="219" spans="1:11" ht="21" x14ac:dyDescent="0.35">
      <c r="A219" t="s">
        <v>140</v>
      </c>
      <c r="B219" s="8" t="str">
        <f>E213&amp;E214&amp;E215&amp;E216</f>
        <v>01000100100001111110111010100000</v>
      </c>
      <c r="C219" s="8"/>
      <c r="D219" s="8"/>
      <c r="E219" s="8"/>
    </row>
    <row r="220" spans="1:11" x14ac:dyDescent="0.25">
      <c r="A220" t="s">
        <v>141</v>
      </c>
    </row>
    <row r="221" spans="1:11" ht="21" x14ac:dyDescent="0.35">
      <c r="A221" t="s">
        <v>142</v>
      </c>
      <c r="B221" s="8" t="str">
        <f>B2</f>
        <v>10001010011110011111001001101010</v>
      </c>
      <c r="C221" s="8"/>
      <c r="D221" s="8"/>
      <c r="E221" s="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714F-4F85-44C4-915D-CA74FEE757BB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137</v>
      </c>
      <c r="B1" s="22" t="s">
        <v>193</v>
      </c>
      <c r="I1" t="s">
        <v>138</v>
      </c>
      <c r="J1" s="22" t="s">
        <v>194</v>
      </c>
    </row>
    <row r="2" spans="1:16" ht="18.75" x14ac:dyDescent="0.3">
      <c r="A2" t="s">
        <v>143</v>
      </c>
      <c r="B2" s="22" t="s">
        <v>197</v>
      </c>
      <c r="I2" t="s">
        <v>144</v>
      </c>
      <c r="J2" s="22" t="s">
        <v>198</v>
      </c>
    </row>
    <row r="4" spans="1:16" x14ac:dyDescent="0.25">
      <c r="A4" t="s">
        <v>299</v>
      </c>
      <c r="D4" s="1" t="str">
        <f>D7</f>
        <v>011100010111000111110101010001010101110011010101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300</v>
      </c>
      <c r="C5" s="6" t="s">
        <v>199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01110001</v>
      </c>
      <c r="L5" s="7" t="str">
        <f>BIN2HEX(K5,2)</f>
        <v>71</v>
      </c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01110001</v>
      </c>
      <c r="L6" s="7" t="str">
        <f t="shared" ref="L6:L10" si="1">BIN2HEX(K6,2)</f>
        <v>71</v>
      </c>
    </row>
    <row r="7" spans="1:16" x14ac:dyDescent="0.25">
      <c r="A7">
        <v>1</v>
      </c>
      <c r="B7">
        <v>14</v>
      </c>
      <c r="C7" t="str">
        <f t="shared" ref="C7:C54" si="2">MID($C$5,B7,1)</f>
        <v>0</v>
      </c>
      <c r="D7" t="str">
        <f t="shared" ref="D7:D51" si="3">C7&amp;D8</f>
        <v>011100010111000111110101010001010101110011010101</v>
      </c>
      <c r="J7" s="7">
        <v>3</v>
      </c>
      <c r="K7" s="7" t="str">
        <f t="shared" si="0"/>
        <v>11110101</v>
      </c>
      <c r="L7" s="7" t="str">
        <f t="shared" si="1"/>
        <v>F5</v>
      </c>
    </row>
    <row r="8" spans="1:16" x14ac:dyDescent="0.25">
      <c r="A8">
        <v>2</v>
      </c>
      <c r="B8">
        <v>17</v>
      </c>
      <c r="C8" t="str">
        <f t="shared" si="2"/>
        <v>1</v>
      </c>
      <c r="D8" t="str">
        <f t="shared" si="3"/>
        <v>11100010111000111110101010001010101110011010101</v>
      </c>
      <c r="J8" s="7">
        <v>4</v>
      </c>
      <c r="K8" s="7" t="str">
        <f t="shared" si="0"/>
        <v>01000101</v>
      </c>
      <c r="L8" s="7" t="str">
        <f t="shared" si="1"/>
        <v>45</v>
      </c>
    </row>
    <row r="9" spans="1:16" x14ac:dyDescent="0.25">
      <c r="A9">
        <v>3</v>
      </c>
      <c r="B9">
        <v>11</v>
      </c>
      <c r="C9" t="str">
        <f t="shared" si="2"/>
        <v>1</v>
      </c>
      <c r="D9" t="str">
        <f t="shared" si="3"/>
        <v>1100010111000111110101010001010101110011010101</v>
      </c>
      <c r="J9" s="7">
        <v>5</v>
      </c>
      <c r="K9" s="7" t="str">
        <f t="shared" si="0"/>
        <v>01011100</v>
      </c>
      <c r="L9" s="7" t="str">
        <f t="shared" si="1"/>
        <v>5C</v>
      </c>
      <c r="P9" s="20"/>
    </row>
    <row r="10" spans="1:16" x14ac:dyDescent="0.25">
      <c r="A10">
        <v>4</v>
      </c>
      <c r="B10">
        <v>24</v>
      </c>
      <c r="C10" t="str">
        <f t="shared" si="2"/>
        <v>1</v>
      </c>
      <c r="D10" t="str">
        <f t="shared" si="3"/>
        <v>100010111000111110101010001010101110011010101</v>
      </c>
      <c r="J10" s="7">
        <v>6</v>
      </c>
      <c r="K10" s="7" t="str">
        <f>MID($D$4,(J10-1)*8+1,8)</f>
        <v>11010101</v>
      </c>
      <c r="L10" s="7" t="str">
        <f t="shared" si="1"/>
        <v>D5</v>
      </c>
      <c r="P10" s="20"/>
    </row>
    <row r="11" spans="1:16" x14ac:dyDescent="0.25">
      <c r="A11">
        <v>5</v>
      </c>
      <c r="B11">
        <v>1</v>
      </c>
      <c r="C11" t="str">
        <f t="shared" si="2"/>
        <v>0</v>
      </c>
      <c r="D11" t="str">
        <f t="shared" si="3"/>
        <v>00010111000111110101010001010101110011010101</v>
      </c>
    </row>
    <row r="12" spans="1:16" x14ac:dyDescent="0.25">
      <c r="A12">
        <v>6</v>
      </c>
      <c r="B12">
        <v>5</v>
      </c>
      <c r="C12" t="str">
        <f t="shared" si="2"/>
        <v>0</v>
      </c>
      <c r="D12" t="str">
        <f t="shared" si="3"/>
        <v>0010111000111110101010001010101110011010101</v>
      </c>
    </row>
    <row r="13" spans="1:16" x14ac:dyDescent="0.25">
      <c r="A13">
        <v>7</v>
      </c>
      <c r="B13">
        <v>3</v>
      </c>
      <c r="C13" t="str">
        <f t="shared" si="2"/>
        <v>0</v>
      </c>
      <c r="D13" t="str">
        <f t="shared" si="3"/>
        <v>010111000111110101010001010101110011010101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10111000111110101010001010101110011010101</v>
      </c>
    </row>
    <row r="15" spans="1:16" x14ac:dyDescent="0.25">
      <c r="A15">
        <v>9</v>
      </c>
      <c r="B15">
        <v>15</v>
      </c>
      <c r="C15" t="str">
        <f t="shared" si="2"/>
        <v>0</v>
      </c>
      <c r="D15" t="str">
        <f t="shared" si="3"/>
        <v>0111000111110101010001010101110011010101</v>
      </c>
    </row>
    <row r="16" spans="1:16" x14ac:dyDescent="0.25">
      <c r="A16">
        <v>10</v>
      </c>
      <c r="B16">
        <v>6</v>
      </c>
      <c r="C16" t="str">
        <f t="shared" si="2"/>
        <v>1</v>
      </c>
      <c r="D16" t="str">
        <f t="shared" si="3"/>
        <v>111000111110101010001010101110011010101</v>
      </c>
    </row>
    <row r="17" spans="1:4" x14ac:dyDescent="0.25">
      <c r="A17">
        <v>11</v>
      </c>
      <c r="B17">
        <v>21</v>
      </c>
      <c r="C17" t="str">
        <f t="shared" si="2"/>
        <v>1</v>
      </c>
      <c r="D17" t="str">
        <f t="shared" si="3"/>
        <v>11000111110101010001010101110011010101</v>
      </c>
    </row>
    <row r="18" spans="1:4" x14ac:dyDescent="0.25">
      <c r="A18">
        <v>12</v>
      </c>
      <c r="B18">
        <v>10</v>
      </c>
      <c r="C18" t="str">
        <f t="shared" si="2"/>
        <v>1</v>
      </c>
      <c r="D18" t="str">
        <f t="shared" si="3"/>
        <v>1000111110101010001010101110011010101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000111110101010001010101110011010101</v>
      </c>
    </row>
    <row r="20" spans="1:4" x14ac:dyDescent="0.25">
      <c r="A20">
        <v>14</v>
      </c>
      <c r="B20">
        <v>19</v>
      </c>
      <c r="C20" t="str">
        <f t="shared" si="2"/>
        <v>0</v>
      </c>
      <c r="D20" t="str">
        <f t="shared" si="3"/>
        <v>00111110101010001010101110011010101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0111110101010001010101110011010101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111110101010001010101110011010101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11110101010001010101110011010101</v>
      </c>
    </row>
    <row r="24" spans="1:4" x14ac:dyDescent="0.25">
      <c r="A24">
        <v>18</v>
      </c>
      <c r="B24">
        <v>8</v>
      </c>
      <c r="C24" t="str">
        <f t="shared" si="2"/>
        <v>1</v>
      </c>
      <c r="D24" t="str">
        <f t="shared" si="3"/>
        <v>1110101010001010101110011010101</v>
      </c>
    </row>
    <row r="25" spans="1:4" x14ac:dyDescent="0.25">
      <c r="A25">
        <v>19</v>
      </c>
      <c r="B25">
        <v>16</v>
      </c>
      <c r="C25" t="str">
        <f t="shared" si="2"/>
        <v>1</v>
      </c>
      <c r="D25" t="str">
        <f t="shared" si="3"/>
        <v>110101010001010101110011010101</v>
      </c>
    </row>
    <row r="26" spans="1:4" x14ac:dyDescent="0.25">
      <c r="A26">
        <v>20</v>
      </c>
      <c r="B26">
        <v>7</v>
      </c>
      <c r="C26" t="str">
        <f t="shared" si="2"/>
        <v>1</v>
      </c>
      <c r="D26" t="str">
        <f t="shared" si="3"/>
        <v>10101010001010101110011010101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0101010001010101110011010101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101010001010101110011010101</v>
      </c>
    </row>
    <row r="29" spans="1:4" x14ac:dyDescent="0.25">
      <c r="A29">
        <v>23</v>
      </c>
      <c r="B29">
        <v>13</v>
      </c>
      <c r="C29" t="str">
        <f t="shared" si="2"/>
        <v>0</v>
      </c>
      <c r="D29" t="str">
        <f t="shared" si="3"/>
        <v>01010001010101110011010101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1010001010101110011010101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010001010101110011010101</v>
      </c>
    </row>
    <row r="32" spans="1:4" x14ac:dyDescent="0.25">
      <c r="A32">
        <v>26</v>
      </c>
      <c r="B32">
        <v>52</v>
      </c>
      <c r="C32" t="str">
        <f t="shared" si="2"/>
        <v>1</v>
      </c>
      <c r="D32" t="str">
        <f t="shared" si="3"/>
        <v>10001010101110011010101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0001010101110011010101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001010101110011010101</v>
      </c>
    </row>
    <row r="35" spans="1:4" x14ac:dyDescent="0.25">
      <c r="A35">
        <v>29</v>
      </c>
      <c r="B35">
        <v>47</v>
      </c>
      <c r="C35" t="str">
        <f t="shared" si="2"/>
        <v>0</v>
      </c>
      <c r="D35" t="str">
        <f t="shared" si="3"/>
        <v>01010101110011010101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1010101110011010101</v>
      </c>
    </row>
    <row r="37" spans="1:4" x14ac:dyDescent="0.25">
      <c r="A37">
        <v>31</v>
      </c>
      <c r="B37">
        <v>30</v>
      </c>
      <c r="C37" t="str">
        <f t="shared" si="2"/>
        <v>0</v>
      </c>
      <c r="D37" t="str">
        <f t="shared" si="3"/>
        <v>010101110011010101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10101110011010101</v>
      </c>
    </row>
    <row r="39" spans="1:4" x14ac:dyDescent="0.25">
      <c r="A39">
        <v>33</v>
      </c>
      <c r="B39">
        <v>51</v>
      </c>
      <c r="C39" t="str">
        <f t="shared" si="2"/>
        <v>0</v>
      </c>
      <c r="D39" t="str">
        <f t="shared" si="3"/>
        <v>0101110011010101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101110011010101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01110011010101</v>
      </c>
    </row>
    <row r="42" spans="1:4" x14ac:dyDescent="0.25">
      <c r="A42">
        <v>36</v>
      </c>
      <c r="B42">
        <v>48</v>
      </c>
      <c r="C42" t="str">
        <f t="shared" si="2"/>
        <v>1</v>
      </c>
      <c r="D42" t="str">
        <f t="shared" si="3"/>
        <v>1110011010101</v>
      </c>
    </row>
    <row r="43" spans="1:4" x14ac:dyDescent="0.25">
      <c r="A43">
        <v>37</v>
      </c>
      <c r="B43">
        <v>44</v>
      </c>
      <c r="C43" t="str">
        <f t="shared" si="2"/>
        <v>1</v>
      </c>
      <c r="D43" t="str">
        <f t="shared" si="3"/>
        <v>110011010101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10011010101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0011010101</v>
      </c>
    </row>
    <row r="46" spans="1:4" x14ac:dyDescent="0.25">
      <c r="A46">
        <v>40</v>
      </c>
      <c r="B46">
        <v>56</v>
      </c>
      <c r="C46" t="str">
        <f t="shared" si="2"/>
        <v>0</v>
      </c>
      <c r="D46" t="str">
        <f t="shared" si="3"/>
        <v>011010101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11010101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1010101</v>
      </c>
    </row>
    <row r="49" spans="1:4" x14ac:dyDescent="0.25">
      <c r="A49">
        <v>43</v>
      </c>
      <c r="B49">
        <v>46</v>
      </c>
      <c r="C49" t="str">
        <f t="shared" si="2"/>
        <v>0</v>
      </c>
      <c r="D49" t="str">
        <f t="shared" si="3"/>
        <v>010101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10101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0101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1C32-B4F2-4964-82A2-D8389F72821A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299</v>
      </c>
      <c r="D1" t="s">
        <v>200</v>
      </c>
    </row>
    <row r="2" spans="1:4" x14ac:dyDescent="0.25">
      <c r="A2" t="s">
        <v>140</v>
      </c>
      <c r="B2" t="s">
        <v>226</v>
      </c>
    </row>
    <row r="3" spans="1:4" x14ac:dyDescent="0.25">
      <c r="A3" t="s">
        <v>141</v>
      </c>
    </row>
    <row r="4" spans="1:4" x14ac:dyDescent="0.25">
      <c r="A4" t="s">
        <v>142</v>
      </c>
      <c r="B4" t="s">
        <v>225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001000001001010000001111111101011101010100000000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01000001001010000001111111101011101010100000000</v>
      </c>
    </row>
    <row r="9" spans="1:4" x14ac:dyDescent="0.25">
      <c r="A9">
        <v>3</v>
      </c>
      <c r="B9">
        <v>2</v>
      </c>
      <c r="C9" t="str">
        <f t="shared" si="1"/>
        <v>1</v>
      </c>
      <c r="D9" t="str">
        <f t="shared" si="0"/>
        <v>1000001001010000001111111101011101010100000000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000001001010000001111111101011101010100000000</v>
      </c>
    </row>
    <row r="11" spans="1:4" x14ac:dyDescent="0.25">
      <c r="A11">
        <v>5</v>
      </c>
      <c r="B11">
        <v>4</v>
      </c>
      <c r="C11" t="str">
        <f t="shared" si="1"/>
        <v>0</v>
      </c>
      <c r="D11" t="str">
        <f t="shared" si="0"/>
        <v>00001001010000001111111101011101010100000000</v>
      </c>
    </row>
    <row r="12" spans="1:4" x14ac:dyDescent="0.25">
      <c r="A12">
        <v>6</v>
      </c>
      <c r="B12">
        <v>5</v>
      </c>
      <c r="C12" t="str">
        <f t="shared" si="1"/>
        <v>0</v>
      </c>
      <c r="D12" t="str">
        <f t="shared" si="0"/>
        <v>0001001010000001111111101011101010100000000</v>
      </c>
    </row>
    <row r="13" spans="1:4" x14ac:dyDescent="0.25">
      <c r="A13">
        <v>7</v>
      </c>
      <c r="B13">
        <v>4</v>
      </c>
      <c r="C13" t="str">
        <f t="shared" si="1"/>
        <v>0</v>
      </c>
      <c r="D13" t="str">
        <f t="shared" si="0"/>
        <v>001001010000001111111101011101010100000000</v>
      </c>
    </row>
    <row r="14" spans="1:4" x14ac:dyDescent="0.25">
      <c r="A14">
        <v>8</v>
      </c>
      <c r="B14">
        <v>5</v>
      </c>
      <c r="C14" t="str">
        <f t="shared" si="1"/>
        <v>0</v>
      </c>
      <c r="D14" t="str">
        <f t="shared" si="0"/>
        <v>01001010000001111111101011101010100000000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1001010000001111111101011101010100000000</v>
      </c>
    </row>
    <row r="16" spans="1:4" x14ac:dyDescent="0.25">
      <c r="A16">
        <v>10</v>
      </c>
      <c r="B16">
        <v>7</v>
      </c>
      <c r="C16" t="str">
        <f t="shared" si="1"/>
        <v>0</v>
      </c>
      <c r="D16" t="str">
        <f t="shared" si="0"/>
        <v>001010000001111111101011101010100000000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01010000001111111101011101010100000000</v>
      </c>
    </row>
    <row r="18" spans="1:4" x14ac:dyDescent="0.25">
      <c r="A18">
        <v>12</v>
      </c>
      <c r="B18">
        <v>9</v>
      </c>
      <c r="C18" t="str">
        <f t="shared" si="1"/>
        <v>1</v>
      </c>
      <c r="D18" t="str">
        <f t="shared" si="0"/>
        <v>1010000001111111101011101010100000000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010000001111111101011101010100000000</v>
      </c>
    </row>
    <row r="20" spans="1:4" x14ac:dyDescent="0.25">
      <c r="A20">
        <v>14</v>
      </c>
      <c r="B20">
        <v>9</v>
      </c>
      <c r="C20" t="str">
        <f t="shared" si="1"/>
        <v>1</v>
      </c>
      <c r="D20" t="str">
        <f t="shared" si="0"/>
        <v>10000001111111101011101010100000000</v>
      </c>
    </row>
    <row r="21" spans="1:4" x14ac:dyDescent="0.25">
      <c r="A21">
        <v>15</v>
      </c>
      <c r="B21">
        <v>10</v>
      </c>
      <c r="C21" t="str">
        <f t="shared" si="1"/>
        <v>0</v>
      </c>
      <c r="D21" t="str">
        <f t="shared" si="0"/>
        <v>0000001111111101011101010100000000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000001111111101011101010100000000</v>
      </c>
    </row>
    <row r="23" spans="1:4" x14ac:dyDescent="0.25">
      <c r="A23">
        <v>17</v>
      </c>
      <c r="B23">
        <v>12</v>
      </c>
      <c r="C23" t="str">
        <f t="shared" si="1"/>
        <v>0</v>
      </c>
      <c r="D23" t="str">
        <f t="shared" si="0"/>
        <v>00001111111101011101010100000000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0001111111101011101010100000000</v>
      </c>
    </row>
    <row r="25" spans="1:4" x14ac:dyDescent="0.25">
      <c r="A25">
        <v>19</v>
      </c>
      <c r="B25">
        <v>12</v>
      </c>
      <c r="C25" t="str">
        <f t="shared" si="1"/>
        <v>0</v>
      </c>
      <c r="D25" t="str">
        <f t="shared" si="0"/>
        <v>001111111101011101010100000000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01111111101011101010100000000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1111111101011101010100000000</v>
      </c>
    </row>
    <row r="28" spans="1:4" x14ac:dyDescent="0.25">
      <c r="A28">
        <v>22</v>
      </c>
      <c r="B28">
        <v>15</v>
      </c>
      <c r="C28" t="str">
        <f t="shared" si="1"/>
        <v>1</v>
      </c>
      <c r="D28" t="str">
        <f t="shared" si="0"/>
        <v>111111101011101010100000000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11111101011101010100000000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1111101011101010100000000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111101011101010100000000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11101011101010100000000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1101011101010100000000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101011101010100000000</v>
      </c>
    </row>
    <row r="35" spans="1:4" x14ac:dyDescent="0.25">
      <c r="A35">
        <v>29</v>
      </c>
      <c r="B35">
        <v>20</v>
      </c>
      <c r="C35" t="str">
        <f t="shared" si="1"/>
        <v>0</v>
      </c>
      <c r="D35" t="str">
        <f t="shared" si="0"/>
        <v>01011101010100000000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1011101010100000000</v>
      </c>
    </row>
    <row r="37" spans="1:4" x14ac:dyDescent="0.25">
      <c r="A37">
        <v>31</v>
      </c>
      <c r="B37">
        <v>20</v>
      </c>
      <c r="C37" t="str">
        <f t="shared" si="1"/>
        <v>0</v>
      </c>
      <c r="D37" t="str">
        <f t="shared" si="0"/>
        <v>011101010100000000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11101010100000000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1101010100000000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101010100000000</v>
      </c>
    </row>
    <row r="41" spans="1:4" x14ac:dyDescent="0.25">
      <c r="A41">
        <v>35</v>
      </c>
      <c r="B41">
        <v>24</v>
      </c>
      <c r="C41" t="str">
        <f t="shared" si="1"/>
        <v>0</v>
      </c>
      <c r="D41" t="str">
        <f t="shared" si="0"/>
        <v>01010100000000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1010100000000</v>
      </c>
    </row>
    <row r="43" spans="1:4" x14ac:dyDescent="0.25">
      <c r="A43">
        <v>37</v>
      </c>
      <c r="B43">
        <v>24</v>
      </c>
      <c r="C43" t="str">
        <f t="shared" si="1"/>
        <v>0</v>
      </c>
      <c r="D43" t="str">
        <f t="shared" si="0"/>
        <v>010100000000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10100000000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0100000000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100000000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00000000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0000000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000000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00000</v>
      </c>
    </row>
    <row r="51" spans="1:4" x14ac:dyDescent="0.25">
      <c r="A51">
        <v>45</v>
      </c>
      <c r="B51">
        <v>30</v>
      </c>
      <c r="C51" t="str">
        <f t="shared" si="1"/>
        <v>0</v>
      </c>
      <c r="D51" t="str">
        <f t="shared" si="0"/>
        <v>0000</v>
      </c>
    </row>
    <row r="52" spans="1:4" x14ac:dyDescent="0.25">
      <c r="A52">
        <v>46</v>
      </c>
      <c r="B52">
        <v>31</v>
      </c>
      <c r="C52" t="str">
        <f t="shared" si="1"/>
        <v>0</v>
      </c>
      <c r="D52" t="str">
        <f t="shared" si="0"/>
        <v>000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305</v>
      </c>
      <c r="B56" t="str">
        <f>D7</f>
        <v>001000001001010000001111111101011101010100000000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00100000</v>
      </c>
      <c r="C59" s="7" t="str">
        <f t="shared" ref="C59:C64" si="2">BIN2HEX(B59,2)</f>
        <v>20</v>
      </c>
    </row>
    <row r="60" spans="1:4" x14ac:dyDescent="0.25">
      <c r="A60" s="7">
        <v>2</v>
      </c>
      <c r="B60" s="7" t="str">
        <f t="shared" ref="B60:B64" si="3">MID($B$56,(A60-1)*8+1,8)</f>
        <v>10010100</v>
      </c>
      <c r="C60" s="7" t="str">
        <f t="shared" si="2"/>
        <v>94</v>
      </c>
    </row>
    <row r="61" spans="1:4" x14ac:dyDescent="0.25">
      <c r="A61" s="7">
        <v>3</v>
      </c>
      <c r="B61" s="7" t="str">
        <f t="shared" si="3"/>
        <v>00001111</v>
      </c>
      <c r="C61" s="7" t="str">
        <f t="shared" si="2"/>
        <v>0F</v>
      </c>
    </row>
    <row r="62" spans="1:4" x14ac:dyDescent="0.25">
      <c r="A62" s="7">
        <v>4</v>
      </c>
      <c r="B62" s="7" t="str">
        <f t="shared" si="3"/>
        <v>11110101</v>
      </c>
      <c r="C62" s="7" t="str">
        <f t="shared" si="2"/>
        <v>F5</v>
      </c>
    </row>
    <row r="63" spans="1:4" x14ac:dyDescent="0.25">
      <c r="A63" s="7">
        <v>5</v>
      </c>
      <c r="B63" s="7" t="str">
        <f t="shared" si="3"/>
        <v>11010101</v>
      </c>
      <c r="C63" s="7" t="str">
        <f t="shared" si="2"/>
        <v>D5</v>
      </c>
    </row>
    <row r="64" spans="1:4" x14ac:dyDescent="0.25">
      <c r="A64" s="7">
        <v>6</v>
      </c>
      <c r="B64" s="7" t="str">
        <f t="shared" si="3"/>
        <v>00000000</v>
      </c>
      <c r="C64" s="7" t="str">
        <f t="shared" si="2"/>
        <v>00</v>
      </c>
    </row>
    <row r="65" spans="1:10" x14ac:dyDescent="0.25">
      <c r="A65" t="s">
        <v>304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01110001</v>
      </c>
      <c r="C68" s="7" t="str">
        <f>BIN2HEX(B68,2)</f>
        <v>71</v>
      </c>
      <c r="D68">
        <f>BIN2DEC(B68)</f>
        <v>113</v>
      </c>
      <c r="G68" s="7">
        <v>1</v>
      </c>
      <c r="H68" s="7" t="str">
        <f>MID($B$56,(G68-1)*8+1,8)</f>
        <v>00100000</v>
      </c>
      <c r="I68" s="7" t="str">
        <f>BIN2HEX(H68,2)</f>
        <v>20</v>
      </c>
      <c r="J68">
        <f>BIN2DEC(H68)</f>
        <v>32</v>
      </c>
    </row>
    <row r="69" spans="1:10" x14ac:dyDescent="0.25">
      <c r="A69" s="7">
        <v>2</v>
      </c>
      <c r="B69" s="7" t="str">
        <f t="shared" ref="B69:B73" si="4">MID($D$1,(A69-1)*8+1,8)</f>
        <v>01110001</v>
      </c>
      <c r="C69" s="7" t="str">
        <f t="shared" ref="C69:C73" si="5">BIN2HEX(B69,2)</f>
        <v>71</v>
      </c>
      <c r="D69">
        <f t="shared" ref="D69:D73" si="6">BIN2DEC(B69)</f>
        <v>113</v>
      </c>
      <c r="G69" s="7">
        <v>2</v>
      </c>
      <c r="H69" s="7" t="str">
        <f t="shared" ref="H69:H73" si="7">MID($B$56,(G69-1)*8+1,8)</f>
        <v>10010100</v>
      </c>
      <c r="I69" s="7" t="str">
        <f t="shared" ref="I69:I73" si="8">BIN2HEX(H69,2)</f>
        <v>94</v>
      </c>
      <c r="J69">
        <f t="shared" ref="J69:J73" si="9">BIN2DEC(H69)</f>
        <v>148</v>
      </c>
    </row>
    <row r="70" spans="1:10" x14ac:dyDescent="0.25">
      <c r="A70" s="7">
        <v>3</v>
      </c>
      <c r="B70" s="7" t="str">
        <f t="shared" si="4"/>
        <v>11110101</v>
      </c>
      <c r="C70" s="7" t="str">
        <f t="shared" si="5"/>
        <v>F5</v>
      </c>
      <c r="D70">
        <f t="shared" si="6"/>
        <v>245</v>
      </c>
      <c r="G70" s="7">
        <v>3</v>
      </c>
      <c r="H70" s="7" t="str">
        <f t="shared" si="7"/>
        <v>00001111</v>
      </c>
      <c r="I70" s="7" t="str">
        <f t="shared" si="8"/>
        <v>0F</v>
      </c>
      <c r="J70">
        <f t="shared" si="9"/>
        <v>15</v>
      </c>
    </row>
    <row r="71" spans="1:10" x14ac:dyDescent="0.25">
      <c r="A71" s="7">
        <v>4</v>
      </c>
      <c r="B71" s="7" t="str">
        <f t="shared" si="4"/>
        <v>01000101</v>
      </c>
      <c r="C71" s="7" t="str">
        <f t="shared" si="5"/>
        <v>45</v>
      </c>
      <c r="D71">
        <f t="shared" si="6"/>
        <v>69</v>
      </c>
      <c r="G71" s="7">
        <v>4</v>
      </c>
      <c r="H71" s="7" t="str">
        <f t="shared" si="7"/>
        <v>11110101</v>
      </c>
      <c r="I71" s="7" t="str">
        <f t="shared" si="8"/>
        <v>F5</v>
      </c>
      <c r="J71">
        <f t="shared" si="9"/>
        <v>245</v>
      </c>
    </row>
    <row r="72" spans="1:10" x14ac:dyDescent="0.25">
      <c r="A72" s="7">
        <v>5</v>
      </c>
      <c r="B72" s="7" t="str">
        <f t="shared" si="4"/>
        <v>01011100</v>
      </c>
      <c r="C72" s="7" t="str">
        <f t="shared" si="5"/>
        <v>5C</v>
      </c>
      <c r="D72">
        <f t="shared" si="6"/>
        <v>92</v>
      </c>
      <c r="G72" s="7">
        <v>5</v>
      </c>
      <c r="H72" s="7" t="str">
        <f t="shared" si="7"/>
        <v>11010101</v>
      </c>
      <c r="I72" s="7" t="str">
        <f t="shared" si="8"/>
        <v>D5</v>
      </c>
      <c r="J72">
        <f t="shared" si="9"/>
        <v>213</v>
      </c>
    </row>
    <row r="73" spans="1:10" x14ac:dyDescent="0.25">
      <c r="A73" s="7">
        <v>6</v>
      </c>
      <c r="B73" s="7" t="str">
        <f t="shared" si="4"/>
        <v>11010101</v>
      </c>
      <c r="C73" s="7" t="str">
        <f t="shared" si="5"/>
        <v>D5</v>
      </c>
      <c r="D73">
        <f t="shared" si="6"/>
        <v>213</v>
      </c>
      <c r="G73" s="7">
        <v>6</v>
      </c>
      <c r="H73" s="7" t="str">
        <f t="shared" si="7"/>
        <v>00000000</v>
      </c>
      <c r="I73" s="7" t="str">
        <f t="shared" si="8"/>
        <v>00</v>
      </c>
      <c r="J73">
        <f t="shared" si="9"/>
        <v>0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81</v>
      </c>
      <c r="C76" s="10" t="str">
        <f>DEC2BIN(B76,8)</f>
        <v>01010001</v>
      </c>
      <c r="D76" s="10" t="str">
        <f>DEC2HEX(B76,2)</f>
        <v>51</v>
      </c>
    </row>
    <row r="77" spans="1:10" x14ac:dyDescent="0.25">
      <c r="A77" s="11">
        <v>2</v>
      </c>
      <c r="B77" s="10">
        <f t="shared" ref="B77:B81" si="10">_xlfn.BITXOR(D69,J69)</f>
        <v>229</v>
      </c>
      <c r="C77" s="10" t="str">
        <f t="shared" ref="C77:C81" si="11">DEC2BIN(B77,8)</f>
        <v>11100101</v>
      </c>
      <c r="D77" s="10" t="str">
        <f t="shared" ref="D77:D81" si="12">DEC2HEX(B77,2)</f>
        <v>E5</v>
      </c>
    </row>
    <row r="78" spans="1:10" x14ac:dyDescent="0.25">
      <c r="A78" s="11">
        <v>3</v>
      </c>
      <c r="B78" s="10">
        <f t="shared" si="10"/>
        <v>250</v>
      </c>
      <c r="C78" s="10" t="str">
        <f t="shared" si="11"/>
        <v>11111010</v>
      </c>
      <c r="D78" s="10" t="str">
        <f t="shared" si="12"/>
        <v>FA</v>
      </c>
    </row>
    <row r="79" spans="1:10" x14ac:dyDescent="0.25">
      <c r="A79" s="11">
        <v>4</v>
      </c>
      <c r="B79" s="10">
        <f t="shared" si="10"/>
        <v>176</v>
      </c>
      <c r="C79" s="10" t="str">
        <f t="shared" si="11"/>
        <v>10110000</v>
      </c>
      <c r="D79" s="10" t="str">
        <f t="shared" si="12"/>
        <v>B0</v>
      </c>
    </row>
    <row r="80" spans="1:10" x14ac:dyDescent="0.25">
      <c r="A80" s="11">
        <v>5</v>
      </c>
      <c r="B80" s="10">
        <f t="shared" si="10"/>
        <v>137</v>
      </c>
      <c r="C80" s="10" t="str">
        <f t="shared" si="11"/>
        <v>10001001</v>
      </c>
      <c r="D80" s="10" t="str">
        <f t="shared" si="12"/>
        <v>89</v>
      </c>
    </row>
    <row r="81" spans="1:10" x14ac:dyDescent="0.25">
      <c r="A81" s="11">
        <v>6</v>
      </c>
      <c r="B81" s="10">
        <f t="shared" si="10"/>
        <v>213</v>
      </c>
      <c r="C81" s="10" t="str">
        <f t="shared" si="11"/>
        <v>11010101</v>
      </c>
      <c r="D81" s="10" t="str">
        <f t="shared" si="12"/>
        <v>D5</v>
      </c>
    </row>
    <row r="83" spans="1:10" ht="21" x14ac:dyDescent="0.35">
      <c r="B83" t="s">
        <v>303</v>
      </c>
      <c r="D83" s="8" t="str">
        <f>C76&amp;C77&amp;C78&amp;C79&amp;C80&amp;C81</f>
        <v>010100011110010111111010101100001000100111010101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010100</v>
      </c>
      <c r="C86" s="10" t="str">
        <f>LEFT(B86,1)&amp;RIGHT(B86,1)</f>
        <v>00</v>
      </c>
      <c r="D86" s="10" t="str">
        <f>MID(B86,2,4)</f>
        <v>1010</v>
      </c>
      <c r="E86" s="10" t="str">
        <f>C86&amp;D86</f>
        <v>001010</v>
      </c>
      <c r="F86" s="10">
        <f>BIN2DEC(E86)</f>
        <v>10</v>
      </c>
      <c r="G86" s="10"/>
      <c r="H86" s="10">
        <f>VLOOKUP(F86,$A$95:$I$158,2,TRUE)</f>
        <v>6</v>
      </c>
      <c r="I86" s="10" t="str">
        <f>DEC2BIN(H86,4)</f>
        <v>0110</v>
      </c>
      <c r="J86" t="str">
        <f t="shared" ref="J86:J90" si="13">I86&amp;J87</f>
        <v>01101010111000100111100110000110</v>
      </c>
    </row>
    <row r="87" spans="1:10" x14ac:dyDescent="0.25">
      <c r="A87" s="10">
        <v>2</v>
      </c>
      <c r="B87" s="10" t="str">
        <f t="shared" ref="B87:B93" si="14">MID($D$83,(A87-1)*6+1,6)</f>
        <v>011110</v>
      </c>
      <c r="C87" s="10" t="str">
        <f t="shared" ref="C87:C93" si="15">LEFT(B87,1)&amp;RIGHT(B87,1)</f>
        <v>00</v>
      </c>
      <c r="D87" s="10" t="str">
        <f t="shared" ref="D87:D93" si="16">MID(B87,2,4)</f>
        <v>1111</v>
      </c>
      <c r="E87" s="10" t="str">
        <f t="shared" ref="E87:E93" si="17">C87&amp;D87</f>
        <v>001111</v>
      </c>
      <c r="F87" s="10">
        <f t="shared" ref="F87:F93" si="18">BIN2DEC(E87)</f>
        <v>15</v>
      </c>
      <c r="G87" s="10"/>
      <c r="H87" s="10">
        <f>VLOOKUP(F87,$A$95:$I$158,3,TRUE)</f>
        <v>10</v>
      </c>
      <c r="I87" s="10" t="str">
        <f t="shared" ref="I87:I93" si="19">DEC2BIN(H87,4)</f>
        <v>1010</v>
      </c>
      <c r="J87" t="str">
        <f t="shared" si="13"/>
        <v>1010111000100111100110000110</v>
      </c>
    </row>
    <row r="88" spans="1:10" x14ac:dyDescent="0.25">
      <c r="A88" s="10">
        <v>3</v>
      </c>
      <c r="B88" s="10" t="str">
        <f t="shared" si="14"/>
        <v>010111</v>
      </c>
      <c r="C88" s="10" t="str">
        <f t="shared" si="15"/>
        <v>01</v>
      </c>
      <c r="D88" s="10" t="str">
        <f t="shared" si="16"/>
        <v>1011</v>
      </c>
      <c r="E88" s="10" t="str">
        <f t="shared" si="17"/>
        <v>011011</v>
      </c>
      <c r="F88" s="10">
        <f t="shared" si="18"/>
        <v>27</v>
      </c>
      <c r="G88" s="10"/>
      <c r="H88" s="10">
        <f>VLOOKUP(F88,$A$95:$I$158,4,TRUE)</f>
        <v>14</v>
      </c>
      <c r="I88" s="10" t="str">
        <f t="shared" si="19"/>
        <v>1110</v>
      </c>
      <c r="J88" t="str">
        <f t="shared" si="13"/>
        <v>111000100111100110000110</v>
      </c>
    </row>
    <row r="89" spans="1:10" x14ac:dyDescent="0.25">
      <c r="A89" s="10">
        <v>4</v>
      </c>
      <c r="B89" s="10" t="str">
        <f t="shared" si="14"/>
        <v>111010</v>
      </c>
      <c r="C89" s="10" t="str">
        <f t="shared" si="15"/>
        <v>10</v>
      </c>
      <c r="D89" s="10" t="str">
        <f t="shared" si="16"/>
        <v>1101</v>
      </c>
      <c r="E89" s="10" t="str">
        <f t="shared" si="17"/>
        <v>101101</v>
      </c>
      <c r="F89" s="10">
        <f t="shared" si="18"/>
        <v>45</v>
      </c>
      <c r="G89" s="10"/>
      <c r="H89" s="10">
        <f>VLOOKUP(F89,$A$95:$I$158,5,TRUE)</f>
        <v>2</v>
      </c>
      <c r="I89" s="10" t="str">
        <f t="shared" si="19"/>
        <v>0010</v>
      </c>
      <c r="J89" t="str">
        <f t="shared" si="13"/>
        <v>00100111100110000110</v>
      </c>
    </row>
    <row r="90" spans="1:10" x14ac:dyDescent="0.25">
      <c r="A90" s="10">
        <v>5</v>
      </c>
      <c r="B90" s="10" t="str">
        <f t="shared" si="14"/>
        <v>101100</v>
      </c>
      <c r="C90" s="10" t="str">
        <f t="shared" si="15"/>
        <v>10</v>
      </c>
      <c r="D90" s="10" t="str">
        <f t="shared" si="16"/>
        <v>0110</v>
      </c>
      <c r="E90" s="10" t="str">
        <f t="shared" si="17"/>
        <v>100110</v>
      </c>
      <c r="F90" s="10">
        <f t="shared" si="18"/>
        <v>38</v>
      </c>
      <c r="G90" s="10"/>
      <c r="H90" s="10">
        <f>VLOOKUP(F90,$A$95:$I$158,6,TRUE)</f>
        <v>7</v>
      </c>
      <c r="I90" s="10" t="str">
        <f t="shared" si="19"/>
        <v>0111</v>
      </c>
      <c r="J90" t="str">
        <f t="shared" si="13"/>
        <v>0111100110000110</v>
      </c>
    </row>
    <row r="91" spans="1:10" x14ac:dyDescent="0.25">
      <c r="A91" s="10">
        <v>6</v>
      </c>
      <c r="B91" s="10" t="str">
        <f t="shared" si="14"/>
        <v>001000</v>
      </c>
      <c r="C91" s="10" t="str">
        <f t="shared" si="15"/>
        <v>00</v>
      </c>
      <c r="D91" s="10" t="str">
        <f t="shared" si="16"/>
        <v>0100</v>
      </c>
      <c r="E91" s="10" t="str">
        <f t="shared" si="17"/>
        <v>000100</v>
      </c>
      <c r="F91" s="10">
        <f t="shared" si="18"/>
        <v>4</v>
      </c>
      <c r="G91" s="10"/>
      <c r="H91" s="10">
        <f>VLOOKUP(F91,$A$95:$I$158,7,TRUE)</f>
        <v>9</v>
      </c>
      <c r="I91" s="10" t="str">
        <f t="shared" si="19"/>
        <v>1001</v>
      </c>
      <c r="J91" t="str">
        <f>I91&amp;J92</f>
        <v>100110000110</v>
      </c>
    </row>
    <row r="92" spans="1:10" x14ac:dyDescent="0.25">
      <c r="A92" s="10">
        <v>7</v>
      </c>
      <c r="B92" s="10" t="str">
        <f t="shared" si="14"/>
        <v>100111</v>
      </c>
      <c r="C92" s="10" t="str">
        <f t="shared" si="15"/>
        <v>11</v>
      </c>
      <c r="D92" s="10" t="str">
        <f t="shared" si="16"/>
        <v>0011</v>
      </c>
      <c r="E92" s="10" t="str">
        <f t="shared" si="17"/>
        <v>110011</v>
      </c>
      <c r="F92" s="10">
        <f t="shared" si="18"/>
        <v>51</v>
      </c>
      <c r="G92" s="10"/>
      <c r="H92" s="10">
        <f>VLOOKUP(F92,$A$95:$I$158,8,TRUE)</f>
        <v>8</v>
      </c>
      <c r="I92" s="10" t="str">
        <f t="shared" si="19"/>
        <v>1000</v>
      </c>
      <c r="J92" t="str">
        <f>I92&amp;I93</f>
        <v>10000110</v>
      </c>
    </row>
    <row r="93" spans="1:10" x14ac:dyDescent="0.25">
      <c r="A93" s="10">
        <v>8</v>
      </c>
      <c r="B93" s="10" t="str">
        <f t="shared" si="14"/>
        <v>010101</v>
      </c>
      <c r="C93" s="10" t="str">
        <f t="shared" si="15"/>
        <v>01</v>
      </c>
      <c r="D93" s="10" t="str">
        <f t="shared" si="16"/>
        <v>1010</v>
      </c>
      <c r="E93" s="10" t="str">
        <f t="shared" si="17"/>
        <v>011010</v>
      </c>
      <c r="F93" s="10">
        <f t="shared" si="18"/>
        <v>26</v>
      </c>
      <c r="G93" s="10"/>
      <c r="H93" s="10">
        <f>VLOOKUP(F93,$A$95:$I$158,9,TRUE)</f>
        <v>6</v>
      </c>
      <c r="I93" s="10" t="str">
        <f t="shared" si="19"/>
        <v>0110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01101010111000100111100110000110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0</v>
      </c>
      <c r="D165" t="str">
        <f t="shared" ref="D165:D193" si="20">C165&amp;D166</f>
        <v>01110000010011111010001110100101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1110000010011111010001110100101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110000010011111010001110100101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10000010011111010001110100101</v>
      </c>
    </row>
    <row r="169" spans="1:6" x14ac:dyDescent="0.25">
      <c r="A169">
        <v>5</v>
      </c>
      <c r="B169">
        <v>29</v>
      </c>
      <c r="C169" t="str">
        <f t="shared" si="21"/>
        <v>0</v>
      </c>
      <c r="D169" t="str">
        <f t="shared" si="20"/>
        <v>0000010011111010001110100101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000010011111010001110100101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00010011111010001110100101</v>
      </c>
    </row>
    <row r="172" spans="1:6" x14ac:dyDescent="0.25">
      <c r="A172">
        <v>8</v>
      </c>
      <c r="B172">
        <v>17</v>
      </c>
      <c r="C172" t="str">
        <f t="shared" si="21"/>
        <v>0</v>
      </c>
      <c r="D172" t="str">
        <f t="shared" si="20"/>
        <v>0010011111010001110100101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010011111010001110100101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10011111010001110100101</v>
      </c>
    </row>
    <row r="175" spans="1:6" x14ac:dyDescent="0.25">
      <c r="A175">
        <v>11</v>
      </c>
      <c r="B175">
        <v>23</v>
      </c>
      <c r="C175" t="str">
        <f t="shared" si="21"/>
        <v>0</v>
      </c>
      <c r="D175" t="str">
        <f t="shared" si="20"/>
        <v>0011111010001110100101</v>
      </c>
    </row>
    <row r="176" spans="1:6" x14ac:dyDescent="0.25">
      <c r="A176">
        <v>12</v>
      </c>
      <c r="B176">
        <v>26</v>
      </c>
      <c r="C176" t="str">
        <f t="shared" si="21"/>
        <v>0</v>
      </c>
      <c r="D176" t="str">
        <f t="shared" si="20"/>
        <v>011111010001110100101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11111010001110100101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1111010001110100101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111010001110100101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11010001110100101</v>
      </c>
    </row>
    <row r="181" spans="1:4" x14ac:dyDescent="0.25">
      <c r="A181">
        <v>17</v>
      </c>
      <c r="B181">
        <v>2</v>
      </c>
      <c r="C181" t="str">
        <f t="shared" si="21"/>
        <v>1</v>
      </c>
      <c r="D181" t="str">
        <f t="shared" si="20"/>
        <v>1010001110100101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010001110100101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10001110100101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0001110100101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001110100101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01110100101</v>
      </c>
    </row>
    <row r="187" spans="1:4" x14ac:dyDescent="0.25">
      <c r="A187">
        <v>23</v>
      </c>
      <c r="B187">
        <v>3</v>
      </c>
      <c r="C187" t="str">
        <f t="shared" si="21"/>
        <v>1</v>
      </c>
      <c r="D187" t="str">
        <f t="shared" si="20"/>
        <v>1110100101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110100101</v>
      </c>
    </row>
    <row r="189" spans="1:4" x14ac:dyDescent="0.25">
      <c r="A189">
        <v>25</v>
      </c>
      <c r="B189">
        <v>19</v>
      </c>
      <c r="C189" t="str">
        <f t="shared" si="21"/>
        <v>1</v>
      </c>
      <c r="D189" t="str">
        <f t="shared" si="20"/>
        <v>10100101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0100101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100101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00101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0101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101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01</v>
      </c>
    </row>
    <row r="196" spans="1:11" x14ac:dyDescent="0.25">
      <c r="A196">
        <v>32</v>
      </c>
      <c r="B196">
        <v>25</v>
      </c>
      <c r="C196" t="str">
        <f t="shared" si="21"/>
        <v>1</v>
      </c>
    </row>
    <row r="198" spans="1:11" ht="18.75" x14ac:dyDescent="0.3">
      <c r="A198" t="s">
        <v>302</v>
      </c>
      <c r="B198" s="16" t="str">
        <f>D165</f>
        <v>01110000010011111010001110100101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01110000</v>
      </c>
      <c r="J199" s="7" t="str">
        <f>BIN2HEX(I199,2)</f>
        <v>70</v>
      </c>
      <c r="K199">
        <f>BIN2DEC(I199)</f>
        <v>112</v>
      </c>
    </row>
    <row r="200" spans="1:11" x14ac:dyDescent="0.25">
      <c r="H200" s="7">
        <v>2</v>
      </c>
      <c r="I200" s="7" t="str">
        <f t="shared" ref="I200:I202" si="22">MID($B$198,(H200-1)*8+1,8)</f>
        <v>01001111</v>
      </c>
      <c r="J200" s="7" t="str">
        <f t="shared" ref="J200:J202" si="23">BIN2HEX(I200,2)</f>
        <v>4F</v>
      </c>
      <c r="K200">
        <f t="shared" ref="K200:K202" si="24">BIN2DEC(I200)</f>
        <v>79</v>
      </c>
    </row>
    <row r="201" spans="1:11" x14ac:dyDescent="0.25">
      <c r="H201" s="7">
        <v>3</v>
      </c>
      <c r="I201" s="7" t="str">
        <f t="shared" si="22"/>
        <v>10100011</v>
      </c>
      <c r="J201" s="7" t="str">
        <f t="shared" si="23"/>
        <v>A3</v>
      </c>
      <c r="K201">
        <f t="shared" si="24"/>
        <v>163</v>
      </c>
    </row>
    <row r="202" spans="1:11" x14ac:dyDescent="0.25">
      <c r="H202" s="7">
        <v>4</v>
      </c>
      <c r="I202" s="7" t="str">
        <f t="shared" si="22"/>
        <v>10100101</v>
      </c>
      <c r="J202" s="7" t="str">
        <f t="shared" si="23"/>
        <v>A5</v>
      </c>
      <c r="K202">
        <f t="shared" si="24"/>
        <v>165</v>
      </c>
    </row>
    <row r="205" spans="1:11" ht="18.75" x14ac:dyDescent="0.3">
      <c r="A205" t="s">
        <v>146</v>
      </c>
      <c r="B205" s="16" t="str">
        <f>B4</f>
        <v>10001010011110011111001001101010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10001010</v>
      </c>
      <c r="J206" s="7" t="str">
        <f>BIN2HEX(I206,2)</f>
        <v>8A</v>
      </c>
      <c r="K206">
        <f>BIN2DEC(I206)</f>
        <v>138</v>
      </c>
    </row>
    <row r="207" spans="1:11" x14ac:dyDescent="0.25">
      <c r="H207" s="7">
        <v>2</v>
      </c>
      <c r="I207" s="7" t="str">
        <f t="shared" ref="I207:I209" si="25">MID($B$205,(H207-1)*8+1,8)</f>
        <v>01111001</v>
      </c>
      <c r="J207" s="7" t="str">
        <f t="shared" ref="J207:J209" si="26">BIN2HEX(I207,2)</f>
        <v>79</v>
      </c>
      <c r="K207">
        <f t="shared" ref="K207:K209" si="27">BIN2DEC(I207)</f>
        <v>121</v>
      </c>
    </row>
    <row r="208" spans="1:11" x14ac:dyDescent="0.25">
      <c r="H208" s="7">
        <v>3</v>
      </c>
      <c r="I208" s="7" t="str">
        <f t="shared" si="25"/>
        <v>11110010</v>
      </c>
      <c r="J208" s="7" t="str">
        <f t="shared" si="26"/>
        <v>F2</v>
      </c>
      <c r="K208">
        <f t="shared" si="27"/>
        <v>242</v>
      </c>
    </row>
    <row r="209" spans="1:11" x14ac:dyDescent="0.25">
      <c r="H209" s="7">
        <v>4</v>
      </c>
      <c r="I209" s="7" t="str">
        <f t="shared" si="25"/>
        <v>01101010</v>
      </c>
      <c r="J209" s="7" t="str">
        <f t="shared" si="26"/>
        <v>6A</v>
      </c>
      <c r="K209">
        <f t="shared" si="27"/>
        <v>106</v>
      </c>
    </row>
    <row r="211" spans="1:11" x14ac:dyDescent="0.25">
      <c r="A211" t="s">
        <v>301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250</v>
      </c>
      <c r="D213" s="7" t="str">
        <f>DEC2HEX(C213)</f>
        <v>FA</v>
      </c>
      <c r="E213" s="7" t="str">
        <f>DEC2BIN(C213,8)</f>
        <v>11111010</v>
      </c>
    </row>
    <row r="214" spans="1:11" x14ac:dyDescent="0.25">
      <c r="B214" s="7">
        <v>2</v>
      </c>
      <c r="C214" s="7">
        <f t="shared" ref="C214:C216" si="28">_xlfn.BITXOR(K200,K207)</f>
        <v>54</v>
      </c>
      <c r="D214" s="7" t="str">
        <f t="shared" ref="D214:D216" si="29">DEC2HEX(C214)</f>
        <v>36</v>
      </c>
      <c r="E214" s="7" t="str">
        <f t="shared" ref="E214:E216" si="30">DEC2BIN(C214,8)</f>
        <v>00110110</v>
      </c>
    </row>
    <row r="215" spans="1:11" x14ac:dyDescent="0.25">
      <c r="B215" s="7">
        <v>3</v>
      </c>
      <c r="C215" s="7">
        <f t="shared" si="28"/>
        <v>81</v>
      </c>
      <c r="D215" s="7" t="str">
        <f t="shared" si="29"/>
        <v>51</v>
      </c>
      <c r="E215" s="7" t="str">
        <f t="shared" si="30"/>
        <v>01010001</v>
      </c>
    </row>
    <row r="216" spans="1:11" x14ac:dyDescent="0.25">
      <c r="B216" s="7">
        <v>4</v>
      </c>
      <c r="C216" s="7">
        <f t="shared" si="28"/>
        <v>207</v>
      </c>
      <c r="D216" s="7" t="str">
        <f t="shared" si="29"/>
        <v>CF</v>
      </c>
      <c r="E216" s="7" t="str">
        <f t="shared" si="30"/>
        <v>11001111</v>
      </c>
    </row>
    <row r="219" spans="1:11" ht="21" x14ac:dyDescent="0.35">
      <c r="A219" t="s">
        <v>147</v>
      </c>
      <c r="B219" s="8" t="str">
        <f>E213&amp;E214&amp;E215&amp;E216</f>
        <v>11111010001101100101000111001111</v>
      </c>
      <c r="C219" s="8"/>
      <c r="D219" s="8"/>
      <c r="E219" s="8"/>
    </row>
    <row r="220" spans="1:11" x14ac:dyDescent="0.25">
      <c r="A220" t="s">
        <v>148</v>
      </c>
    </row>
    <row r="221" spans="1:11" ht="21" x14ac:dyDescent="0.35">
      <c r="A221" t="s">
        <v>149</v>
      </c>
      <c r="B221" s="8" t="str">
        <f>B2</f>
        <v>01000100100001111110111010100000</v>
      </c>
      <c r="C221" s="8"/>
      <c r="D221" s="8"/>
      <c r="E221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A940-E31D-4EED-BDEF-0698B7DA4295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143</v>
      </c>
      <c r="B1" s="22" t="s">
        <v>197</v>
      </c>
      <c r="I1" t="s">
        <v>144</v>
      </c>
      <c r="J1" s="22" t="s">
        <v>198</v>
      </c>
    </row>
    <row r="2" spans="1:16" ht="18.75" x14ac:dyDescent="0.3">
      <c r="A2" t="s">
        <v>150</v>
      </c>
      <c r="B2" s="22" t="s">
        <v>201</v>
      </c>
      <c r="I2" t="s">
        <v>151</v>
      </c>
      <c r="J2" s="22" t="s">
        <v>202</v>
      </c>
    </row>
    <row r="4" spans="1:16" x14ac:dyDescent="0.25">
      <c r="A4" t="s">
        <v>306</v>
      </c>
      <c r="D4" s="1" t="str">
        <f>D7</f>
        <v>100101011100010111010001010010111000000011111101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307</v>
      </c>
      <c r="C5" s="6" t="s">
        <v>203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10010101</v>
      </c>
      <c r="L5" s="7" t="str">
        <f>BIN2HEX(K5,2)</f>
        <v>95</v>
      </c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11000101</v>
      </c>
      <c r="L6" s="7" t="str">
        <f t="shared" ref="L6:L10" si="1">BIN2HEX(K6,2)</f>
        <v>C5</v>
      </c>
    </row>
    <row r="7" spans="1:16" x14ac:dyDescent="0.25">
      <c r="A7">
        <v>1</v>
      </c>
      <c r="B7">
        <v>14</v>
      </c>
      <c r="C7" t="str">
        <f t="shared" ref="C7:C54" si="2">MID($C$5,B7,1)</f>
        <v>1</v>
      </c>
      <c r="D7" t="str">
        <f t="shared" ref="D7:D51" si="3">C7&amp;D8</f>
        <v>100101011100010111010001010010111000000011111101</v>
      </c>
      <c r="J7" s="7">
        <v>3</v>
      </c>
      <c r="K7" s="7" t="str">
        <f t="shared" si="0"/>
        <v>11010001</v>
      </c>
      <c r="L7" s="7" t="str">
        <f t="shared" si="1"/>
        <v>D1</v>
      </c>
    </row>
    <row r="8" spans="1:16" x14ac:dyDescent="0.25">
      <c r="A8">
        <v>2</v>
      </c>
      <c r="B8">
        <v>17</v>
      </c>
      <c r="C8" t="str">
        <f t="shared" si="2"/>
        <v>0</v>
      </c>
      <c r="D8" t="str">
        <f t="shared" si="3"/>
        <v>00101011100010111010001010010111000000011111101</v>
      </c>
      <c r="J8" s="7">
        <v>4</v>
      </c>
      <c r="K8" s="7" t="str">
        <f t="shared" si="0"/>
        <v>01001011</v>
      </c>
      <c r="L8" s="7" t="str">
        <f t="shared" si="1"/>
        <v>4B</v>
      </c>
      <c r="O8" s="20"/>
      <c r="P8" s="20"/>
    </row>
    <row r="9" spans="1:16" x14ac:dyDescent="0.25">
      <c r="A9">
        <v>3</v>
      </c>
      <c r="B9">
        <v>11</v>
      </c>
      <c r="C9" t="str">
        <f t="shared" si="2"/>
        <v>0</v>
      </c>
      <c r="D9" t="str">
        <f t="shared" si="3"/>
        <v>0101011100010111010001010010111000000011111101</v>
      </c>
      <c r="J9" s="7">
        <v>5</v>
      </c>
      <c r="K9" s="7" t="str">
        <f t="shared" si="0"/>
        <v>10000000</v>
      </c>
      <c r="L9" s="7" t="str">
        <f t="shared" si="1"/>
        <v>80</v>
      </c>
    </row>
    <row r="10" spans="1:16" x14ac:dyDescent="0.25">
      <c r="A10">
        <v>4</v>
      </c>
      <c r="B10">
        <v>24</v>
      </c>
      <c r="C10" t="str">
        <f t="shared" si="2"/>
        <v>1</v>
      </c>
      <c r="D10" t="str">
        <f t="shared" si="3"/>
        <v>101011100010111010001010010111000000011111101</v>
      </c>
      <c r="J10" s="7">
        <v>6</v>
      </c>
      <c r="K10" s="7" t="str">
        <f>MID($D$4,(J10-1)*8+1,8)</f>
        <v>11111101</v>
      </c>
      <c r="L10" s="7" t="str">
        <f t="shared" si="1"/>
        <v>FD</v>
      </c>
    </row>
    <row r="11" spans="1:16" x14ac:dyDescent="0.25">
      <c r="A11">
        <v>5</v>
      </c>
      <c r="B11">
        <v>1</v>
      </c>
      <c r="C11" t="str">
        <f t="shared" si="2"/>
        <v>0</v>
      </c>
      <c r="D11" t="str">
        <f t="shared" si="3"/>
        <v>01011100010111010001010010111000000011111101</v>
      </c>
    </row>
    <row r="12" spans="1:16" x14ac:dyDescent="0.25">
      <c r="A12">
        <v>6</v>
      </c>
      <c r="B12">
        <v>5</v>
      </c>
      <c r="C12" t="str">
        <f t="shared" si="2"/>
        <v>1</v>
      </c>
      <c r="D12" t="str">
        <f t="shared" si="3"/>
        <v>1011100010111010001010010111000000011111101</v>
      </c>
    </row>
    <row r="13" spans="1:16" x14ac:dyDescent="0.25">
      <c r="A13">
        <v>7</v>
      </c>
      <c r="B13">
        <v>3</v>
      </c>
      <c r="C13" t="str">
        <f t="shared" si="2"/>
        <v>0</v>
      </c>
      <c r="D13" t="str">
        <f t="shared" si="3"/>
        <v>011100010111010001010010111000000011111101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11100010111010001010010111000000011111101</v>
      </c>
    </row>
    <row r="15" spans="1:16" x14ac:dyDescent="0.25">
      <c r="A15">
        <v>9</v>
      </c>
      <c r="B15">
        <v>15</v>
      </c>
      <c r="C15" t="str">
        <f t="shared" si="2"/>
        <v>1</v>
      </c>
      <c r="D15" t="str">
        <f t="shared" si="3"/>
        <v>1100010111010001010010111000000011111101</v>
      </c>
    </row>
    <row r="16" spans="1:16" x14ac:dyDescent="0.25">
      <c r="A16">
        <v>10</v>
      </c>
      <c r="B16">
        <v>6</v>
      </c>
      <c r="C16" t="str">
        <f t="shared" si="2"/>
        <v>1</v>
      </c>
      <c r="D16" t="str">
        <f t="shared" si="3"/>
        <v>100010111010001010010111000000011111101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00010111010001010010111000000011111101</v>
      </c>
    </row>
    <row r="18" spans="1:4" x14ac:dyDescent="0.25">
      <c r="A18">
        <v>12</v>
      </c>
      <c r="B18">
        <v>10</v>
      </c>
      <c r="C18" t="str">
        <f t="shared" si="2"/>
        <v>0</v>
      </c>
      <c r="D18" t="str">
        <f t="shared" si="3"/>
        <v>0010111010001010010111000000011111101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010111010001010010111000000011111101</v>
      </c>
    </row>
    <row r="20" spans="1:4" x14ac:dyDescent="0.25">
      <c r="A20">
        <v>14</v>
      </c>
      <c r="B20">
        <v>19</v>
      </c>
      <c r="C20" t="str">
        <f t="shared" si="2"/>
        <v>1</v>
      </c>
      <c r="D20" t="str">
        <f t="shared" si="3"/>
        <v>10111010001010010111000000011111101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0111010001010010111000000011111101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111010001010010111000000011111101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11010001010010111000000011111101</v>
      </c>
    </row>
    <row r="24" spans="1:4" x14ac:dyDescent="0.25">
      <c r="A24">
        <v>18</v>
      </c>
      <c r="B24">
        <v>8</v>
      </c>
      <c r="C24" t="str">
        <f t="shared" si="2"/>
        <v>1</v>
      </c>
      <c r="D24" t="str">
        <f t="shared" si="3"/>
        <v>1010001010010111000000011111101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010001010010111000000011111101</v>
      </c>
    </row>
    <row r="26" spans="1:4" x14ac:dyDescent="0.25">
      <c r="A26">
        <v>20</v>
      </c>
      <c r="B26">
        <v>7</v>
      </c>
      <c r="C26" t="str">
        <f t="shared" si="2"/>
        <v>1</v>
      </c>
      <c r="D26" t="str">
        <f t="shared" si="3"/>
        <v>10001010010111000000011111101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0001010010111000000011111101</v>
      </c>
    </row>
    <row r="28" spans="1:4" x14ac:dyDescent="0.25">
      <c r="A28">
        <v>22</v>
      </c>
      <c r="B28">
        <v>20</v>
      </c>
      <c r="C28" t="str">
        <f t="shared" si="2"/>
        <v>0</v>
      </c>
      <c r="D28" t="str">
        <f t="shared" si="3"/>
        <v>001010010111000000011111101</v>
      </c>
    </row>
    <row r="29" spans="1:4" x14ac:dyDescent="0.25">
      <c r="A29">
        <v>23</v>
      </c>
      <c r="B29">
        <v>13</v>
      </c>
      <c r="C29" t="str">
        <f t="shared" si="2"/>
        <v>0</v>
      </c>
      <c r="D29" t="str">
        <f t="shared" si="3"/>
        <v>01010010111000000011111101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1010010111000000011111101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010010111000000011111101</v>
      </c>
    </row>
    <row r="32" spans="1:4" x14ac:dyDescent="0.25">
      <c r="A32">
        <v>26</v>
      </c>
      <c r="B32">
        <v>52</v>
      </c>
      <c r="C32" t="str">
        <f t="shared" si="2"/>
        <v>1</v>
      </c>
      <c r="D32" t="str">
        <f t="shared" si="3"/>
        <v>10010111000000011111101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0010111000000011111101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010111000000011111101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10111000000011111101</v>
      </c>
    </row>
    <row r="36" spans="1:4" x14ac:dyDescent="0.25">
      <c r="A36">
        <v>30</v>
      </c>
      <c r="B36">
        <v>55</v>
      </c>
      <c r="C36" t="str">
        <f t="shared" si="2"/>
        <v>0</v>
      </c>
      <c r="D36" t="str">
        <f t="shared" si="3"/>
        <v>0111000000011111101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111000000011111101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11000000011111101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1000000011111101</v>
      </c>
    </row>
    <row r="40" spans="1:4" x14ac:dyDescent="0.25">
      <c r="A40">
        <v>34</v>
      </c>
      <c r="B40">
        <v>45</v>
      </c>
      <c r="C40" t="str">
        <f t="shared" si="2"/>
        <v>0</v>
      </c>
      <c r="D40" t="str">
        <f t="shared" si="3"/>
        <v>000000011111101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00000011111101</v>
      </c>
    </row>
    <row r="42" spans="1:4" x14ac:dyDescent="0.25">
      <c r="A42">
        <v>36</v>
      </c>
      <c r="B42">
        <v>48</v>
      </c>
      <c r="C42" t="str">
        <f t="shared" si="2"/>
        <v>0</v>
      </c>
      <c r="D42" t="str">
        <f t="shared" si="3"/>
        <v>0000011111101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000011111101</v>
      </c>
    </row>
    <row r="44" spans="1:4" x14ac:dyDescent="0.25">
      <c r="A44">
        <v>38</v>
      </c>
      <c r="B44">
        <v>49</v>
      </c>
      <c r="C44" t="str">
        <f t="shared" si="2"/>
        <v>0</v>
      </c>
      <c r="D44" t="str">
        <f t="shared" si="3"/>
        <v>00011111101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0011111101</v>
      </c>
    </row>
    <row r="46" spans="1:4" x14ac:dyDescent="0.25">
      <c r="A46">
        <v>40</v>
      </c>
      <c r="B46">
        <v>56</v>
      </c>
      <c r="C46" t="str">
        <f t="shared" si="2"/>
        <v>0</v>
      </c>
      <c r="D46" t="str">
        <f t="shared" si="3"/>
        <v>011111101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11111101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1111101</v>
      </c>
    </row>
    <row r="49" spans="1:4" x14ac:dyDescent="0.25">
      <c r="A49">
        <v>43</v>
      </c>
      <c r="B49">
        <v>46</v>
      </c>
      <c r="C49" t="str">
        <f t="shared" si="2"/>
        <v>1</v>
      </c>
      <c r="D49" t="str">
        <f t="shared" si="3"/>
        <v>111101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11101</v>
      </c>
    </row>
    <row r="51" spans="1:4" x14ac:dyDescent="0.25">
      <c r="A51">
        <v>45</v>
      </c>
      <c r="B51">
        <v>50</v>
      </c>
      <c r="C51" t="str">
        <f t="shared" si="2"/>
        <v>1</v>
      </c>
      <c r="D51" t="str">
        <f t="shared" si="3"/>
        <v>1101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567D-3428-44C0-9E4F-E9E94C872540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306</v>
      </c>
      <c r="D1" t="s">
        <v>204</v>
      </c>
    </row>
    <row r="2" spans="1:4" x14ac:dyDescent="0.25">
      <c r="A2" t="s">
        <v>147</v>
      </c>
      <c r="B2" t="s">
        <v>227</v>
      </c>
    </row>
    <row r="3" spans="1:4" x14ac:dyDescent="0.25">
      <c r="A3" t="s">
        <v>148</v>
      </c>
    </row>
    <row r="4" spans="1:4" x14ac:dyDescent="0.25">
      <c r="A4" t="s">
        <v>149</v>
      </c>
      <c r="B4" t="s">
        <v>226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1</v>
      </c>
      <c r="D7" t="str">
        <f t="shared" ref="D7:D52" si="0">C7&amp;D8</f>
        <v>111111110100000110101100001010100011111001011111</v>
      </c>
    </row>
    <row r="8" spans="1:4" x14ac:dyDescent="0.25">
      <c r="A8">
        <v>2</v>
      </c>
      <c r="B8">
        <v>1</v>
      </c>
      <c r="C8" t="str">
        <f t="shared" ref="C8:C54" si="1">MID($B$2,B8,1)</f>
        <v>1</v>
      </c>
      <c r="D8" t="str">
        <f t="shared" si="0"/>
        <v>11111110100000110101100001010100011111001011111</v>
      </c>
    </row>
    <row r="9" spans="1:4" x14ac:dyDescent="0.25">
      <c r="A9">
        <v>3</v>
      </c>
      <c r="B9">
        <v>2</v>
      </c>
      <c r="C9" t="str">
        <f t="shared" si="1"/>
        <v>1</v>
      </c>
      <c r="D9" t="str">
        <f t="shared" si="0"/>
        <v>1111110100000110101100001010100011111001011111</v>
      </c>
    </row>
    <row r="10" spans="1:4" x14ac:dyDescent="0.25">
      <c r="A10">
        <v>4</v>
      </c>
      <c r="B10">
        <v>3</v>
      </c>
      <c r="C10" t="str">
        <f t="shared" si="1"/>
        <v>1</v>
      </c>
      <c r="D10" t="str">
        <f t="shared" si="0"/>
        <v>111110100000110101100001010100011111001011111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11110100000110101100001010100011111001011111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1110100000110101100001010100011111001011111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110100000110101100001010100011111001011111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10100000110101100001010100011111001011111</v>
      </c>
    </row>
    <row r="15" spans="1:4" x14ac:dyDescent="0.25">
      <c r="A15">
        <v>9</v>
      </c>
      <c r="B15">
        <v>6</v>
      </c>
      <c r="C15" t="str">
        <f t="shared" si="1"/>
        <v>0</v>
      </c>
      <c r="D15" t="str">
        <f t="shared" si="0"/>
        <v>0100000110101100001010100011111001011111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100000110101100001010100011111001011111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00000110101100001010100011111001011111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0000110101100001010100011111001011111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000110101100001010100011111001011111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00110101100001010100011111001011111</v>
      </c>
    </row>
    <row r="21" spans="1:4" x14ac:dyDescent="0.25">
      <c r="A21">
        <v>15</v>
      </c>
      <c r="B21">
        <v>10</v>
      </c>
      <c r="C21" t="str">
        <f t="shared" si="1"/>
        <v>0</v>
      </c>
      <c r="D21" t="str">
        <f t="shared" si="0"/>
        <v>0110101100001010100011111001011111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110101100001010100011111001011111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10101100001010100011111001011111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0101100001010100011111001011111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101100001010100011111001011111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01100001010100011111001011111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1100001010100011111001011111</v>
      </c>
    </row>
    <row r="28" spans="1:4" x14ac:dyDescent="0.25">
      <c r="A28">
        <v>22</v>
      </c>
      <c r="B28">
        <v>15</v>
      </c>
      <c r="C28" t="str">
        <f t="shared" si="1"/>
        <v>1</v>
      </c>
      <c r="D28" t="str">
        <f t="shared" si="0"/>
        <v>100001010100011111001011111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00001010100011111001011111</v>
      </c>
    </row>
    <row r="30" spans="1:4" x14ac:dyDescent="0.25">
      <c r="A30">
        <v>24</v>
      </c>
      <c r="B30">
        <v>17</v>
      </c>
      <c r="C30" t="str">
        <f t="shared" si="1"/>
        <v>0</v>
      </c>
      <c r="D30" t="str">
        <f t="shared" si="0"/>
        <v>0001010100011111001011111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001010100011111001011111</v>
      </c>
    </row>
    <row r="32" spans="1:4" x14ac:dyDescent="0.25">
      <c r="A32">
        <v>26</v>
      </c>
      <c r="B32">
        <v>17</v>
      </c>
      <c r="C32" t="str">
        <f t="shared" si="1"/>
        <v>0</v>
      </c>
      <c r="D32" t="str">
        <f t="shared" si="0"/>
        <v>01010100011111001011111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1010100011111001011111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010100011111001011111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10100011111001011111</v>
      </c>
    </row>
    <row r="36" spans="1:4" x14ac:dyDescent="0.25">
      <c r="A36">
        <v>30</v>
      </c>
      <c r="B36">
        <v>21</v>
      </c>
      <c r="C36" t="str">
        <f t="shared" si="1"/>
        <v>0</v>
      </c>
      <c r="D36" t="str">
        <f t="shared" si="0"/>
        <v>0100011111001011111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100011111001011111</v>
      </c>
    </row>
    <row r="38" spans="1:4" x14ac:dyDescent="0.25">
      <c r="A38">
        <v>32</v>
      </c>
      <c r="B38">
        <v>21</v>
      </c>
      <c r="C38" t="str">
        <f t="shared" si="1"/>
        <v>0</v>
      </c>
      <c r="D38" t="str">
        <f t="shared" si="0"/>
        <v>00011111001011111</v>
      </c>
    </row>
    <row r="39" spans="1:4" x14ac:dyDescent="0.25">
      <c r="A39">
        <v>33</v>
      </c>
      <c r="B39">
        <v>22</v>
      </c>
      <c r="C39" t="str">
        <f t="shared" si="1"/>
        <v>0</v>
      </c>
      <c r="D39" t="str">
        <f t="shared" si="0"/>
        <v>0011111001011111</v>
      </c>
    </row>
    <row r="40" spans="1:4" x14ac:dyDescent="0.25">
      <c r="A40">
        <v>34</v>
      </c>
      <c r="B40">
        <v>23</v>
      </c>
      <c r="C40" t="str">
        <f t="shared" si="1"/>
        <v>0</v>
      </c>
      <c r="D40" t="str">
        <f t="shared" si="0"/>
        <v>011111001011111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11111001011111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1111001011111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111001011111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11001011111</v>
      </c>
    </row>
    <row r="45" spans="1:4" x14ac:dyDescent="0.25">
      <c r="A45">
        <v>39</v>
      </c>
      <c r="B45">
        <v>26</v>
      </c>
      <c r="C45" t="str">
        <f t="shared" si="1"/>
        <v>1</v>
      </c>
      <c r="D45" t="str">
        <f t="shared" si="0"/>
        <v>1001011111</v>
      </c>
    </row>
    <row r="46" spans="1:4" x14ac:dyDescent="0.25">
      <c r="A46">
        <v>40</v>
      </c>
      <c r="B46">
        <v>27</v>
      </c>
      <c r="C46" t="str">
        <f t="shared" si="1"/>
        <v>0</v>
      </c>
      <c r="D46" t="str">
        <f t="shared" si="0"/>
        <v>001011111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01011111</v>
      </c>
    </row>
    <row r="48" spans="1:4" x14ac:dyDescent="0.25">
      <c r="A48">
        <v>42</v>
      </c>
      <c r="B48">
        <v>29</v>
      </c>
      <c r="C48" t="str">
        <f t="shared" si="1"/>
        <v>1</v>
      </c>
      <c r="D48" t="str">
        <f t="shared" si="0"/>
        <v>1011111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011111</v>
      </c>
    </row>
    <row r="50" spans="1:4" x14ac:dyDescent="0.25">
      <c r="A50">
        <v>44</v>
      </c>
      <c r="B50">
        <v>29</v>
      </c>
      <c r="C50" t="str">
        <f t="shared" si="1"/>
        <v>1</v>
      </c>
      <c r="D50" t="str">
        <f t="shared" si="0"/>
        <v>11111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1111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111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11</v>
      </c>
    </row>
    <row r="54" spans="1:4" x14ac:dyDescent="0.25">
      <c r="A54">
        <v>48</v>
      </c>
      <c r="B54">
        <v>1</v>
      </c>
      <c r="C54" t="str">
        <f t="shared" si="1"/>
        <v>1</v>
      </c>
    </row>
    <row r="56" spans="1:4" x14ac:dyDescent="0.25">
      <c r="A56" t="s">
        <v>312</v>
      </c>
      <c r="B56" t="str">
        <f>D7</f>
        <v>111111110100000110101100001010100011111001011111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11111111</v>
      </c>
      <c r="C59" s="7" t="str">
        <f t="shared" ref="C59:C64" si="2">BIN2HEX(B59,2)</f>
        <v>FF</v>
      </c>
    </row>
    <row r="60" spans="1:4" x14ac:dyDescent="0.25">
      <c r="A60" s="7">
        <v>2</v>
      </c>
      <c r="B60" s="7" t="str">
        <f t="shared" ref="B60:B64" si="3">MID($B$56,(A60-1)*8+1,8)</f>
        <v>01000001</v>
      </c>
      <c r="C60" s="7" t="str">
        <f t="shared" si="2"/>
        <v>41</v>
      </c>
    </row>
    <row r="61" spans="1:4" x14ac:dyDescent="0.25">
      <c r="A61" s="7">
        <v>3</v>
      </c>
      <c r="B61" s="7" t="str">
        <f t="shared" si="3"/>
        <v>10101100</v>
      </c>
      <c r="C61" s="7" t="str">
        <f t="shared" si="2"/>
        <v>AC</v>
      </c>
    </row>
    <row r="62" spans="1:4" x14ac:dyDescent="0.25">
      <c r="A62" s="7">
        <v>4</v>
      </c>
      <c r="B62" s="7" t="str">
        <f t="shared" si="3"/>
        <v>00101010</v>
      </c>
      <c r="C62" s="7" t="str">
        <f t="shared" si="2"/>
        <v>2A</v>
      </c>
    </row>
    <row r="63" spans="1:4" x14ac:dyDescent="0.25">
      <c r="A63" s="7">
        <v>5</v>
      </c>
      <c r="B63" s="7" t="str">
        <f t="shared" si="3"/>
        <v>00111110</v>
      </c>
      <c r="C63" s="7" t="str">
        <f t="shared" si="2"/>
        <v>3E</v>
      </c>
    </row>
    <row r="64" spans="1:4" x14ac:dyDescent="0.25">
      <c r="A64" s="7">
        <v>6</v>
      </c>
      <c r="B64" s="7" t="str">
        <f t="shared" si="3"/>
        <v>01011111</v>
      </c>
      <c r="C64" s="7" t="str">
        <f t="shared" si="2"/>
        <v>5F</v>
      </c>
    </row>
    <row r="65" spans="1:10" x14ac:dyDescent="0.25">
      <c r="A65" t="s">
        <v>311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10010101</v>
      </c>
      <c r="C68" s="7" t="str">
        <f>BIN2HEX(B68,2)</f>
        <v>95</v>
      </c>
      <c r="D68">
        <f>BIN2DEC(B68)</f>
        <v>149</v>
      </c>
      <c r="G68" s="7">
        <v>1</v>
      </c>
      <c r="H68" s="7" t="str">
        <f>MID($B$56,(G68-1)*8+1,8)</f>
        <v>11111111</v>
      </c>
      <c r="I68" s="7" t="str">
        <f>BIN2HEX(H68,2)</f>
        <v>FF</v>
      </c>
      <c r="J68">
        <f>BIN2DEC(H68)</f>
        <v>255</v>
      </c>
    </row>
    <row r="69" spans="1:10" x14ac:dyDescent="0.25">
      <c r="A69" s="7">
        <v>2</v>
      </c>
      <c r="B69" s="7" t="str">
        <f t="shared" ref="B69:B73" si="4">MID($D$1,(A69-1)*8+1,8)</f>
        <v>11000101</v>
      </c>
      <c r="C69" s="7" t="str">
        <f t="shared" ref="C69:C73" si="5">BIN2HEX(B69,2)</f>
        <v>C5</v>
      </c>
      <c r="D69">
        <f t="shared" ref="D69:D73" si="6">BIN2DEC(B69)</f>
        <v>197</v>
      </c>
      <c r="G69" s="7">
        <v>2</v>
      </c>
      <c r="H69" s="7" t="str">
        <f t="shared" ref="H69:H73" si="7">MID($B$56,(G69-1)*8+1,8)</f>
        <v>01000001</v>
      </c>
      <c r="I69" s="7" t="str">
        <f t="shared" ref="I69:I73" si="8">BIN2HEX(H69,2)</f>
        <v>41</v>
      </c>
      <c r="J69">
        <f t="shared" ref="J69:J73" si="9">BIN2DEC(H69)</f>
        <v>65</v>
      </c>
    </row>
    <row r="70" spans="1:10" x14ac:dyDescent="0.25">
      <c r="A70" s="7">
        <v>3</v>
      </c>
      <c r="B70" s="7" t="str">
        <f t="shared" si="4"/>
        <v>11010001</v>
      </c>
      <c r="C70" s="7" t="str">
        <f t="shared" si="5"/>
        <v>D1</v>
      </c>
      <c r="D70">
        <f t="shared" si="6"/>
        <v>209</v>
      </c>
      <c r="G70" s="7">
        <v>3</v>
      </c>
      <c r="H70" s="7" t="str">
        <f t="shared" si="7"/>
        <v>10101100</v>
      </c>
      <c r="I70" s="7" t="str">
        <f t="shared" si="8"/>
        <v>AC</v>
      </c>
      <c r="J70">
        <f t="shared" si="9"/>
        <v>172</v>
      </c>
    </row>
    <row r="71" spans="1:10" x14ac:dyDescent="0.25">
      <c r="A71" s="7">
        <v>4</v>
      </c>
      <c r="B71" s="7" t="str">
        <f t="shared" si="4"/>
        <v>01001011</v>
      </c>
      <c r="C71" s="7" t="str">
        <f t="shared" si="5"/>
        <v>4B</v>
      </c>
      <c r="D71">
        <f t="shared" si="6"/>
        <v>75</v>
      </c>
      <c r="G71" s="7">
        <v>4</v>
      </c>
      <c r="H71" s="7" t="str">
        <f t="shared" si="7"/>
        <v>00101010</v>
      </c>
      <c r="I71" s="7" t="str">
        <f t="shared" si="8"/>
        <v>2A</v>
      </c>
      <c r="J71">
        <f t="shared" si="9"/>
        <v>42</v>
      </c>
    </row>
    <row r="72" spans="1:10" x14ac:dyDescent="0.25">
      <c r="A72" s="7">
        <v>5</v>
      </c>
      <c r="B72" s="7" t="str">
        <f t="shared" si="4"/>
        <v>10000000</v>
      </c>
      <c r="C72" s="7" t="str">
        <f t="shared" si="5"/>
        <v>80</v>
      </c>
      <c r="D72">
        <f t="shared" si="6"/>
        <v>128</v>
      </c>
      <c r="G72" s="7">
        <v>5</v>
      </c>
      <c r="H72" s="7" t="str">
        <f t="shared" si="7"/>
        <v>00111110</v>
      </c>
      <c r="I72" s="7" t="str">
        <f t="shared" si="8"/>
        <v>3E</v>
      </c>
      <c r="J72">
        <f t="shared" si="9"/>
        <v>62</v>
      </c>
    </row>
    <row r="73" spans="1:10" x14ac:dyDescent="0.25">
      <c r="A73" s="7">
        <v>6</v>
      </c>
      <c r="B73" s="7" t="str">
        <f t="shared" si="4"/>
        <v>11111101</v>
      </c>
      <c r="C73" s="7" t="str">
        <f t="shared" si="5"/>
        <v>FD</v>
      </c>
      <c r="D73">
        <f t="shared" si="6"/>
        <v>253</v>
      </c>
      <c r="G73" s="7">
        <v>6</v>
      </c>
      <c r="H73" s="7" t="str">
        <f t="shared" si="7"/>
        <v>01011111</v>
      </c>
      <c r="I73" s="7" t="str">
        <f t="shared" si="8"/>
        <v>5F</v>
      </c>
      <c r="J73">
        <f t="shared" si="9"/>
        <v>95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106</v>
      </c>
      <c r="C76" s="10" t="str">
        <f>DEC2BIN(B76,8)</f>
        <v>01101010</v>
      </c>
      <c r="D76" s="10" t="str">
        <f>DEC2HEX(B76,2)</f>
        <v>6A</v>
      </c>
    </row>
    <row r="77" spans="1:10" x14ac:dyDescent="0.25">
      <c r="A77" s="11">
        <v>2</v>
      </c>
      <c r="B77" s="10">
        <f t="shared" ref="B77:B81" si="10">_xlfn.BITXOR(D69,J69)</f>
        <v>132</v>
      </c>
      <c r="C77" s="10" t="str">
        <f t="shared" ref="C77:C81" si="11">DEC2BIN(B77,8)</f>
        <v>10000100</v>
      </c>
      <c r="D77" s="10" t="str">
        <f t="shared" ref="D77:D81" si="12">DEC2HEX(B77,2)</f>
        <v>84</v>
      </c>
    </row>
    <row r="78" spans="1:10" x14ac:dyDescent="0.25">
      <c r="A78" s="11">
        <v>3</v>
      </c>
      <c r="B78" s="10">
        <f t="shared" si="10"/>
        <v>125</v>
      </c>
      <c r="C78" s="10" t="str">
        <f t="shared" si="11"/>
        <v>01111101</v>
      </c>
      <c r="D78" s="10" t="str">
        <f t="shared" si="12"/>
        <v>7D</v>
      </c>
    </row>
    <row r="79" spans="1:10" x14ac:dyDescent="0.25">
      <c r="A79" s="11">
        <v>4</v>
      </c>
      <c r="B79" s="10">
        <f t="shared" si="10"/>
        <v>97</v>
      </c>
      <c r="C79" s="10" t="str">
        <f t="shared" si="11"/>
        <v>01100001</v>
      </c>
      <c r="D79" s="10" t="str">
        <f t="shared" si="12"/>
        <v>61</v>
      </c>
    </row>
    <row r="80" spans="1:10" x14ac:dyDescent="0.25">
      <c r="A80" s="11">
        <v>5</v>
      </c>
      <c r="B80" s="10">
        <f t="shared" si="10"/>
        <v>190</v>
      </c>
      <c r="C80" s="10" t="str">
        <f t="shared" si="11"/>
        <v>10111110</v>
      </c>
      <c r="D80" s="10" t="str">
        <f t="shared" si="12"/>
        <v>BE</v>
      </c>
    </row>
    <row r="81" spans="1:10" x14ac:dyDescent="0.25">
      <c r="A81" s="11">
        <v>6</v>
      </c>
      <c r="B81" s="10">
        <f t="shared" si="10"/>
        <v>162</v>
      </c>
      <c r="C81" s="10" t="str">
        <f t="shared" si="11"/>
        <v>10100010</v>
      </c>
      <c r="D81" s="10" t="str">
        <f t="shared" si="12"/>
        <v>A2</v>
      </c>
    </row>
    <row r="83" spans="1:10" ht="21" x14ac:dyDescent="0.35">
      <c r="B83" t="s">
        <v>310</v>
      </c>
      <c r="D83" s="8" t="str">
        <f>C76&amp;C77&amp;C78&amp;C79&amp;C80&amp;C81</f>
        <v>011010101000010001111101011000011011111010100010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011010</v>
      </c>
      <c r="C86" s="10" t="str">
        <f>LEFT(B86,1)&amp;RIGHT(B86,1)</f>
        <v>00</v>
      </c>
      <c r="D86" s="10" t="str">
        <f>MID(B86,2,4)</f>
        <v>1101</v>
      </c>
      <c r="E86" s="10" t="str">
        <f>C86&amp;D86</f>
        <v>001101</v>
      </c>
      <c r="F86" s="10">
        <f>BIN2DEC(E86)</f>
        <v>13</v>
      </c>
      <c r="G86" s="10"/>
      <c r="H86" s="10">
        <f>VLOOKUP(F86,$A$95:$I$158,2,TRUE)</f>
        <v>9</v>
      </c>
      <c r="I86" s="10" t="str">
        <f>DEC2BIN(H86,4)</f>
        <v>1001</v>
      </c>
      <c r="J86" t="str">
        <f t="shared" ref="J86:J90" si="13">I86&amp;J87</f>
        <v>10011010001000101101101101011011</v>
      </c>
    </row>
    <row r="87" spans="1:10" x14ac:dyDescent="0.25">
      <c r="A87" s="10">
        <v>2</v>
      </c>
      <c r="B87" s="10" t="str">
        <f t="shared" ref="B87:B93" si="14">MID($D$83,(A87-1)*6+1,6)</f>
        <v>101000</v>
      </c>
      <c r="C87" s="10" t="str">
        <f t="shared" ref="C87:C93" si="15">LEFT(B87,1)&amp;RIGHT(B87,1)</f>
        <v>10</v>
      </c>
      <c r="D87" s="10" t="str">
        <f t="shared" ref="D87:D93" si="16">MID(B87,2,4)</f>
        <v>0100</v>
      </c>
      <c r="E87" s="10" t="str">
        <f t="shared" ref="E87:E93" si="17">C87&amp;D87</f>
        <v>100100</v>
      </c>
      <c r="F87" s="10">
        <f t="shared" ref="F87:F93" si="18">BIN2DEC(E87)</f>
        <v>36</v>
      </c>
      <c r="G87" s="10"/>
      <c r="H87" s="10">
        <f>VLOOKUP(F87,$A$95:$I$158,3,TRUE)</f>
        <v>10</v>
      </c>
      <c r="I87" s="10" t="str">
        <f t="shared" ref="I87:I93" si="19">DEC2BIN(H87,4)</f>
        <v>1010</v>
      </c>
      <c r="J87" t="str">
        <f t="shared" si="13"/>
        <v>1010001000101101101101011011</v>
      </c>
    </row>
    <row r="88" spans="1:10" x14ac:dyDescent="0.25">
      <c r="A88" s="10">
        <v>3</v>
      </c>
      <c r="B88" s="10" t="str">
        <f t="shared" si="14"/>
        <v>010001</v>
      </c>
      <c r="C88" s="10" t="str">
        <f t="shared" si="15"/>
        <v>01</v>
      </c>
      <c r="D88" s="10" t="str">
        <f t="shared" si="16"/>
        <v>1000</v>
      </c>
      <c r="E88" s="10" t="str">
        <f t="shared" si="17"/>
        <v>011000</v>
      </c>
      <c r="F88" s="10">
        <f t="shared" si="18"/>
        <v>24</v>
      </c>
      <c r="G88" s="10"/>
      <c r="H88" s="10">
        <f>VLOOKUP(F88,$A$95:$I$158,4,TRUE)</f>
        <v>2</v>
      </c>
      <c r="I88" s="10" t="str">
        <f t="shared" si="19"/>
        <v>0010</v>
      </c>
      <c r="J88" t="str">
        <f t="shared" si="13"/>
        <v>001000101101101101011011</v>
      </c>
    </row>
    <row r="89" spans="1:10" x14ac:dyDescent="0.25">
      <c r="A89" s="10">
        <v>4</v>
      </c>
      <c r="B89" s="10" t="str">
        <f t="shared" si="14"/>
        <v>111101</v>
      </c>
      <c r="C89" s="10" t="str">
        <f t="shared" si="15"/>
        <v>11</v>
      </c>
      <c r="D89" s="10" t="str">
        <f t="shared" si="16"/>
        <v>1110</v>
      </c>
      <c r="E89" s="10" t="str">
        <f t="shared" si="17"/>
        <v>111110</v>
      </c>
      <c r="F89" s="10">
        <f t="shared" si="18"/>
        <v>62</v>
      </c>
      <c r="G89" s="10"/>
      <c r="H89" s="10">
        <f>VLOOKUP(F89,$A$95:$I$158,5,TRUE)</f>
        <v>2</v>
      </c>
      <c r="I89" s="10" t="str">
        <f t="shared" si="19"/>
        <v>0010</v>
      </c>
      <c r="J89" t="str">
        <f t="shared" si="13"/>
        <v>00101101101101011011</v>
      </c>
    </row>
    <row r="90" spans="1:10" x14ac:dyDescent="0.25">
      <c r="A90" s="10">
        <v>5</v>
      </c>
      <c r="B90" s="10" t="str">
        <f t="shared" si="14"/>
        <v>011000</v>
      </c>
      <c r="C90" s="10" t="str">
        <f t="shared" si="15"/>
        <v>00</v>
      </c>
      <c r="D90" s="10" t="str">
        <f t="shared" si="16"/>
        <v>1100</v>
      </c>
      <c r="E90" s="10" t="str">
        <f t="shared" si="17"/>
        <v>001100</v>
      </c>
      <c r="F90" s="10">
        <f t="shared" si="18"/>
        <v>12</v>
      </c>
      <c r="G90" s="10"/>
      <c r="H90" s="10">
        <f>VLOOKUP(F90,$A$95:$I$158,6,TRUE)</f>
        <v>13</v>
      </c>
      <c r="I90" s="10" t="str">
        <f t="shared" si="19"/>
        <v>1101</v>
      </c>
      <c r="J90" t="str">
        <f t="shared" si="13"/>
        <v>1101101101011011</v>
      </c>
    </row>
    <row r="91" spans="1:10" x14ac:dyDescent="0.25">
      <c r="A91" s="10">
        <v>6</v>
      </c>
      <c r="B91" s="10" t="str">
        <f t="shared" si="14"/>
        <v>011011</v>
      </c>
      <c r="C91" s="10" t="str">
        <f t="shared" si="15"/>
        <v>01</v>
      </c>
      <c r="D91" s="10" t="str">
        <f t="shared" si="16"/>
        <v>1101</v>
      </c>
      <c r="E91" s="10" t="str">
        <f t="shared" si="17"/>
        <v>011101</v>
      </c>
      <c r="F91" s="10">
        <f t="shared" si="18"/>
        <v>29</v>
      </c>
      <c r="G91" s="10"/>
      <c r="H91" s="10">
        <f>VLOOKUP(F91,$A$95:$I$158,7,TRUE)</f>
        <v>11</v>
      </c>
      <c r="I91" s="10" t="str">
        <f t="shared" si="19"/>
        <v>1011</v>
      </c>
      <c r="J91" t="str">
        <f>I91&amp;J92</f>
        <v>101101011011</v>
      </c>
    </row>
    <row r="92" spans="1:10" x14ac:dyDescent="0.25">
      <c r="A92" s="10">
        <v>7</v>
      </c>
      <c r="B92" s="10" t="str">
        <f t="shared" si="14"/>
        <v>111010</v>
      </c>
      <c r="C92" s="10" t="str">
        <f t="shared" si="15"/>
        <v>10</v>
      </c>
      <c r="D92" s="10" t="str">
        <f t="shared" si="16"/>
        <v>1101</v>
      </c>
      <c r="E92" s="10" t="str">
        <f t="shared" si="17"/>
        <v>101101</v>
      </c>
      <c r="F92" s="10">
        <f t="shared" si="18"/>
        <v>45</v>
      </c>
      <c r="G92" s="10"/>
      <c r="H92" s="10">
        <f>VLOOKUP(F92,$A$95:$I$158,8,TRUE)</f>
        <v>5</v>
      </c>
      <c r="I92" s="10" t="str">
        <f t="shared" si="19"/>
        <v>0101</v>
      </c>
      <c r="J92" t="str">
        <f>I92&amp;I93</f>
        <v>01011011</v>
      </c>
    </row>
    <row r="93" spans="1:10" x14ac:dyDescent="0.25">
      <c r="A93" s="10">
        <v>8</v>
      </c>
      <c r="B93" s="10" t="str">
        <f t="shared" si="14"/>
        <v>100010</v>
      </c>
      <c r="C93" s="10" t="str">
        <f t="shared" si="15"/>
        <v>10</v>
      </c>
      <c r="D93" s="10" t="str">
        <f t="shared" si="16"/>
        <v>0001</v>
      </c>
      <c r="E93" s="10" t="str">
        <f t="shared" si="17"/>
        <v>100001</v>
      </c>
      <c r="F93" s="10">
        <f t="shared" si="18"/>
        <v>33</v>
      </c>
      <c r="G93" s="10"/>
      <c r="H93" s="10">
        <f>VLOOKUP(F93,$A$95:$I$158,9,TRUE)</f>
        <v>11</v>
      </c>
      <c r="I93" s="10" t="str">
        <f t="shared" si="19"/>
        <v>1011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10011010001000101101101101011011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0</v>
      </c>
      <c r="D165" t="str">
        <f t="shared" ref="D165:D193" si="20">C165&amp;D166</f>
        <v>01111011111111100010100000000110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1111011111111100010100000000110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111011111111100010100000000110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11011111111100010100000000110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1011111111100010100000000110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011111111100010100000000110</v>
      </c>
    </row>
    <row r="171" spans="1:6" x14ac:dyDescent="0.25">
      <c r="A171">
        <v>7</v>
      </c>
      <c r="B171">
        <v>28</v>
      </c>
      <c r="C171" t="str">
        <f t="shared" si="21"/>
        <v>1</v>
      </c>
      <c r="D171" t="str">
        <f t="shared" si="20"/>
        <v>11111111100010100000000110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1111111100010100000000110</v>
      </c>
    </row>
    <row r="173" spans="1:6" x14ac:dyDescent="0.25">
      <c r="A173">
        <v>9</v>
      </c>
      <c r="B173">
        <v>1</v>
      </c>
      <c r="C173" t="str">
        <f t="shared" si="21"/>
        <v>1</v>
      </c>
      <c r="D173" t="str">
        <f t="shared" si="20"/>
        <v>111111100010100000000110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11111100010100000000110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1111100010100000000110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111100010100000000110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11100010100000000110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1100010100000000110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100010100000000110</v>
      </c>
    </row>
    <row r="180" spans="1:4" x14ac:dyDescent="0.25">
      <c r="A180">
        <v>16</v>
      </c>
      <c r="B180">
        <v>10</v>
      </c>
      <c r="C180" t="str">
        <f t="shared" si="21"/>
        <v>0</v>
      </c>
      <c r="D180" t="str">
        <f t="shared" si="20"/>
        <v>00010100000000110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0010100000000110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010100000000110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10100000000110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0100000000110</v>
      </c>
    </row>
    <row r="185" spans="1:4" x14ac:dyDescent="0.25">
      <c r="A185">
        <v>21</v>
      </c>
      <c r="B185">
        <v>32</v>
      </c>
      <c r="C185" t="str">
        <f t="shared" si="21"/>
        <v>1</v>
      </c>
      <c r="D185" t="str">
        <f t="shared" si="20"/>
        <v>100000000110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00000000110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0000000110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000000110</v>
      </c>
    </row>
    <row r="189" spans="1:4" x14ac:dyDescent="0.25">
      <c r="A189">
        <v>25</v>
      </c>
      <c r="B189">
        <v>19</v>
      </c>
      <c r="C189" t="str">
        <f t="shared" si="21"/>
        <v>0</v>
      </c>
      <c r="D189" t="str">
        <f t="shared" si="20"/>
        <v>00000110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0000110</v>
      </c>
    </row>
    <row r="191" spans="1:4" x14ac:dyDescent="0.25">
      <c r="A191">
        <v>27</v>
      </c>
      <c r="B191">
        <v>30</v>
      </c>
      <c r="C191" t="str">
        <f t="shared" si="21"/>
        <v>0</v>
      </c>
      <c r="D191" t="str">
        <f t="shared" si="20"/>
        <v>000110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00110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0110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110</v>
      </c>
    </row>
    <row r="195" spans="1:11" x14ac:dyDescent="0.25">
      <c r="A195">
        <v>31</v>
      </c>
      <c r="B195">
        <v>4</v>
      </c>
      <c r="C195" t="str">
        <f t="shared" si="21"/>
        <v>1</v>
      </c>
      <c r="D195" t="str">
        <f>C195&amp;C196</f>
        <v>10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309</v>
      </c>
      <c r="B198" s="16" t="str">
        <f>D165</f>
        <v>01111011111111100010100000000110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01111011</v>
      </c>
      <c r="J199" s="7" t="str">
        <f>BIN2HEX(I199,2)</f>
        <v>7B</v>
      </c>
      <c r="K199">
        <f>BIN2DEC(I199)</f>
        <v>123</v>
      </c>
    </row>
    <row r="200" spans="1:11" x14ac:dyDescent="0.25">
      <c r="H200" s="7">
        <v>2</v>
      </c>
      <c r="I200" s="7" t="str">
        <f t="shared" ref="I200:I202" si="22">MID($B$198,(H200-1)*8+1,8)</f>
        <v>11111110</v>
      </c>
      <c r="J200" s="7" t="str">
        <f t="shared" ref="J200:J202" si="23">BIN2HEX(I200,2)</f>
        <v>FE</v>
      </c>
      <c r="K200">
        <f t="shared" ref="K200:K202" si="24">BIN2DEC(I200)</f>
        <v>254</v>
      </c>
    </row>
    <row r="201" spans="1:11" x14ac:dyDescent="0.25">
      <c r="H201" s="7">
        <v>3</v>
      </c>
      <c r="I201" s="7" t="str">
        <f t="shared" si="22"/>
        <v>00101000</v>
      </c>
      <c r="J201" s="7" t="str">
        <f t="shared" si="23"/>
        <v>28</v>
      </c>
      <c r="K201">
        <f t="shared" si="24"/>
        <v>40</v>
      </c>
    </row>
    <row r="202" spans="1:11" x14ac:dyDescent="0.25">
      <c r="H202" s="7">
        <v>4</v>
      </c>
      <c r="I202" s="7" t="str">
        <f t="shared" si="22"/>
        <v>00000110</v>
      </c>
      <c r="J202" s="7" t="str">
        <f t="shared" si="23"/>
        <v>06</v>
      </c>
      <c r="K202">
        <f t="shared" si="24"/>
        <v>6</v>
      </c>
    </row>
    <row r="205" spans="1:11" ht="18.75" x14ac:dyDescent="0.3">
      <c r="A205" t="s">
        <v>152</v>
      </c>
      <c r="B205" s="16" t="str">
        <f>B4</f>
        <v>01000100100001111110111010100000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01000100</v>
      </c>
      <c r="J206" s="7" t="str">
        <f>BIN2HEX(I206,2)</f>
        <v>44</v>
      </c>
      <c r="K206">
        <f>BIN2DEC(I206)</f>
        <v>68</v>
      </c>
    </row>
    <row r="207" spans="1:11" x14ac:dyDescent="0.25">
      <c r="H207" s="7">
        <v>2</v>
      </c>
      <c r="I207" s="7" t="str">
        <f t="shared" ref="I207:I209" si="25">MID($B$205,(H207-1)*8+1,8)</f>
        <v>10000111</v>
      </c>
      <c r="J207" s="7" t="str">
        <f t="shared" ref="J207:J209" si="26">BIN2HEX(I207,2)</f>
        <v>87</v>
      </c>
      <c r="K207">
        <f t="shared" ref="K207:K209" si="27">BIN2DEC(I207)</f>
        <v>135</v>
      </c>
    </row>
    <row r="208" spans="1:11" x14ac:dyDescent="0.25">
      <c r="H208" s="7">
        <v>3</v>
      </c>
      <c r="I208" s="7" t="str">
        <f t="shared" si="25"/>
        <v>11101110</v>
      </c>
      <c r="J208" s="7" t="str">
        <f t="shared" si="26"/>
        <v>EE</v>
      </c>
      <c r="K208">
        <f t="shared" si="27"/>
        <v>238</v>
      </c>
    </row>
    <row r="209" spans="1:11" x14ac:dyDescent="0.25">
      <c r="H209" s="7">
        <v>4</v>
      </c>
      <c r="I209" s="7" t="str">
        <f t="shared" si="25"/>
        <v>10100000</v>
      </c>
      <c r="J209" s="7" t="str">
        <f t="shared" si="26"/>
        <v>A0</v>
      </c>
      <c r="K209">
        <f t="shared" si="27"/>
        <v>160</v>
      </c>
    </row>
    <row r="211" spans="1:11" x14ac:dyDescent="0.25">
      <c r="A211" t="s">
        <v>308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63</v>
      </c>
      <c r="D213" s="7" t="str">
        <f>DEC2HEX(C213)</f>
        <v>3F</v>
      </c>
      <c r="E213" s="7" t="str">
        <f>DEC2BIN(C213,8)</f>
        <v>00111111</v>
      </c>
    </row>
    <row r="214" spans="1:11" x14ac:dyDescent="0.25">
      <c r="B214" s="7">
        <v>2</v>
      </c>
      <c r="C214" s="7">
        <f t="shared" ref="C214:C216" si="28">_xlfn.BITXOR(K200,K207)</f>
        <v>121</v>
      </c>
      <c r="D214" s="7" t="str">
        <f t="shared" ref="D214:D216" si="29">DEC2HEX(C214)</f>
        <v>79</v>
      </c>
      <c r="E214" s="7" t="str">
        <f t="shared" ref="E214:E216" si="30">DEC2BIN(C214,8)</f>
        <v>01111001</v>
      </c>
    </row>
    <row r="215" spans="1:11" x14ac:dyDescent="0.25">
      <c r="B215" s="7">
        <v>3</v>
      </c>
      <c r="C215" s="7">
        <f t="shared" si="28"/>
        <v>198</v>
      </c>
      <c r="D215" s="7" t="str">
        <f t="shared" si="29"/>
        <v>C6</v>
      </c>
      <c r="E215" s="7" t="str">
        <f t="shared" si="30"/>
        <v>11000110</v>
      </c>
    </row>
    <row r="216" spans="1:11" x14ac:dyDescent="0.25">
      <c r="B216" s="7">
        <v>4</v>
      </c>
      <c r="C216" s="7">
        <f t="shared" si="28"/>
        <v>166</v>
      </c>
      <c r="D216" s="7" t="str">
        <f t="shared" si="29"/>
        <v>A6</v>
      </c>
      <c r="E216" s="7" t="str">
        <f t="shared" si="30"/>
        <v>10100110</v>
      </c>
    </row>
    <row r="219" spans="1:11" ht="21" x14ac:dyDescent="0.35">
      <c r="A219" t="s">
        <v>153</v>
      </c>
      <c r="B219" s="8" t="str">
        <f>E213&amp;E214&amp;E215&amp;E216</f>
        <v>00111111011110011100011010100110</v>
      </c>
      <c r="C219" s="8"/>
      <c r="D219" s="8"/>
      <c r="E219" s="8"/>
    </row>
    <row r="220" spans="1:11" x14ac:dyDescent="0.25">
      <c r="A220" t="s">
        <v>154</v>
      </c>
    </row>
    <row r="221" spans="1:11" ht="21" x14ac:dyDescent="0.35">
      <c r="A221" t="s">
        <v>155</v>
      </c>
      <c r="B221" s="8" t="str">
        <f>B2</f>
        <v>11111010001101100101000111001111</v>
      </c>
      <c r="C221" s="8"/>
      <c r="D221" s="8"/>
      <c r="E221" s="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8310-374E-4608-A5E8-D25B60D8B1B3}">
  <dimension ref="A1:O54"/>
  <sheetViews>
    <sheetView workbookViewId="0">
      <selection activeCell="B6" sqref="B6"/>
    </sheetView>
  </sheetViews>
  <sheetFormatPr defaultRowHeight="15" x14ac:dyDescent="0.25"/>
  <sheetData>
    <row r="1" spans="1:15" ht="18.75" x14ac:dyDescent="0.3">
      <c r="A1" t="s">
        <v>150</v>
      </c>
      <c r="B1" s="22" t="s">
        <v>201</v>
      </c>
      <c r="I1" t="s">
        <v>151</v>
      </c>
      <c r="J1" s="22" t="s">
        <v>202</v>
      </c>
    </row>
    <row r="2" spans="1:15" ht="18.75" x14ac:dyDescent="0.3">
      <c r="A2" t="s">
        <v>156</v>
      </c>
      <c r="B2" s="22" t="s">
        <v>205</v>
      </c>
      <c r="I2" t="s">
        <v>157</v>
      </c>
      <c r="J2" s="22" t="s">
        <v>206</v>
      </c>
    </row>
    <row r="4" spans="1:15" x14ac:dyDescent="0.25">
      <c r="A4" t="s">
        <v>313</v>
      </c>
      <c r="D4" s="1" t="str">
        <f>D7</f>
        <v>010101110100001110110111100000111101110110001101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5" x14ac:dyDescent="0.25">
      <c r="B5" t="s">
        <v>314</v>
      </c>
      <c r="C5" s="6" t="s">
        <v>207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01010111</v>
      </c>
      <c r="L5" s="7" t="str">
        <f>BIN2HEX(K5,2)</f>
        <v>57</v>
      </c>
    </row>
    <row r="6" spans="1:15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01000011</v>
      </c>
      <c r="L6" s="7" t="str">
        <f t="shared" ref="L6:L10" si="1">BIN2HEX(K6,2)</f>
        <v>43</v>
      </c>
    </row>
    <row r="7" spans="1:15" x14ac:dyDescent="0.25">
      <c r="A7">
        <v>1</v>
      </c>
      <c r="B7">
        <v>14</v>
      </c>
      <c r="C7" t="str">
        <f t="shared" ref="C7:C54" si="2">MID($C$5,B7,1)</f>
        <v>0</v>
      </c>
      <c r="D7" t="str">
        <f t="shared" ref="D7:D51" si="3">C7&amp;D8</f>
        <v>010101110100001110110111100000111101110110001101</v>
      </c>
      <c r="J7" s="7">
        <v>3</v>
      </c>
      <c r="K7" s="7" t="str">
        <f t="shared" si="0"/>
        <v>10110111</v>
      </c>
      <c r="L7" s="7" t="str">
        <f t="shared" si="1"/>
        <v>B7</v>
      </c>
    </row>
    <row r="8" spans="1:15" x14ac:dyDescent="0.25">
      <c r="A8">
        <v>2</v>
      </c>
      <c r="B8">
        <v>17</v>
      </c>
      <c r="C8" t="str">
        <f t="shared" si="2"/>
        <v>1</v>
      </c>
      <c r="D8" t="str">
        <f t="shared" si="3"/>
        <v>10101110100001110110111100000111101110110001101</v>
      </c>
      <c r="J8" s="7">
        <v>4</v>
      </c>
      <c r="K8" s="7" t="str">
        <f t="shared" si="0"/>
        <v>10000011</v>
      </c>
      <c r="L8" s="7" t="str">
        <f t="shared" si="1"/>
        <v>83</v>
      </c>
      <c r="O8" s="20"/>
    </row>
    <row r="9" spans="1:15" x14ac:dyDescent="0.25">
      <c r="A9">
        <v>3</v>
      </c>
      <c r="B9">
        <v>11</v>
      </c>
      <c r="C9" t="str">
        <f t="shared" si="2"/>
        <v>0</v>
      </c>
      <c r="D9" t="str">
        <f t="shared" si="3"/>
        <v>0101110100001110110111100000111101110110001101</v>
      </c>
      <c r="J9" s="7">
        <v>5</v>
      </c>
      <c r="K9" s="7" t="str">
        <f t="shared" si="0"/>
        <v>11011101</v>
      </c>
      <c r="L9" s="7" t="str">
        <f t="shared" si="1"/>
        <v>DD</v>
      </c>
      <c r="O9" s="20"/>
    </row>
    <row r="10" spans="1:15" x14ac:dyDescent="0.25">
      <c r="A10">
        <v>4</v>
      </c>
      <c r="B10">
        <v>24</v>
      </c>
      <c r="C10" t="str">
        <f t="shared" si="2"/>
        <v>1</v>
      </c>
      <c r="D10" t="str">
        <f t="shared" si="3"/>
        <v>101110100001110110111100000111101110110001101</v>
      </c>
      <c r="J10" s="7">
        <v>6</v>
      </c>
      <c r="K10" s="7" t="str">
        <f>MID($D$4,(J10-1)*8+1,8)</f>
        <v>10001101</v>
      </c>
      <c r="L10" s="7" t="str">
        <f t="shared" si="1"/>
        <v>8D</v>
      </c>
    </row>
    <row r="11" spans="1:15" x14ac:dyDescent="0.25">
      <c r="A11">
        <v>5</v>
      </c>
      <c r="B11">
        <v>1</v>
      </c>
      <c r="C11" t="str">
        <f t="shared" si="2"/>
        <v>0</v>
      </c>
      <c r="D11" t="str">
        <f t="shared" si="3"/>
        <v>01110100001110110111100000111101110110001101</v>
      </c>
    </row>
    <row r="12" spans="1:15" x14ac:dyDescent="0.25">
      <c r="A12">
        <v>6</v>
      </c>
      <c r="B12">
        <v>5</v>
      </c>
      <c r="C12" t="str">
        <f t="shared" si="2"/>
        <v>1</v>
      </c>
      <c r="D12" t="str">
        <f t="shared" si="3"/>
        <v>1110100001110110111100000111101110110001101</v>
      </c>
    </row>
    <row r="13" spans="1:15" x14ac:dyDescent="0.25">
      <c r="A13">
        <v>7</v>
      </c>
      <c r="B13">
        <v>3</v>
      </c>
      <c r="C13" t="str">
        <f t="shared" si="2"/>
        <v>1</v>
      </c>
      <c r="D13" t="str">
        <f t="shared" si="3"/>
        <v>110100001110110111100000111101110110001101</v>
      </c>
    </row>
    <row r="14" spans="1:15" x14ac:dyDescent="0.25">
      <c r="A14">
        <v>8</v>
      </c>
      <c r="B14">
        <v>28</v>
      </c>
      <c r="C14" t="str">
        <f t="shared" si="2"/>
        <v>1</v>
      </c>
      <c r="D14" t="str">
        <f t="shared" si="3"/>
        <v>10100001110110111100000111101110110001101</v>
      </c>
    </row>
    <row r="15" spans="1:15" x14ac:dyDescent="0.25">
      <c r="A15">
        <v>9</v>
      </c>
      <c r="B15">
        <v>15</v>
      </c>
      <c r="C15" t="str">
        <f t="shared" si="2"/>
        <v>0</v>
      </c>
      <c r="D15" t="str">
        <f t="shared" si="3"/>
        <v>0100001110110111100000111101110110001101</v>
      </c>
    </row>
    <row r="16" spans="1:15" x14ac:dyDescent="0.25">
      <c r="A16">
        <v>10</v>
      </c>
      <c r="B16">
        <v>6</v>
      </c>
      <c r="C16" t="str">
        <f t="shared" si="2"/>
        <v>1</v>
      </c>
      <c r="D16" t="str">
        <f t="shared" si="3"/>
        <v>100001110110111100000111101110110001101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00001110110111100000111101110110001101</v>
      </c>
    </row>
    <row r="18" spans="1:4" x14ac:dyDescent="0.25">
      <c r="A18">
        <v>12</v>
      </c>
      <c r="B18">
        <v>10</v>
      </c>
      <c r="C18" t="str">
        <f t="shared" si="2"/>
        <v>0</v>
      </c>
      <c r="D18" t="str">
        <f t="shared" si="3"/>
        <v>0001110110111100000111101110110001101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001110110111100000111101110110001101</v>
      </c>
    </row>
    <row r="20" spans="1:4" x14ac:dyDescent="0.25">
      <c r="A20">
        <v>14</v>
      </c>
      <c r="B20">
        <v>19</v>
      </c>
      <c r="C20" t="str">
        <f t="shared" si="2"/>
        <v>0</v>
      </c>
      <c r="D20" t="str">
        <f t="shared" si="3"/>
        <v>01110110111100000111101110110001101</v>
      </c>
    </row>
    <row r="21" spans="1:4" x14ac:dyDescent="0.25">
      <c r="A21">
        <v>15</v>
      </c>
      <c r="B21">
        <v>12</v>
      </c>
      <c r="C21" t="str">
        <f t="shared" si="2"/>
        <v>1</v>
      </c>
      <c r="D21" t="str">
        <f t="shared" si="3"/>
        <v>1110110111100000111101110110001101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110110111100000111101110110001101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10110111100000111101110110001101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0110111100000111101110110001101</v>
      </c>
    </row>
    <row r="25" spans="1:4" x14ac:dyDescent="0.25">
      <c r="A25">
        <v>19</v>
      </c>
      <c r="B25">
        <v>16</v>
      </c>
      <c r="C25" t="str">
        <f t="shared" si="2"/>
        <v>1</v>
      </c>
      <c r="D25" t="str">
        <f t="shared" si="3"/>
        <v>110111100000111101110110001101</v>
      </c>
    </row>
    <row r="26" spans="1:4" x14ac:dyDescent="0.25">
      <c r="A26">
        <v>20</v>
      </c>
      <c r="B26">
        <v>7</v>
      </c>
      <c r="C26" t="str">
        <f t="shared" si="2"/>
        <v>1</v>
      </c>
      <c r="D26" t="str">
        <f t="shared" si="3"/>
        <v>10111100000111101110110001101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0111100000111101110110001101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111100000111101110110001101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11100000111101110110001101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1100000111101110110001101</v>
      </c>
    </row>
    <row r="31" spans="1:4" x14ac:dyDescent="0.25">
      <c r="A31">
        <v>25</v>
      </c>
      <c r="B31">
        <v>41</v>
      </c>
      <c r="C31" t="str">
        <f t="shared" si="2"/>
        <v>1</v>
      </c>
      <c r="D31" t="str">
        <f t="shared" si="3"/>
        <v>100000111101110110001101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00000111101110110001101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0000111101110110001101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000111101110110001101</v>
      </c>
    </row>
    <row r="35" spans="1:4" x14ac:dyDescent="0.25">
      <c r="A35">
        <v>29</v>
      </c>
      <c r="B35">
        <v>47</v>
      </c>
      <c r="C35" t="str">
        <f t="shared" si="2"/>
        <v>0</v>
      </c>
      <c r="D35" t="str">
        <f t="shared" si="3"/>
        <v>00111101110110001101</v>
      </c>
    </row>
    <row r="36" spans="1:4" x14ac:dyDescent="0.25">
      <c r="A36">
        <v>30</v>
      </c>
      <c r="B36">
        <v>55</v>
      </c>
      <c r="C36" t="str">
        <f t="shared" si="2"/>
        <v>0</v>
      </c>
      <c r="D36" t="str">
        <f t="shared" si="3"/>
        <v>0111101110110001101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111101110110001101</v>
      </c>
    </row>
    <row r="38" spans="1:4" x14ac:dyDescent="0.25">
      <c r="A38">
        <v>32</v>
      </c>
      <c r="B38">
        <v>40</v>
      </c>
      <c r="C38" t="str">
        <f t="shared" si="2"/>
        <v>1</v>
      </c>
      <c r="D38" t="str">
        <f t="shared" si="3"/>
        <v>11101110110001101</v>
      </c>
    </row>
    <row r="39" spans="1:4" x14ac:dyDescent="0.25">
      <c r="A39">
        <v>33</v>
      </c>
      <c r="B39">
        <v>51</v>
      </c>
      <c r="C39" t="str">
        <f t="shared" si="2"/>
        <v>1</v>
      </c>
      <c r="D39" t="str">
        <f t="shared" si="3"/>
        <v>1101110110001101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101110110001101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01110110001101</v>
      </c>
    </row>
    <row r="42" spans="1:4" x14ac:dyDescent="0.25">
      <c r="A42">
        <v>36</v>
      </c>
      <c r="B42">
        <v>48</v>
      </c>
      <c r="C42" t="str">
        <f t="shared" si="2"/>
        <v>1</v>
      </c>
      <c r="D42" t="str">
        <f t="shared" si="3"/>
        <v>1110110001101</v>
      </c>
    </row>
    <row r="43" spans="1:4" x14ac:dyDescent="0.25">
      <c r="A43">
        <v>37</v>
      </c>
      <c r="B43">
        <v>44</v>
      </c>
      <c r="C43" t="str">
        <f t="shared" si="2"/>
        <v>1</v>
      </c>
      <c r="D43" t="str">
        <f t="shared" si="3"/>
        <v>110110001101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10110001101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0110001101</v>
      </c>
    </row>
    <row r="46" spans="1:4" x14ac:dyDescent="0.25">
      <c r="A46">
        <v>40</v>
      </c>
      <c r="B46">
        <v>56</v>
      </c>
      <c r="C46" t="str">
        <f t="shared" si="2"/>
        <v>1</v>
      </c>
      <c r="D46" t="str">
        <f t="shared" si="3"/>
        <v>110001101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10001101</v>
      </c>
    </row>
    <row r="48" spans="1:4" x14ac:dyDescent="0.25">
      <c r="A48">
        <v>42</v>
      </c>
      <c r="B48">
        <v>53</v>
      </c>
      <c r="C48" t="str">
        <f t="shared" si="2"/>
        <v>0</v>
      </c>
      <c r="D48" t="str">
        <f t="shared" si="3"/>
        <v>0001101</v>
      </c>
    </row>
    <row r="49" spans="1:4" x14ac:dyDescent="0.25">
      <c r="A49">
        <v>43</v>
      </c>
      <c r="B49">
        <v>46</v>
      </c>
      <c r="C49" t="str">
        <f t="shared" si="2"/>
        <v>0</v>
      </c>
      <c r="D49" t="str">
        <f t="shared" si="3"/>
        <v>001101</v>
      </c>
    </row>
    <row r="50" spans="1:4" x14ac:dyDescent="0.25">
      <c r="A50">
        <v>44</v>
      </c>
      <c r="B50">
        <v>42</v>
      </c>
      <c r="C50" t="str">
        <f t="shared" si="2"/>
        <v>0</v>
      </c>
      <c r="D50" t="str">
        <f t="shared" si="3"/>
        <v>01101</v>
      </c>
    </row>
    <row r="51" spans="1:4" x14ac:dyDescent="0.25">
      <c r="A51">
        <v>45</v>
      </c>
      <c r="B51">
        <v>50</v>
      </c>
      <c r="C51" t="str">
        <f t="shared" si="2"/>
        <v>1</v>
      </c>
      <c r="D51" t="str">
        <f t="shared" si="3"/>
        <v>1101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2B1A-8120-4D10-BB0C-1081692A3A09}">
  <dimension ref="A1:K224"/>
  <sheetViews>
    <sheetView topLeftCell="A188" workbookViewId="0">
      <selection activeCell="A212" sqref="A212"/>
    </sheetView>
  </sheetViews>
  <sheetFormatPr defaultRowHeight="15" x14ac:dyDescent="0.25"/>
  <sheetData>
    <row r="1" spans="1:4" x14ac:dyDescent="0.25">
      <c r="A1" t="s">
        <v>313</v>
      </c>
      <c r="D1" t="s">
        <v>208</v>
      </c>
    </row>
    <row r="2" spans="1:4" x14ac:dyDescent="0.25">
      <c r="A2" t="s">
        <v>153</v>
      </c>
      <c r="B2" t="s">
        <v>228</v>
      </c>
    </row>
    <row r="3" spans="1:4" x14ac:dyDescent="0.25">
      <c r="A3" t="s">
        <v>154</v>
      </c>
    </row>
    <row r="4" spans="1:4" x14ac:dyDescent="0.25">
      <c r="A4" t="s">
        <v>155</v>
      </c>
      <c r="B4" t="s">
        <v>227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0</v>
      </c>
      <c r="D7" t="str">
        <f t="shared" ref="D7:D52" si="0">C7&amp;D8</f>
        <v>000111111110101111110011111000001101010100001100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00111111110101111110011111000001101010100001100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0111111110101111110011111000001101010100001100</v>
      </c>
    </row>
    <row r="10" spans="1:4" x14ac:dyDescent="0.25">
      <c r="A10">
        <v>4</v>
      </c>
      <c r="B10">
        <v>3</v>
      </c>
      <c r="C10" t="str">
        <f t="shared" si="1"/>
        <v>1</v>
      </c>
      <c r="D10" t="str">
        <f t="shared" si="0"/>
        <v>111111110101111110011111000001101010100001100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11111110101111110011111000001101010100001100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1111110101111110011111000001101010100001100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111110101111110011111000001101010100001100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11110101111110011111000001101010100001100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1110101111110011111000001101010100001100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110101111110011111000001101010100001100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10101111110011111000001101010100001100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0101111110011111000001101010100001100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101111110011111000001101010100001100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01111110011111000001101010100001100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1111110011111000001101010100001100</v>
      </c>
    </row>
    <row r="22" spans="1:4" x14ac:dyDescent="0.25">
      <c r="A22">
        <v>16</v>
      </c>
      <c r="B22">
        <v>11</v>
      </c>
      <c r="C22" t="str">
        <f t="shared" si="1"/>
        <v>1</v>
      </c>
      <c r="D22" t="str">
        <f t="shared" si="0"/>
        <v>111110011111000001101010100001100</v>
      </c>
    </row>
    <row r="23" spans="1:4" x14ac:dyDescent="0.25">
      <c r="A23">
        <v>17</v>
      </c>
      <c r="B23">
        <v>12</v>
      </c>
      <c r="C23" t="str">
        <f t="shared" si="1"/>
        <v>1</v>
      </c>
      <c r="D23" t="str">
        <f t="shared" si="0"/>
        <v>11110011111000001101010100001100</v>
      </c>
    </row>
    <row r="24" spans="1:4" x14ac:dyDescent="0.25">
      <c r="A24">
        <v>18</v>
      </c>
      <c r="B24">
        <v>13</v>
      </c>
      <c r="C24" t="str">
        <f t="shared" si="1"/>
        <v>1</v>
      </c>
      <c r="D24" t="str">
        <f t="shared" si="0"/>
        <v>1110011111000001101010100001100</v>
      </c>
    </row>
    <row r="25" spans="1:4" x14ac:dyDescent="0.25">
      <c r="A25">
        <v>19</v>
      </c>
      <c r="B25">
        <v>12</v>
      </c>
      <c r="C25" t="str">
        <f t="shared" si="1"/>
        <v>1</v>
      </c>
      <c r="D25" t="str">
        <f t="shared" si="0"/>
        <v>110011111000001101010100001100</v>
      </c>
    </row>
    <row r="26" spans="1:4" x14ac:dyDescent="0.25">
      <c r="A26">
        <v>20</v>
      </c>
      <c r="B26">
        <v>13</v>
      </c>
      <c r="C26" t="str">
        <f t="shared" si="1"/>
        <v>1</v>
      </c>
      <c r="D26" t="str">
        <f t="shared" si="0"/>
        <v>10011111000001101010100001100</v>
      </c>
    </row>
    <row r="27" spans="1:4" x14ac:dyDescent="0.25">
      <c r="A27">
        <v>21</v>
      </c>
      <c r="B27">
        <v>14</v>
      </c>
      <c r="C27" t="str">
        <f t="shared" si="1"/>
        <v>0</v>
      </c>
      <c r="D27" t="str">
        <f t="shared" si="0"/>
        <v>0011111000001101010100001100</v>
      </c>
    </row>
    <row r="28" spans="1:4" x14ac:dyDescent="0.25">
      <c r="A28">
        <v>22</v>
      </c>
      <c r="B28">
        <v>15</v>
      </c>
      <c r="C28" t="str">
        <f t="shared" si="1"/>
        <v>0</v>
      </c>
      <c r="D28" t="str">
        <f t="shared" si="0"/>
        <v>011111000001101010100001100</v>
      </c>
    </row>
    <row r="29" spans="1:4" x14ac:dyDescent="0.25">
      <c r="A29">
        <v>23</v>
      </c>
      <c r="B29">
        <v>16</v>
      </c>
      <c r="C29" t="str">
        <f t="shared" si="1"/>
        <v>1</v>
      </c>
      <c r="D29" t="str">
        <f t="shared" si="0"/>
        <v>11111000001101010100001100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1111000001101010100001100</v>
      </c>
    </row>
    <row r="31" spans="1:4" x14ac:dyDescent="0.25">
      <c r="A31">
        <v>25</v>
      </c>
      <c r="B31">
        <v>16</v>
      </c>
      <c r="C31" t="str">
        <f t="shared" si="1"/>
        <v>1</v>
      </c>
      <c r="D31" t="str">
        <f t="shared" si="0"/>
        <v>111000001101010100001100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11000001101010100001100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1000001101010100001100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000001101010100001100</v>
      </c>
    </row>
    <row r="35" spans="1:4" x14ac:dyDescent="0.25">
      <c r="A35">
        <v>29</v>
      </c>
      <c r="B35">
        <v>20</v>
      </c>
      <c r="C35" t="str">
        <f t="shared" si="1"/>
        <v>0</v>
      </c>
      <c r="D35" t="str">
        <f t="shared" si="0"/>
        <v>00001101010100001100</v>
      </c>
    </row>
    <row r="36" spans="1:4" x14ac:dyDescent="0.25">
      <c r="A36">
        <v>30</v>
      </c>
      <c r="B36">
        <v>21</v>
      </c>
      <c r="C36" t="str">
        <f t="shared" si="1"/>
        <v>0</v>
      </c>
      <c r="D36" t="str">
        <f t="shared" si="0"/>
        <v>0001101010100001100</v>
      </c>
    </row>
    <row r="37" spans="1:4" x14ac:dyDescent="0.25">
      <c r="A37">
        <v>31</v>
      </c>
      <c r="B37">
        <v>20</v>
      </c>
      <c r="C37" t="str">
        <f t="shared" si="1"/>
        <v>0</v>
      </c>
      <c r="D37" t="str">
        <f t="shared" si="0"/>
        <v>001101010100001100</v>
      </c>
    </row>
    <row r="38" spans="1:4" x14ac:dyDescent="0.25">
      <c r="A38">
        <v>32</v>
      </c>
      <c r="B38">
        <v>21</v>
      </c>
      <c r="C38" t="str">
        <f t="shared" si="1"/>
        <v>0</v>
      </c>
      <c r="D38" t="str">
        <f t="shared" si="0"/>
        <v>01101010100001100</v>
      </c>
    </row>
    <row r="39" spans="1:4" x14ac:dyDescent="0.25">
      <c r="A39">
        <v>33</v>
      </c>
      <c r="B39">
        <v>22</v>
      </c>
      <c r="C39" t="str">
        <f t="shared" si="1"/>
        <v>1</v>
      </c>
      <c r="D39" t="str">
        <f t="shared" si="0"/>
        <v>1101010100001100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101010100001100</v>
      </c>
    </row>
    <row r="41" spans="1:4" x14ac:dyDescent="0.25">
      <c r="A41">
        <v>35</v>
      </c>
      <c r="B41">
        <v>24</v>
      </c>
      <c r="C41" t="str">
        <f t="shared" si="1"/>
        <v>0</v>
      </c>
      <c r="D41" t="str">
        <f t="shared" si="0"/>
        <v>01010100001100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1010100001100</v>
      </c>
    </row>
    <row r="43" spans="1:4" x14ac:dyDescent="0.25">
      <c r="A43">
        <v>37</v>
      </c>
      <c r="B43">
        <v>24</v>
      </c>
      <c r="C43" t="str">
        <f t="shared" si="1"/>
        <v>0</v>
      </c>
      <c r="D43" t="str">
        <f t="shared" si="0"/>
        <v>010100001100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10100001100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0100001100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100001100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00001100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0001100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001100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01100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1100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100</v>
      </c>
    </row>
    <row r="53" spans="1:4" x14ac:dyDescent="0.25">
      <c r="A53">
        <v>47</v>
      </c>
      <c r="B53">
        <v>32</v>
      </c>
      <c r="C53" t="str">
        <f t="shared" si="1"/>
        <v>0</v>
      </c>
      <c r="D53" t="str">
        <f>C53&amp;C54</f>
        <v>00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315</v>
      </c>
      <c r="B56" t="str">
        <f>D7</f>
        <v>000111111110101111110011111000001101010100001100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00011111</v>
      </c>
      <c r="C59" s="7" t="str">
        <f t="shared" ref="C59:C64" si="2">BIN2HEX(B59,2)</f>
        <v>1F</v>
      </c>
    </row>
    <row r="60" spans="1:4" x14ac:dyDescent="0.25">
      <c r="A60" s="7">
        <v>2</v>
      </c>
      <c r="B60" s="7" t="str">
        <f t="shared" ref="B60:B64" si="3">MID($B$56,(A60-1)*8+1,8)</f>
        <v>11101011</v>
      </c>
      <c r="C60" s="7" t="str">
        <f t="shared" si="2"/>
        <v>EB</v>
      </c>
    </row>
    <row r="61" spans="1:4" x14ac:dyDescent="0.25">
      <c r="A61" s="7">
        <v>3</v>
      </c>
      <c r="B61" s="7" t="str">
        <f t="shared" si="3"/>
        <v>11110011</v>
      </c>
      <c r="C61" s="7" t="str">
        <f t="shared" si="2"/>
        <v>F3</v>
      </c>
    </row>
    <row r="62" spans="1:4" x14ac:dyDescent="0.25">
      <c r="A62" s="7">
        <v>4</v>
      </c>
      <c r="B62" s="7" t="str">
        <f t="shared" si="3"/>
        <v>11100000</v>
      </c>
      <c r="C62" s="7" t="str">
        <f t="shared" si="2"/>
        <v>E0</v>
      </c>
    </row>
    <row r="63" spans="1:4" x14ac:dyDescent="0.25">
      <c r="A63" s="7">
        <v>5</v>
      </c>
      <c r="B63" s="7" t="str">
        <f t="shared" si="3"/>
        <v>11010101</v>
      </c>
      <c r="C63" s="7" t="str">
        <f t="shared" si="2"/>
        <v>D5</v>
      </c>
    </row>
    <row r="64" spans="1:4" x14ac:dyDescent="0.25">
      <c r="A64" s="7">
        <v>6</v>
      </c>
      <c r="B64" s="7" t="str">
        <f t="shared" si="3"/>
        <v>00001100</v>
      </c>
      <c r="C64" s="7" t="str">
        <f t="shared" si="2"/>
        <v>0C</v>
      </c>
    </row>
    <row r="65" spans="1:10" x14ac:dyDescent="0.25">
      <c r="A65" t="s">
        <v>316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01010111</v>
      </c>
      <c r="C68" s="7" t="str">
        <f>BIN2HEX(B68,2)</f>
        <v>57</v>
      </c>
      <c r="D68">
        <f>BIN2DEC(B68)</f>
        <v>87</v>
      </c>
      <c r="G68" s="7">
        <v>1</v>
      </c>
      <c r="H68" s="7" t="str">
        <f>MID($B$56,(G68-1)*8+1,8)</f>
        <v>00011111</v>
      </c>
      <c r="I68" s="7" t="str">
        <f>BIN2HEX(H68,2)</f>
        <v>1F</v>
      </c>
      <c r="J68">
        <f>BIN2DEC(H68)</f>
        <v>31</v>
      </c>
    </row>
    <row r="69" spans="1:10" x14ac:dyDescent="0.25">
      <c r="A69" s="7">
        <v>2</v>
      </c>
      <c r="B69" s="7" t="str">
        <f t="shared" ref="B69:B73" si="4">MID($D$1,(A69-1)*8+1,8)</f>
        <v>01000011</v>
      </c>
      <c r="C69" s="7" t="str">
        <f t="shared" ref="C69:C73" si="5">BIN2HEX(B69,2)</f>
        <v>43</v>
      </c>
      <c r="D69">
        <f t="shared" ref="D69:D73" si="6">BIN2DEC(B69)</f>
        <v>67</v>
      </c>
      <c r="G69" s="7">
        <v>2</v>
      </c>
      <c r="H69" s="7" t="str">
        <f t="shared" ref="H69:H73" si="7">MID($B$56,(G69-1)*8+1,8)</f>
        <v>11101011</v>
      </c>
      <c r="I69" s="7" t="str">
        <f t="shared" ref="I69:I73" si="8">BIN2HEX(H69,2)</f>
        <v>EB</v>
      </c>
      <c r="J69">
        <f t="shared" ref="J69:J73" si="9">BIN2DEC(H69)</f>
        <v>235</v>
      </c>
    </row>
    <row r="70" spans="1:10" x14ac:dyDescent="0.25">
      <c r="A70" s="7">
        <v>3</v>
      </c>
      <c r="B70" s="7" t="str">
        <f t="shared" si="4"/>
        <v>10110111</v>
      </c>
      <c r="C70" s="7" t="str">
        <f t="shared" si="5"/>
        <v>B7</v>
      </c>
      <c r="D70">
        <f t="shared" si="6"/>
        <v>183</v>
      </c>
      <c r="G70" s="7">
        <v>3</v>
      </c>
      <c r="H70" s="7" t="str">
        <f t="shared" si="7"/>
        <v>11110011</v>
      </c>
      <c r="I70" s="7" t="str">
        <f t="shared" si="8"/>
        <v>F3</v>
      </c>
      <c r="J70">
        <f t="shared" si="9"/>
        <v>243</v>
      </c>
    </row>
    <row r="71" spans="1:10" x14ac:dyDescent="0.25">
      <c r="A71" s="7">
        <v>4</v>
      </c>
      <c r="B71" s="7" t="str">
        <f t="shared" si="4"/>
        <v>10000011</v>
      </c>
      <c r="C71" s="7" t="str">
        <f t="shared" si="5"/>
        <v>83</v>
      </c>
      <c r="D71">
        <f t="shared" si="6"/>
        <v>131</v>
      </c>
      <c r="G71" s="7">
        <v>4</v>
      </c>
      <c r="H71" s="7" t="str">
        <f t="shared" si="7"/>
        <v>11100000</v>
      </c>
      <c r="I71" s="7" t="str">
        <f t="shared" si="8"/>
        <v>E0</v>
      </c>
      <c r="J71">
        <f t="shared" si="9"/>
        <v>224</v>
      </c>
    </row>
    <row r="72" spans="1:10" x14ac:dyDescent="0.25">
      <c r="A72" s="7">
        <v>5</v>
      </c>
      <c r="B72" s="7" t="str">
        <f t="shared" si="4"/>
        <v>11011101</v>
      </c>
      <c r="C72" s="7" t="str">
        <f t="shared" si="5"/>
        <v>DD</v>
      </c>
      <c r="D72">
        <f t="shared" si="6"/>
        <v>221</v>
      </c>
      <c r="G72" s="7">
        <v>5</v>
      </c>
      <c r="H72" s="7" t="str">
        <f t="shared" si="7"/>
        <v>11010101</v>
      </c>
      <c r="I72" s="7" t="str">
        <f t="shared" si="8"/>
        <v>D5</v>
      </c>
      <c r="J72">
        <f t="shared" si="9"/>
        <v>213</v>
      </c>
    </row>
    <row r="73" spans="1:10" x14ac:dyDescent="0.25">
      <c r="A73" s="7">
        <v>6</v>
      </c>
      <c r="B73" s="7" t="str">
        <f t="shared" si="4"/>
        <v>10001101</v>
      </c>
      <c r="C73" s="7" t="str">
        <f t="shared" si="5"/>
        <v>8D</v>
      </c>
      <c r="D73">
        <f t="shared" si="6"/>
        <v>141</v>
      </c>
      <c r="G73" s="7">
        <v>6</v>
      </c>
      <c r="H73" s="7" t="str">
        <f t="shared" si="7"/>
        <v>00001100</v>
      </c>
      <c r="I73" s="7" t="str">
        <f t="shared" si="8"/>
        <v>0C</v>
      </c>
      <c r="J73">
        <f t="shared" si="9"/>
        <v>12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72</v>
      </c>
      <c r="C76" s="10" t="str">
        <f>DEC2BIN(B76,8)</f>
        <v>01001000</v>
      </c>
      <c r="D76" s="10" t="str">
        <f>DEC2HEX(B76,2)</f>
        <v>48</v>
      </c>
    </row>
    <row r="77" spans="1:10" x14ac:dyDescent="0.25">
      <c r="A77" s="11">
        <v>2</v>
      </c>
      <c r="B77" s="10">
        <f t="shared" ref="B77:B81" si="10">_xlfn.BITXOR(D69,J69)</f>
        <v>168</v>
      </c>
      <c r="C77" s="10" t="str">
        <f t="shared" ref="C77:C81" si="11">DEC2BIN(B77,8)</f>
        <v>10101000</v>
      </c>
      <c r="D77" s="10" t="str">
        <f t="shared" ref="D77:D81" si="12">DEC2HEX(B77,2)</f>
        <v>A8</v>
      </c>
    </row>
    <row r="78" spans="1:10" x14ac:dyDescent="0.25">
      <c r="A78" s="11">
        <v>3</v>
      </c>
      <c r="B78" s="10">
        <f t="shared" si="10"/>
        <v>68</v>
      </c>
      <c r="C78" s="10" t="str">
        <f t="shared" si="11"/>
        <v>01000100</v>
      </c>
      <c r="D78" s="10" t="str">
        <f t="shared" si="12"/>
        <v>44</v>
      </c>
    </row>
    <row r="79" spans="1:10" x14ac:dyDescent="0.25">
      <c r="A79" s="11">
        <v>4</v>
      </c>
      <c r="B79" s="10">
        <f t="shared" si="10"/>
        <v>99</v>
      </c>
      <c r="C79" s="10" t="str">
        <f t="shared" si="11"/>
        <v>01100011</v>
      </c>
      <c r="D79" s="10" t="str">
        <f t="shared" si="12"/>
        <v>63</v>
      </c>
    </row>
    <row r="80" spans="1:10" x14ac:dyDescent="0.25">
      <c r="A80" s="11">
        <v>5</v>
      </c>
      <c r="B80" s="10">
        <f t="shared" si="10"/>
        <v>8</v>
      </c>
      <c r="C80" s="10" t="str">
        <f t="shared" si="11"/>
        <v>00001000</v>
      </c>
      <c r="D80" s="10" t="str">
        <f t="shared" si="12"/>
        <v>08</v>
      </c>
    </row>
    <row r="81" spans="1:10" x14ac:dyDescent="0.25">
      <c r="A81" s="11">
        <v>6</v>
      </c>
      <c r="B81" s="10">
        <f t="shared" si="10"/>
        <v>129</v>
      </c>
      <c r="C81" s="10" t="str">
        <f t="shared" si="11"/>
        <v>10000001</v>
      </c>
      <c r="D81" s="10" t="str">
        <f t="shared" si="12"/>
        <v>81</v>
      </c>
    </row>
    <row r="83" spans="1:10" ht="21" x14ac:dyDescent="0.35">
      <c r="B83" t="s">
        <v>317</v>
      </c>
      <c r="D83" s="8" t="str">
        <f>C76&amp;C77&amp;C78&amp;C79&amp;C80&amp;C81</f>
        <v>010010001010100001000100011000110000100010000001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010010</v>
      </c>
      <c r="C86" s="10" t="str">
        <f>LEFT(B86,1)&amp;RIGHT(B86,1)</f>
        <v>00</v>
      </c>
      <c r="D86" s="10" t="str">
        <f>MID(B86,2,4)</f>
        <v>1001</v>
      </c>
      <c r="E86" s="10" t="str">
        <f>C86&amp;D86</f>
        <v>001001</v>
      </c>
      <c r="F86" s="10">
        <f>BIN2DEC(E86)</f>
        <v>9</v>
      </c>
      <c r="G86" s="10"/>
      <c r="H86" s="10">
        <f>VLOOKUP(F86,$A$95:$I$159,2,TRUE)</f>
        <v>10</v>
      </c>
      <c r="I86" s="10" t="str">
        <f>DEC2BIN(H86,4)</f>
        <v>1010</v>
      </c>
      <c r="J86" t="str">
        <f t="shared" ref="J86:J90" si="13">I86&amp;J87</f>
        <v>10101011000111101101011101000001</v>
      </c>
    </row>
    <row r="87" spans="1:10" x14ac:dyDescent="0.25">
      <c r="A87" s="10">
        <v>2</v>
      </c>
      <c r="B87" s="10" t="str">
        <f t="shared" ref="B87:B93" si="14">MID($D$83,(A87-1)*6+1,6)</f>
        <v>001010</v>
      </c>
      <c r="C87" s="10" t="str">
        <f t="shared" ref="C87:C93" si="15">LEFT(B87,1)&amp;RIGHT(B87,1)</f>
        <v>00</v>
      </c>
      <c r="D87" s="10" t="str">
        <f t="shared" ref="D87:D93" si="16">MID(B87,2,4)</f>
        <v>0101</v>
      </c>
      <c r="E87" s="10" t="str">
        <f t="shared" ref="E87:E93" si="17">C87&amp;D87</f>
        <v>000101</v>
      </c>
      <c r="F87" s="10">
        <f t="shared" ref="F87:F93" si="18">BIN2DEC(E87)</f>
        <v>5</v>
      </c>
      <c r="G87" s="10"/>
      <c r="H87" s="10">
        <f>VLOOKUP(F87,$A$95:$I$158,3,TRUE)</f>
        <v>11</v>
      </c>
      <c r="I87" s="10" t="str">
        <f t="shared" ref="I87:I93" si="19">DEC2BIN(H87,4)</f>
        <v>1011</v>
      </c>
      <c r="J87" t="str">
        <f t="shared" si="13"/>
        <v>1011000111101101011101000001</v>
      </c>
    </row>
    <row r="88" spans="1:10" x14ac:dyDescent="0.25">
      <c r="A88" s="10">
        <v>3</v>
      </c>
      <c r="B88" s="10" t="str">
        <f t="shared" si="14"/>
        <v>100001</v>
      </c>
      <c r="C88" s="10" t="str">
        <f t="shared" si="15"/>
        <v>11</v>
      </c>
      <c r="D88" s="10" t="str">
        <f t="shared" si="16"/>
        <v>0000</v>
      </c>
      <c r="E88" s="10" t="str">
        <f t="shared" si="17"/>
        <v>110000</v>
      </c>
      <c r="F88" s="10">
        <f t="shared" si="18"/>
        <v>48</v>
      </c>
      <c r="G88" s="10"/>
      <c r="H88" s="10">
        <f>VLOOKUP(F88,$A$95:$I$158,4,TRUE)</f>
        <v>1</v>
      </c>
      <c r="I88" s="10" t="str">
        <f t="shared" si="19"/>
        <v>0001</v>
      </c>
      <c r="J88" t="str">
        <f t="shared" si="13"/>
        <v>000111101101011101000001</v>
      </c>
    </row>
    <row r="89" spans="1:10" x14ac:dyDescent="0.25">
      <c r="A89" s="10">
        <v>4</v>
      </c>
      <c r="B89" s="10" t="str">
        <f t="shared" si="14"/>
        <v>000100</v>
      </c>
      <c r="C89" s="10" t="str">
        <f t="shared" si="15"/>
        <v>00</v>
      </c>
      <c r="D89" s="10" t="str">
        <f t="shared" si="16"/>
        <v>0010</v>
      </c>
      <c r="E89" s="10" t="str">
        <f t="shared" si="17"/>
        <v>000010</v>
      </c>
      <c r="F89" s="10">
        <f t="shared" si="18"/>
        <v>2</v>
      </c>
      <c r="G89" s="10"/>
      <c r="H89" s="10">
        <f>VLOOKUP(F89,$A$95:$I$158,5,TRUE)</f>
        <v>14</v>
      </c>
      <c r="I89" s="10" t="str">
        <f t="shared" si="19"/>
        <v>1110</v>
      </c>
      <c r="J89" t="str">
        <f t="shared" si="13"/>
        <v>11101101011101000001</v>
      </c>
    </row>
    <row r="90" spans="1:10" x14ac:dyDescent="0.25">
      <c r="A90" s="10">
        <v>5</v>
      </c>
      <c r="B90" s="10" t="str">
        <f t="shared" si="14"/>
        <v>011000</v>
      </c>
      <c r="C90" s="10" t="str">
        <f t="shared" si="15"/>
        <v>00</v>
      </c>
      <c r="D90" s="10" t="str">
        <f t="shared" si="16"/>
        <v>1100</v>
      </c>
      <c r="E90" s="10" t="str">
        <f t="shared" si="17"/>
        <v>001100</v>
      </c>
      <c r="F90" s="10">
        <f t="shared" si="18"/>
        <v>12</v>
      </c>
      <c r="G90" s="10"/>
      <c r="H90" s="10">
        <f>VLOOKUP(F90,$A$95:$I$159,6,TRUE)</f>
        <v>13</v>
      </c>
      <c r="I90" s="10" t="str">
        <f t="shared" si="19"/>
        <v>1101</v>
      </c>
      <c r="J90" t="str">
        <f t="shared" si="13"/>
        <v>1101011101000001</v>
      </c>
    </row>
    <row r="91" spans="1:10" x14ac:dyDescent="0.25">
      <c r="A91" s="10">
        <v>6</v>
      </c>
      <c r="B91" s="10" t="str">
        <f t="shared" si="14"/>
        <v>110000</v>
      </c>
      <c r="C91" s="10" t="str">
        <f t="shared" si="15"/>
        <v>10</v>
      </c>
      <c r="D91" s="10" t="str">
        <f t="shared" si="16"/>
        <v>1000</v>
      </c>
      <c r="E91" s="10" t="str">
        <f t="shared" si="17"/>
        <v>101000</v>
      </c>
      <c r="F91" s="10">
        <f t="shared" si="18"/>
        <v>40</v>
      </c>
      <c r="G91" s="10"/>
      <c r="H91" s="10">
        <f>VLOOKUP(F91,$A$95:$I$158,7,TRUE)</f>
        <v>7</v>
      </c>
      <c r="I91" s="10" t="str">
        <f t="shared" si="19"/>
        <v>0111</v>
      </c>
      <c r="J91" t="str">
        <f>I91&amp;J92</f>
        <v>011101000001</v>
      </c>
    </row>
    <row r="92" spans="1:10" x14ac:dyDescent="0.25">
      <c r="A92" s="10">
        <v>7</v>
      </c>
      <c r="B92" s="10" t="str">
        <f t="shared" si="14"/>
        <v>100010</v>
      </c>
      <c r="C92" s="10" t="str">
        <f t="shared" si="15"/>
        <v>10</v>
      </c>
      <c r="D92" s="10" t="str">
        <f t="shared" si="16"/>
        <v>0001</v>
      </c>
      <c r="E92" s="10" t="str">
        <f t="shared" si="17"/>
        <v>100001</v>
      </c>
      <c r="F92" s="10">
        <f t="shared" si="18"/>
        <v>33</v>
      </c>
      <c r="G92" s="10"/>
      <c r="H92" s="10">
        <f>VLOOKUP(F92,$A$95:$I$158,8,TRUE)</f>
        <v>4</v>
      </c>
      <c r="I92" s="10" t="str">
        <f t="shared" si="19"/>
        <v>0100</v>
      </c>
      <c r="J92" t="str">
        <f>I92&amp;I93</f>
        <v>01000001</v>
      </c>
    </row>
    <row r="93" spans="1:10" x14ac:dyDescent="0.25">
      <c r="A93" s="10">
        <v>8</v>
      </c>
      <c r="B93" s="10" t="str">
        <f t="shared" si="14"/>
        <v>000001</v>
      </c>
      <c r="C93" s="10" t="str">
        <f t="shared" si="15"/>
        <v>01</v>
      </c>
      <c r="D93" s="10" t="str">
        <f t="shared" si="16"/>
        <v>0000</v>
      </c>
      <c r="E93" s="10" t="str">
        <f t="shared" si="17"/>
        <v>010000</v>
      </c>
      <c r="F93" s="10">
        <f t="shared" si="18"/>
        <v>16</v>
      </c>
      <c r="G93" s="10"/>
      <c r="H93" s="10">
        <f>VLOOKUP(F93,$A$95:$I$158,9,TRUE)</f>
        <v>1</v>
      </c>
      <c r="I93" s="10" t="str">
        <f t="shared" si="19"/>
        <v>0001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10101011000111101101011101000001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0</v>
      </c>
      <c r="D165" t="str">
        <f t="shared" ref="D165:D193" si="20">C165&amp;D166</f>
        <v>01100101111111000111101001001000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1100101111111000111101001001000</v>
      </c>
    </row>
    <row r="167" spans="1:6" x14ac:dyDescent="0.25">
      <c r="A167">
        <v>3</v>
      </c>
      <c r="B167">
        <v>20</v>
      </c>
      <c r="C167" t="str">
        <f t="shared" si="21"/>
        <v>1</v>
      </c>
      <c r="D167" t="str">
        <f t="shared" si="20"/>
        <v>100101111111000111101001001000</v>
      </c>
    </row>
    <row r="168" spans="1:6" x14ac:dyDescent="0.25">
      <c r="A168">
        <v>4</v>
      </c>
      <c r="B168">
        <v>21</v>
      </c>
      <c r="C168" t="str">
        <f t="shared" si="21"/>
        <v>0</v>
      </c>
      <c r="D168" t="str">
        <f t="shared" si="20"/>
        <v>00101111111000111101001001000</v>
      </c>
    </row>
    <row r="169" spans="1:6" x14ac:dyDescent="0.25">
      <c r="A169">
        <v>5</v>
      </c>
      <c r="B169">
        <v>29</v>
      </c>
      <c r="C169" t="str">
        <f t="shared" si="21"/>
        <v>0</v>
      </c>
      <c r="D169" t="str">
        <f t="shared" si="20"/>
        <v>0101111111000111101001001000</v>
      </c>
    </row>
    <row r="170" spans="1:6" x14ac:dyDescent="0.25">
      <c r="A170">
        <v>6</v>
      </c>
      <c r="B170">
        <v>12</v>
      </c>
      <c r="C170" t="str">
        <f t="shared" si="21"/>
        <v>1</v>
      </c>
      <c r="D170" t="str">
        <f t="shared" si="20"/>
        <v>101111111000111101001001000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01111111000111101001001000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1111111000111101001001000</v>
      </c>
    </row>
    <row r="173" spans="1:6" x14ac:dyDescent="0.25">
      <c r="A173">
        <v>9</v>
      </c>
      <c r="B173">
        <v>1</v>
      </c>
      <c r="C173" t="str">
        <f t="shared" si="21"/>
        <v>1</v>
      </c>
      <c r="D173" t="str">
        <f t="shared" si="20"/>
        <v>111111000111101001001000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11111000111101001001000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1111000111101001001000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111000111101001001000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11000111101001001000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1000111101001001000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000111101001001000</v>
      </c>
    </row>
    <row r="180" spans="1:4" x14ac:dyDescent="0.25">
      <c r="A180">
        <v>16</v>
      </c>
      <c r="B180">
        <v>10</v>
      </c>
      <c r="C180" t="str">
        <f t="shared" si="21"/>
        <v>0</v>
      </c>
      <c r="D180" t="str">
        <f t="shared" si="20"/>
        <v>00111101001001000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0111101001001000</v>
      </c>
    </row>
    <row r="182" spans="1:4" x14ac:dyDescent="0.25">
      <c r="A182">
        <v>18</v>
      </c>
      <c r="B182">
        <v>8</v>
      </c>
      <c r="C182" t="str">
        <f t="shared" si="21"/>
        <v>1</v>
      </c>
      <c r="D182" t="str">
        <f t="shared" si="20"/>
        <v>111101001001000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11101001001000</v>
      </c>
    </row>
    <row r="184" spans="1:4" x14ac:dyDescent="0.25">
      <c r="A184">
        <v>20</v>
      </c>
      <c r="B184">
        <v>14</v>
      </c>
      <c r="C184" t="str">
        <f t="shared" si="21"/>
        <v>1</v>
      </c>
      <c r="D184" t="str">
        <f t="shared" si="20"/>
        <v>1101001001000</v>
      </c>
    </row>
    <row r="185" spans="1:4" x14ac:dyDescent="0.25">
      <c r="A185">
        <v>21</v>
      </c>
      <c r="B185">
        <v>32</v>
      </c>
      <c r="C185" t="str">
        <f t="shared" si="21"/>
        <v>1</v>
      </c>
      <c r="D185" t="str">
        <f t="shared" si="20"/>
        <v>101001001000</v>
      </c>
    </row>
    <row r="186" spans="1:4" x14ac:dyDescent="0.25">
      <c r="A186">
        <v>22</v>
      </c>
      <c r="B186">
        <v>27</v>
      </c>
      <c r="C186" t="str">
        <f t="shared" si="21"/>
        <v>0</v>
      </c>
      <c r="D186" t="str">
        <f t="shared" si="20"/>
        <v>01001001000</v>
      </c>
    </row>
    <row r="187" spans="1:4" x14ac:dyDescent="0.25">
      <c r="A187">
        <v>23</v>
      </c>
      <c r="B187">
        <v>3</v>
      </c>
      <c r="C187" t="str">
        <f t="shared" si="21"/>
        <v>1</v>
      </c>
      <c r="D187" t="str">
        <f t="shared" si="20"/>
        <v>1001001000</v>
      </c>
    </row>
    <row r="188" spans="1:4" x14ac:dyDescent="0.25">
      <c r="A188">
        <v>24</v>
      </c>
      <c r="B188">
        <v>9</v>
      </c>
      <c r="C188" t="str">
        <f t="shared" si="21"/>
        <v>0</v>
      </c>
      <c r="D188" t="str">
        <f t="shared" si="20"/>
        <v>001001000</v>
      </c>
    </row>
    <row r="189" spans="1:4" x14ac:dyDescent="0.25">
      <c r="A189">
        <v>25</v>
      </c>
      <c r="B189">
        <v>19</v>
      </c>
      <c r="C189" t="str">
        <f t="shared" si="21"/>
        <v>0</v>
      </c>
      <c r="D189" t="str">
        <f t="shared" si="20"/>
        <v>01001000</v>
      </c>
    </row>
    <row r="190" spans="1:4" x14ac:dyDescent="0.25">
      <c r="A190">
        <v>26</v>
      </c>
      <c r="B190">
        <v>13</v>
      </c>
      <c r="C190" t="str">
        <f t="shared" si="21"/>
        <v>1</v>
      </c>
      <c r="D190" t="str">
        <f t="shared" si="20"/>
        <v>1001000</v>
      </c>
    </row>
    <row r="191" spans="1:4" x14ac:dyDescent="0.25">
      <c r="A191">
        <v>27</v>
      </c>
      <c r="B191">
        <v>30</v>
      </c>
      <c r="C191" t="str">
        <f t="shared" si="21"/>
        <v>0</v>
      </c>
      <c r="D191" t="str">
        <f t="shared" si="20"/>
        <v>001000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01000</v>
      </c>
    </row>
    <row r="193" spans="1:11" x14ac:dyDescent="0.25">
      <c r="A193">
        <v>29</v>
      </c>
      <c r="B193">
        <v>22</v>
      </c>
      <c r="C193" t="str">
        <f t="shared" si="21"/>
        <v>1</v>
      </c>
      <c r="D193" t="str">
        <f t="shared" si="20"/>
        <v>1000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000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00</v>
      </c>
    </row>
    <row r="196" spans="1:11" x14ac:dyDescent="0.25">
      <c r="A196">
        <v>32</v>
      </c>
      <c r="B196">
        <v>25</v>
      </c>
      <c r="C196" t="str">
        <f t="shared" si="21"/>
        <v>0</v>
      </c>
    </row>
    <row r="198" spans="1:11" ht="18.75" x14ac:dyDescent="0.3">
      <c r="A198" t="s">
        <v>318</v>
      </c>
      <c r="B198" s="16" t="str">
        <f>D165</f>
        <v>01100101111111000111101001001000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01100101</v>
      </c>
      <c r="J199" s="7" t="str">
        <f>BIN2HEX(I199,2)</f>
        <v>65</v>
      </c>
      <c r="K199">
        <f>BIN2DEC(I199)</f>
        <v>101</v>
      </c>
    </row>
    <row r="200" spans="1:11" x14ac:dyDescent="0.25">
      <c r="H200" s="7">
        <v>2</v>
      </c>
      <c r="I200" s="7" t="str">
        <f t="shared" ref="I200:I202" si="22">MID($B$198,(H200-1)*8+1,8)</f>
        <v>11111100</v>
      </c>
      <c r="J200" s="7" t="str">
        <f t="shared" ref="J200:J202" si="23">BIN2HEX(I200,2)</f>
        <v>FC</v>
      </c>
      <c r="K200">
        <f t="shared" ref="K200:K202" si="24">BIN2DEC(I200)</f>
        <v>252</v>
      </c>
    </row>
    <row r="201" spans="1:11" x14ac:dyDescent="0.25">
      <c r="H201" s="7">
        <v>3</v>
      </c>
      <c r="I201" s="7" t="str">
        <f t="shared" si="22"/>
        <v>01111010</v>
      </c>
      <c r="J201" s="7" t="str">
        <f t="shared" si="23"/>
        <v>7A</v>
      </c>
      <c r="K201">
        <f t="shared" si="24"/>
        <v>122</v>
      </c>
    </row>
    <row r="202" spans="1:11" x14ac:dyDescent="0.25">
      <c r="H202" s="7">
        <v>4</v>
      </c>
      <c r="I202" s="7" t="str">
        <f t="shared" si="22"/>
        <v>01001000</v>
      </c>
      <c r="J202" s="7" t="str">
        <f t="shared" si="23"/>
        <v>48</v>
      </c>
      <c r="K202">
        <f t="shared" si="24"/>
        <v>72</v>
      </c>
    </row>
    <row r="205" spans="1:11" ht="18.75" x14ac:dyDescent="0.3">
      <c r="A205" t="s">
        <v>159</v>
      </c>
      <c r="B205" s="16" t="str">
        <f>B4</f>
        <v>11111010001101100101000111001111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11111010</v>
      </c>
      <c r="J206" s="7" t="str">
        <f>BIN2HEX(I206,2)</f>
        <v>FA</v>
      </c>
      <c r="K206">
        <f>BIN2DEC(I206)</f>
        <v>250</v>
      </c>
    </row>
    <row r="207" spans="1:11" x14ac:dyDescent="0.25">
      <c r="H207" s="7">
        <v>2</v>
      </c>
      <c r="I207" s="7" t="str">
        <f t="shared" ref="I207:I209" si="25">MID($B$205,(H207-1)*8+1,8)</f>
        <v>00110110</v>
      </c>
      <c r="J207" s="7" t="str">
        <f t="shared" ref="J207:J209" si="26">BIN2HEX(I207,2)</f>
        <v>36</v>
      </c>
      <c r="K207">
        <f t="shared" ref="K207:K209" si="27">BIN2DEC(I207)</f>
        <v>54</v>
      </c>
    </row>
    <row r="208" spans="1:11" x14ac:dyDescent="0.25">
      <c r="H208" s="7">
        <v>3</v>
      </c>
      <c r="I208" s="7" t="str">
        <f t="shared" si="25"/>
        <v>01010001</v>
      </c>
      <c r="J208" s="7" t="str">
        <f t="shared" si="26"/>
        <v>51</v>
      </c>
      <c r="K208">
        <f t="shared" si="27"/>
        <v>81</v>
      </c>
    </row>
    <row r="209" spans="1:11" x14ac:dyDescent="0.25">
      <c r="H209" s="7">
        <v>4</v>
      </c>
      <c r="I209" s="7" t="str">
        <f t="shared" si="25"/>
        <v>11001111</v>
      </c>
      <c r="J209" s="7" t="str">
        <f t="shared" si="26"/>
        <v>CF</v>
      </c>
      <c r="K209">
        <f t="shared" si="27"/>
        <v>207</v>
      </c>
    </row>
    <row r="211" spans="1:11" x14ac:dyDescent="0.25">
      <c r="A211" t="s">
        <v>319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159</v>
      </c>
      <c r="D213" s="7" t="str">
        <f>DEC2HEX(C213)</f>
        <v>9F</v>
      </c>
      <c r="E213" s="7" t="str">
        <f>DEC2BIN(C213,8)</f>
        <v>10011111</v>
      </c>
    </row>
    <row r="214" spans="1:11" x14ac:dyDescent="0.25">
      <c r="B214" s="7">
        <v>2</v>
      </c>
      <c r="C214" s="7">
        <f t="shared" ref="C214:C216" si="28">_xlfn.BITXOR(K200,K207)</f>
        <v>202</v>
      </c>
      <c r="D214" s="7" t="str">
        <f t="shared" ref="D214:D216" si="29">DEC2HEX(C214)</f>
        <v>CA</v>
      </c>
      <c r="E214" s="7" t="str">
        <f t="shared" ref="E214:E216" si="30">DEC2BIN(C214,8)</f>
        <v>11001010</v>
      </c>
    </row>
    <row r="215" spans="1:11" x14ac:dyDescent="0.25">
      <c r="B215" s="7">
        <v>3</v>
      </c>
      <c r="C215" s="7">
        <f t="shared" si="28"/>
        <v>43</v>
      </c>
      <c r="D215" s="7" t="str">
        <f t="shared" si="29"/>
        <v>2B</v>
      </c>
      <c r="E215" s="7" t="str">
        <f t="shared" si="30"/>
        <v>00101011</v>
      </c>
    </row>
    <row r="216" spans="1:11" x14ac:dyDescent="0.25">
      <c r="B216" s="7">
        <v>4</v>
      </c>
      <c r="C216" s="7">
        <f t="shared" si="28"/>
        <v>135</v>
      </c>
      <c r="D216" s="7" t="str">
        <f t="shared" si="29"/>
        <v>87</v>
      </c>
      <c r="E216" s="7" t="str">
        <f t="shared" si="30"/>
        <v>10000111</v>
      </c>
    </row>
    <row r="219" spans="1:11" ht="21" x14ac:dyDescent="0.35">
      <c r="A219" t="s">
        <v>160</v>
      </c>
      <c r="B219" s="8" t="str">
        <f>E213&amp;E214&amp;E215&amp;E216</f>
        <v>10011111110010100010101110000111</v>
      </c>
      <c r="C219" s="8"/>
      <c r="D219" s="8"/>
      <c r="E219" s="8"/>
    </row>
    <row r="220" spans="1:11" x14ac:dyDescent="0.25">
      <c r="A220" t="s">
        <v>161</v>
      </c>
      <c r="I220" s="7" t="s">
        <v>7</v>
      </c>
      <c r="J220" s="7" t="s">
        <v>7</v>
      </c>
      <c r="K220" s="7" t="s">
        <v>8</v>
      </c>
    </row>
    <row r="221" spans="1:11" ht="21" x14ac:dyDescent="0.35">
      <c r="A221" t="s">
        <v>162</v>
      </c>
      <c r="B221" s="8" t="str">
        <f>B2</f>
        <v>00111111011110011100011010100110</v>
      </c>
      <c r="C221" s="8"/>
      <c r="D221" s="8"/>
      <c r="E221" s="8"/>
      <c r="I221" s="7">
        <v>1</v>
      </c>
      <c r="J221" s="7" t="str">
        <f>MID($B$219,(I221-1)*8+1,8)</f>
        <v>10011111</v>
      </c>
      <c r="K221" s="7" t="str">
        <f>BIN2HEX(J221,2)</f>
        <v>9F</v>
      </c>
    </row>
    <row r="222" spans="1:11" x14ac:dyDescent="0.25">
      <c r="I222" s="7">
        <v>2</v>
      </c>
      <c r="J222" s="7" t="str">
        <f t="shared" ref="J222:J224" si="31">MID($B$219,(I222-1)*8+1,8)</f>
        <v>11001010</v>
      </c>
      <c r="K222" s="7" t="str">
        <f t="shared" ref="K222:K224" si="32">BIN2HEX(J222,2)</f>
        <v>CA</v>
      </c>
    </row>
    <row r="223" spans="1:11" x14ac:dyDescent="0.25">
      <c r="I223" s="7">
        <v>3</v>
      </c>
      <c r="J223" s="7" t="str">
        <f t="shared" si="31"/>
        <v>00101011</v>
      </c>
      <c r="K223" s="7" t="str">
        <f t="shared" si="32"/>
        <v>2B</v>
      </c>
    </row>
    <row r="224" spans="1:11" x14ac:dyDescent="0.25">
      <c r="I224" s="7">
        <v>4</v>
      </c>
      <c r="J224" s="7" t="str">
        <f t="shared" si="31"/>
        <v>10000111</v>
      </c>
      <c r="K224" s="7" t="str">
        <f t="shared" si="32"/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E0C1-ED34-4AB5-B112-33E77A64679E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156</v>
      </c>
      <c r="B1" s="22" t="s">
        <v>205</v>
      </c>
      <c r="I1" t="s">
        <v>157</v>
      </c>
      <c r="J1" s="22" t="s">
        <v>206</v>
      </c>
    </row>
    <row r="2" spans="1:16" ht="18.75" x14ac:dyDescent="0.3">
      <c r="A2" t="s">
        <v>163</v>
      </c>
      <c r="B2" s="22" t="s">
        <v>209</v>
      </c>
      <c r="I2" t="s">
        <v>164</v>
      </c>
      <c r="J2" s="22" t="s">
        <v>210</v>
      </c>
    </row>
    <row r="4" spans="1:16" x14ac:dyDescent="0.25">
      <c r="A4" t="s">
        <v>320</v>
      </c>
      <c r="D4" s="1" t="str">
        <f>D7</f>
        <v>101111111001000110000101000010100001011110110101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321</v>
      </c>
      <c r="C5" s="6" t="s">
        <v>211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10111111</v>
      </c>
      <c r="L5" s="7" t="str">
        <f>BIN2HEX(K5,2)</f>
        <v>BF</v>
      </c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10010001</v>
      </c>
      <c r="L6" s="7" t="str">
        <f t="shared" ref="L6:L10" si="1">BIN2HEX(K6,2)</f>
        <v>91</v>
      </c>
    </row>
    <row r="7" spans="1:16" x14ac:dyDescent="0.25">
      <c r="A7">
        <v>1</v>
      </c>
      <c r="B7">
        <v>14</v>
      </c>
      <c r="C7" t="str">
        <f t="shared" ref="C7:C54" si="2">MID($C$5,B7,1)</f>
        <v>1</v>
      </c>
      <c r="D7" t="str">
        <f t="shared" ref="D7:D51" si="3">C7&amp;D8</f>
        <v>101111111001000110000101000010100001011110110101</v>
      </c>
      <c r="J7" s="7">
        <v>3</v>
      </c>
      <c r="K7" s="7" t="str">
        <f t="shared" si="0"/>
        <v>10000101</v>
      </c>
      <c r="L7" s="7" t="str">
        <f t="shared" si="1"/>
        <v>85</v>
      </c>
      <c r="P7" s="20"/>
    </row>
    <row r="8" spans="1:16" x14ac:dyDescent="0.25">
      <c r="A8">
        <v>2</v>
      </c>
      <c r="B8">
        <v>17</v>
      </c>
      <c r="C8" t="str">
        <f t="shared" si="2"/>
        <v>0</v>
      </c>
      <c r="D8" t="str">
        <f t="shared" si="3"/>
        <v>01111111001000110000101000010100001011110110101</v>
      </c>
      <c r="J8" s="7">
        <v>4</v>
      </c>
      <c r="K8" s="7" t="str">
        <f t="shared" si="0"/>
        <v>00001010</v>
      </c>
      <c r="L8" s="7" t="str">
        <f t="shared" si="1"/>
        <v>0A</v>
      </c>
      <c r="P8" s="20"/>
    </row>
    <row r="9" spans="1:16" x14ac:dyDescent="0.25">
      <c r="A9">
        <v>3</v>
      </c>
      <c r="B9">
        <v>11</v>
      </c>
      <c r="C9" t="str">
        <f t="shared" si="2"/>
        <v>1</v>
      </c>
      <c r="D9" t="str">
        <f t="shared" si="3"/>
        <v>1111111001000110000101000010100001011110110101</v>
      </c>
      <c r="J9" s="7">
        <v>5</v>
      </c>
      <c r="K9" s="7" t="str">
        <f t="shared" si="0"/>
        <v>00010111</v>
      </c>
      <c r="L9" s="7" t="str">
        <f t="shared" si="1"/>
        <v>17</v>
      </c>
      <c r="O9" s="20"/>
    </row>
    <row r="10" spans="1:16" x14ac:dyDescent="0.25">
      <c r="A10">
        <v>4</v>
      </c>
      <c r="B10">
        <v>24</v>
      </c>
      <c r="C10" t="str">
        <f t="shared" si="2"/>
        <v>1</v>
      </c>
      <c r="D10" t="str">
        <f t="shared" si="3"/>
        <v>111111001000110000101000010100001011110110101</v>
      </c>
      <c r="J10" s="7">
        <v>6</v>
      </c>
      <c r="K10" s="7" t="str">
        <f>MID($D$4,(J10-1)*8+1,8)</f>
        <v>10110101</v>
      </c>
      <c r="L10" s="7" t="str">
        <f t="shared" si="1"/>
        <v>B5</v>
      </c>
    </row>
    <row r="11" spans="1:16" x14ac:dyDescent="0.25">
      <c r="A11">
        <v>5</v>
      </c>
      <c r="B11">
        <v>1</v>
      </c>
      <c r="C11" t="str">
        <f t="shared" si="2"/>
        <v>1</v>
      </c>
      <c r="D11" t="str">
        <f t="shared" si="3"/>
        <v>11111001000110000101000010100001011110110101</v>
      </c>
    </row>
    <row r="12" spans="1:16" x14ac:dyDescent="0.25">
      <c r="A12">
        <v>6</v>
      </c>
      <c r="B12">
        <v>5</v>
      </c>
      <c r="C12" t="str">
        <f t="shared" si="2"/>
        <v>1</v>
      </c>
      <c r="D12" t="str">
        <f t="shared" si="3"/>
        <v>1111001000110000101000010100001011110110101</v>
      </c>
    </row>
    <row r="13" spans="1:16" x14ac:dyDescent="0.25">
      <c r="A13">
        <v>7</v>
      </c>
      <c r="B13">
        <v>3</v>
      </c>
      <c r="C13" t="str">
        <f t="shared" si="2"/>
        <v>1</v>
      </c>
      <c r="D13" t="str">
        <f t="shared" si="3"/>
        <v>111001000110000101000010100001011110110101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11001000110000101000010100001011110110101</v>
      </c>
    </row>
    <row r="15" spans="1:16" x14ac:dyDescent="0.25">
      <c r="A15">
        <v>9</v>
      </c>
      <c r="B15">
        <v>15</v>
      </c>
      <c r="C15" t="str">
        <f t="shared" si="2"/>
        <v>1</v>
      </c>
      <c r="D15" t="str">
        <f t="shared" si="3"/>
        <v>1001000110000101000010100001011110110101</v>
      </c>
    </row>
    <row r="16" spans="1:16" x14ac:dyDescent="0.25">
      <c r="A16">
        <v>10</v>
      </c>
      <c r="B16">
        <v>6</v>
      </c>
      <c r="C16" t="str">
        <f t="shared" si="2"/>
        <v>0</v>
      </c>
      <c r="D16" t="str">
        <f t="shared" si="3"/>
        <v>001000110000101000010100001011110110101</v>
      </c>
    </row>
    <row r="17" spans="1:4" x14ac:dyDescent="0.25">
      <c r="A17">
        <v>11</v>
      </c>
      <c r="B17">
        <v>21</v>
      </c>
      <c r="C17" t="str">
        <f t="shared" si="2"/>
        <v>0</v>
      </c>
      <c r="D17" t="str">
        <f t="shared" si="3"/>
        <v>01000110000101000010100001011110110101</v>
      </c>
    </row>
    <row r="18" spans="1:4" x14ac:dyDescent="0.25">
      <c r="A18">
        <v>12</v>
      </c>
      <c r="B18">
        <v>10</v>
      </c>
      <c r="C18" t="str">
        <f t="shared" si="2"/>
        <v>1</v>
      </c>
      <c r="D18" t="str">
        <f t="shared" si="3"/>
        <v>1000110000101000010100001011110110101</v>
      </c>
    </row>
    <row r="19" spans="1:4" x14ac:dyDescent="0.25">
      <c r="A19">
        <v>13</v>
      </c>
      <c r="B19">
        <v>23</v>
      </c>
      <c r="C19" t="str">
        <f t="shared" si="2"/>
        <v>0</v>
      </c>
      <c r="D19" t="str">
        <f t="shared" si="3"/>
        <v>000110000101000010100001011110110101</v>
      </c>
    </row>
    <row r="20" spans="1:4" x14ac:dyDescent="0.25">
      <c r="A20">
        <v>14</v>
      </c>
      <c r="B20">
        <v>19</v>
      </c>
      <c r="C20" t="str">
        <f t="shared" si="2"/>
        <v>0</v>
      </c>
      <c r="D20" t="str">
        <f t="shared" si="3"/>
        <v>00110000101000010100001011110110101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0110000101000010100001011110110101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110000101000010100001011110110101</v>
      </c>
    </row>
    <row r="23" spans="1:4" x14ac:dyDescent="0.25">
      <c r="A23">
        <v>17</v>
      </c>
      <c r="B23">
        <v>26</v>
      </c>
      <c r="C23" t="str">
        <f t="shared" si="2"/>
        <v>1</v>
      </c>
      <c r="D23" t="str">
        <f t="shared" si="3"/>
        <v>10000101000010100001011110110101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0000101000010100001011110110101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000101000010100001011110110101</v>
      </c>
    </row>
    <row r="26" spans="1:4" x14ac:dyDescent="0.25">
      <c r="A26">
        <v>20</v>
      </c>
      <c r="B26">
        <v>7</v>
      </c>
      <c r="C26" t="str">
        <f t="shared" si="2"/>
        <v>0</v>
      </c>
      <c r="D26" t="str">
        <f t="shared" si="3"/>
        <v>00101000010100001011110110101</v>
      </c>
    </row>
    <row r="27" spans="1:4" x14ac:dyDescent="0.25">
      <c r="A27">
        <v>21</v>
      </c>
      <c r="B27">
        <v>27</v>
      </c>
      <c r="C27" t="str">
        <f t="shared" si="2"/>
        <v>0</v>
      </c>
      <c r="D27" t="str">
        <f t="shared" si="3"/>
        <v>0101000010100001011110110101</v>
      </c>
    </row>
    <row r="28" spans="1:4" x14ac:dyDescent="0.25">
      <c r="A28">
        <v>22</v>
      </c>
      <c r="B28">
        <v>20</v>
      </c>
      <c r="C28" t="str">
        <f t="shared" si="2"/>
        <v>1</v>
      </c>
      <c r="D28" t="str">
        <f t="shared" si="3"/>
        <v>101000010100001011110110101</v>
      </c>
    </row>
    <row r="29" spans="1:4" x14ac:dyDescent="0.25">
      <c r="A29">
        <v>23</v>
      </c>
      <c r="B29">
        <v>13</v>
      </c>
      <c r="C29" t="str">
        <f t="shared" si="2"/>
        <v>0</v>
      </c>
      <c r="D29" t="str">
        <f t="shared" si="3"/>
        <v>01000010100001011110110101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1000010100001011110110101</v>
      </c>
    </row>
    <row r="31" spans="1:4" x14ac:dyDescent="0.25">
      <c r="A31">
        <v>25</v>
      </c>
      <c r="B31">
        <v>41</v>
      </c>
      <c r="C31" t="str">
        <f t="shared" si="2"/>
        <v>0</v>
      </c>
      <c r="D31" t="str">
        <f t="shared" si="3"/>
        <v>000010100001011110110101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00010100001011110110101</v>
      </c>
    </row>
    <row r="33" spans="1:4" x14ac:dyDescent="0.25">
      <c r="A33">
        <v>27</v>
      </c>
      <c r="B33">
        <v>31</v>
      </c>
      <c r="C33" t="str">
        <f t="shared" si="2"/>
        <v>0</v>
      </c>
      <c r="D33" t="str">
        <f t="shared" si="3"/>
        <v>0010100001011110110101</v>
      </c>
    </row>
    <row r="34" spans="1:4" x14ac:dyDescent="0.25">
      <c r="A34">
        <v>28</v>
      </c>
      <c r="B34">
        <v>37</v>
      </c>
      <c r="C34" t="str">
        <f t="shared" si="2"/>
        <v>0</v>
      </c>
      <c r="D34" t="str">
        <f t="shared" si="3"/>
        <v>010100001011110110101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10100001011110110101</v>
      </c>
    </row>
    <row r="36" spans="1:4" x14ac:dyDescent="0.25">
      <c r="A36">
        <v>30</v>
      </c>
      <c r="B36">
        <v>55</v>
      </c>
      <c r="C36" t="str">
        <f t="shared" si="2"/>
        <v>0</v>
      </c>
      <c r="D36" t="str">
        <f t="shared" si="3"/>
        <v>0100001011110110101</v>
      </c>
    </row>
    <row r="37" spans="1:4" x14ac:dyDescent="0.25">
      <c r="A37">
        <v>31</v>
      </c>
      <c r="B37">
        <v>30</v>
      </c>
      <c r="C37" t="str">
        <f t="shared" si="2"/>
        <v>1</v>
      </c>
      <c r="D37" t="str">
        <f t="shared" si="3"/>
        <v>100001011110110101</v>
      </c>
    </row>
    <row r="38" spans="1:4" x14ac:dyDescent="0.25">
      <c r="A38">
        <v>32</v>
      </c>
      <c r="B38">
        <v>40</v>
      </c>
      <c r="C38" t="str">
        <f t="shared" si="2"/>
        <v>0</v>
      </c>
      <c r="D38" t="str">
        <f t="shared" si="3"/>
        <v>00001011110110101</v>
      </c>
    </row>
    <row r="39" spans="1:4" x14ac:dyDescent="0.25">
      <c r="A39">
        <v>33</v>
      </c>
      <c r="B39">
        <v>51</v>
      </c>
      <c r="C39" t="str">
        <f t="shared" si="2"/>
        <v>0</v>
      </c>
      <c r="D39" t="str">
        <f t="shared" si="3"/>
        <v>0001011110110101</v>
      </c>
    </row>
    <row r="40" spans="1:4" x14ac:dyDescent="0.25">
      <c r="A40">
        <v>34</v>
      </c>
      <c r="B40">
        <v>45</v>
      </c>
      <c r="C40" t="str">
        <f t="shared" si="2"/>
        <v>0</v>
      </c>
      <c r="D40" t="str">
        <f t="shared" si="3"/>
        <v>001011110110101</v>
      </c>
    </row>
    <row r="41" spans="1:4" x14ac:dyDescent="0.25">
      <c r="A41">
        <v>35</v>
      </c>
      <c r="B41">
        <v>33</v>
      </c>
      <c r="C41" t="str">
        <f t="shared" si="2"/>
        <v>0</v>
      </c>
      <c r="D41" t="str">
        <f t="shared" si="3"/>
        <v>01011110110101</v>
      </c>
    </row>
    <row r="42" spans="1:4" x14ac:dyDescent="0.25">
      <c r="A42">
        <v>36</v>
      </c>
      <c r="B42">
        <v>48</v>
      </c>
      <c r="C42" t="str">
        <f t="shared" si="2"/>
        <v>1</v>
      </c>
      <c r="D42" t="str">
        <f t="shared" si="3"/>
        <v>1011110110101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011110110101</v>
      </c>
    </row>
    <row r="44" spans="1:4" x14ac:dyDescent="0.25">
      <c r="A44">
        <v>38</v>
      </c>
      <c r="B44">
        <v>49</v>
      </c>
      <c r="C44" t="str">
        <f t="shared" si="2"/>
        <v>1</v>
      </c>
      <c r="D44" t="str">
        <f t="shared" si="3"/>
        <v>11110110101</v>
      </c>
    </row>
    <row r="45" spans="1:4" x14ac:dyDescent="0.25">
      <c r="A45">
        <v>39</v>
      </c>
      <c r="B45">
        <v>39</v>
      </c>
      <c r="C45" t="str">
        <f t="shared" si="2"/>
        <v>1</v>
      </c>
      <c r="D45" t="str">
        <f t="shared" si="3"/>
        <v>1110110101</v>
      </c>
    </row>
    <row r="46" spans="1:4" x14ac:dyDescent="0.25">
      <c r="A46">
        <v>40</v>
      </c>
      <c r="B46">
        <v>56</v>
      </c>
      <c r="C46" t="str">
        <f t="shared" si="2"/>
        <v>1</v>
      </c>
      <c r="D46" t="str">
        <f t="shared" si="3"/>
        <v>110110101</v>
      </c>
    </row>
    <row r="47" spans="1:4" x14ac:dyDescent="0.25">
      <c r="A47">
        <v>41</v>
      </c>
      <c r="B47">
        <v>34</v>
      </c>
      <c r="C47" t="str">
        <f t="shared" si="2"/>
        <v>1</v>
      </c>
      <c r="D47" t="str">
        <f t="shared" si="3"/>
        <v>10110101</v>
      </c>
    </row>
    <row r="48" spans="1:4" x14ac:dyDescent="0.25">
      <c r="A48">
        <v>42</v>
      </c>
      <c r="B48">
        <v>53</v>
      </c>
      <c r="C48" t="str">
        <f t="shared" si="2"/>
        <v>0</v>
      </c>
      <c r="D48" t="str">
        <f t="shared" si="3"/>
        <v>0110101</v>
      </c>
    </row>
    <row r="49" spans="1:4" x14ac:dyDescent="0.25">
      <c r="A49">
        <v>43</v>
      </c>
      <c r="B49">
        <v>46</v>
      </c>
      <c r="C49" t="str">
        <f t="shared" si="2"/>
        <v>1</v>
      </c>
      <c r="D49" t="str">
        <f t="shared" si="3"/>
        <v>110101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10101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0101</v>
      </c>
    </row>
    <row r="52" spans="1:4" x14ac:dyDescent="0.25">
      <c r="A52">
        <v>46</v>
      </c>
      <c r="B52">
        <v>36</v>
      </c>
      <c r="C52" t="str">
        <f t="shared" si="2"/>
        <v>1</v>
      </c>
      <c r="D52" t="str">
        <f>C52&amp;D53</f>
        <v>101</v>
      </c>
    </row>
    <row r="53" spans="1:4" x14ac:dyDescent="0.25">
      <c r="A53">
        <v>47</v>
      </c>
      <c r="B53">
        <v>29</v>
      </c>
      <c r="C53" t="str">
        <f t="shared" si="2"/>
        <v>0</v>
      </c>
      <c r="D53" t="str">
        <f>C53&amp;C54</f>
        <v>01</v>
      </c>
    </row>
    <row r="54" spans="1:4" x14ac:dyDescent="0.25">
      <c r="A54">
        <v>48</v>
      </c>
      <c r="B54">
        <v>32</v>
      </c>
      <c r="C54" t="str">
        <f t="shared" si="2"/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D0AE-1B20-481E-BDD6-656CAF3FE36C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320</v>
      </c>
      <c r="D1" t="s">
        <v>212</v>
      </c>
    </row>
    <row r="2" spans="1:4" x14ac:dyDescent="0.25">
      <c r="A2" t="s">
        <v>160</v>
      </c>
      <c r="B2" t="s">
        <v>229</v>
      </c>
    </row>
    <row r="3" spans="1:4" x14ac:dyDescent="0.25">
      <c r="A3" t="s">
        <v>161</v>
      </c>
    </row>
    <row r="4" spans="1:4" x14ac:dyDescent="0.25">
      <c r="A4" t="s">
        <v>162</v>
      </c>
      <c r="B4" t="s">
        <v>228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1</v>
      </c>
      <c r="D7" t="str">
        <f t="shared" ref="D7:D50" si="0">C7&amp;D8</f>
        <v>110011111111111001010100000101010111110000001111</v>
      </c>
    </row>
    <row r="8" spans="1:4" x14ac:dyDescent="0.25">
      <c r="A8">
        <v>2</v>
      </c>
      <c r="B8">
        <v>1</v>
      </c>
      <c r="C8" t="str">
        <f t="shared" ref="C8:C54" si="1">MID($B$2,B8,1)</f>
        <v>1</v>
      </c>
      <c r="D8" t="str">
        <f t="shared" si="0"/>
        <v>10011111111111001010100000101010111110000001111</v>
      </c>
    </row>
    <row r="9" spans="1:4" x14ac:dyDescent="0.25">
      <c r="A9">
        <v>3</v>
      </c>
      <c r="B9">
        <v>2</v>
      </c>
      <c r="C9" t="str">
        <f t="shared" si="1"/>
        <v>0</v>
      </c>
      <c r="D9" t="str">
        <f t="shared" si="0"/>
        <v>0011111111111001010100000101010111110000001111</v>
      </c>
    </row>
    <row r="10" spans="1:4" x14ac:dyDescent="0.25">
      <c r="A10">
        <v>4</v>
      </c>
      <c r="B10">
        <v>3</v>
      </c>
      <c r="C10" t="str">
        <f t="shared" si="1"/>
        <v>0</v>
      </c>
      <c r="D10" t="str">
        <f t="shared" si="0"/>
        <v>011111111111001010100000101010111110000001111</v>
      </c>
    </row>
    <row r="11" spans="1:4" x14ac:dyDescent="0.25">
      <c r="A11">
        <v>5</v>
      </c>
      <c r="B11">
        <v>4</v>
      </c>
      <c r="C11" t="str">
        <f t="shared" si="1"/>
        <v>1</v>
      </c>
      <c r="D11" t="str">
        <f t="shared" si="0"/>
        <v>11111111111001010100000101010111110000001111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1111111111001010100000101010111110000001111</v>
      </c>
    </row>
    <row r="13" spans="1:4" x14ac:dyDescent="0.25">
      <c r="A13">
        <v>7</v>
      </c>
      <c r="B13">
        <v>4</v>
      </c>
      <c r="C13" t="str">
        <f t="shared" si="1"/>
        <v>1</v>
      </c>
      <c r="D13" t="str">
        <f t="shared" si="0"/>
        <v>111111111001010100000101010111110000001111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11111111001010100000101010111110000001111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1111111001010100000101010111110000001111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111111001010100000101010111110000001111</v>
      </c>
    </row>
    <row r="17" spans="1:4" x14ac:dyDescent="0.25">
      <c r="A17">
        <v>11</v>
      </c>
      <c r="B17">
        <v>8</v>
      </c>
      <c r="C17" t="str">
        <f t="shared" si="1"/>
        <v>1</v>
      </c>
      <c r="D17" t="str">
        <f t="shared" si="0"/>
        <v>11111001010100000101010111110000001111</v>
      </c>
    </row>
    <row r="18" spans="1:4" x14ac:dyDescent="0.25">
      <c r="A18">
        <v>12</v>
      </c>
      <c r="B18">
        <v>9</v>
      </c>
      <c r="C18" t="str">
        <f t="shared" si="1"/>
        <v>1</v>
      </c>
      <c r="D18" t="str">
        <f t="shared" si="0"/>
        <v>1111001010100000101010111110000001111</v>
      </c>
    </row>
    <row r="19" spans="1:4" x14ac:dyDescent="0.25">
      <c r="A19">
        <v>13</v>
      </c>
      <c r="B19">
        <v>8</v>
      </c>
      <c r="C19" t="str">
        <f t="shared" si="1"/>
        <v>1</v>
      </c>
      <c r="D19" t="str">
        <f t="shared" si="0"/>
        <v>111001010100000101010111110000001111</v>
      </c>
    </row>
    <row r="20" spans="1:4" x14ac:dyDescent="0.25">
      <c r="A20">
        <v>14</v>
      </c>
      <c r="B20">
        <v>9</v>
      </c>
      <c r="C20" t="str">
        <f t="shared" si="1"/>
        <v>1</v>
      </c>
      <c r="D20" t="str">
        <f t="shared" si="0"/>
        <v>11001010100000101010111110000001111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1001010100000101010111110000001111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001010100000101010111110000001111</v>
      </c>
    </row>
    <row r="23" spans="1:4" x14ac:dyDescent="0.25">
      <c r="A23">
        <v>17</v>
      </c>
      <c r="B23">
        <v>12</v>
      </c>
      <c r="C23" t="str">
        <f t="shared" si="1"/>
        <v>0</v>
      </c>
      <c r="D23" t="str">
        <f t="shared" si="0"/>
        <v>01010100000101010111110000001111</v>
      </c>
    </row>
    <row r="24" spans="1:4" x14ac:dyDescent="0.25">
      <c r="A24">
        <v>18</v>
      </c>
      <c r="B24">
        <v>13</v>
      </c>
      <c r="C24" t="str">
        <f t="shared" si="1"/>
        <v>1</v>
      </c>
      <c r="D24" t="str">
        <f t="shared" si="0"/>
        <v>1010100000101010111110000001111</v>
      </c>
    </row>
    <row r="25" spans="1:4" x14ac:dyDescent="0.25">
      <c r="A25">
        <v>19</v>
      </c>
      <c r="B25">
        <v>12</v>
      </c>
      <c r="C25" t="str">
        <f t="shared" si="1"/>
        <v>0</v>
      </c>
      <c r="D25" t="str">
        <f t="shared" si="0"/>
        <v>010100000101010111110000001111</v>
      </c>
    </row>
    <row r="26" spans="1:4" x14ac:dyDescent="0.25">
      <c r="A26">
        <v>20</v>
      </c>
      <c r="B26">
        <v>13</v>
      </c>
      <c r="C26" t="str">
        <f t="shared" si="1"/>
        <v>1</v>
      </c>
      <c r="D26" t="str">
        <f t="shared" si="0"/>
        <v>10100000101010111110000001111</v>
      </c>
    </row>
    <row r="27" spans="1:4" x14ac:dyDescent="0.25">
      <c r="A27">
        <v>21</v>
      </c>
      <c r="B27">
        <v>14</v>
      </c>
      <c r="C27" t="str">
        <f t="shared" si="1"/>
        <v>0</v>
      </c>
      <c r="D27" t="str">
        <f t="shared" si="0"/>
        <v>0100000101010111110000001111</v>
      </c>
    </row>
    <row r="28" spans="1:4" x14ac:dyDescent="0.25">
      <c r="A28">
        <v>22</v>
      </c>
      <c r="B28">
        <v>15</v>
      </c>
      <c r="C28" t="str">
        <f t="shared" si="1"/>
        <v>1</v>
      </c>
      <c r="D28" t="str">
        <f t="shared" si="0"/>
        <v>100000101010111110000001111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00000101010111110000001111</v>
      </c>
    </row>
    <row r="30" spans="1:4" x14ac:dyDescent="0.25">
      <c r="A30">
        <v>24</v>
      </c>
      <c r="B30">
        <v>17</v>
      </c>
      <c r="C30" t="str">
        <f t="shared" si="1"/>
        <v>0</v>
      </c>
      <c r="D30" t="str">
        <f t="shared" si="0"/>
        <v>0000101010111110000001111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000101010111110000001111</v>
      </c>
    </row>
    <row r="32" spans="1:4" x14ac:dyDescent="0.25">
      <c r="A32">
        <v>26</v>
      </c>
      <c r="B32">
        <v>17</v>
      </c>
      <c r="C32" t="str">
        <f t="shared" si="1"/>
        <v>0</v>
      </c>
      <c r="D32" t="str">
        <f t="shared" si="0"/>
        <v>00101010111110000001111</v>
      </c>
    </row>
    <row r="33" spans="1:4" x14ac:dyDescent="0.25">
      <c r="A33">
        <v>27</v>
      </c>
      <c r="B33">
        <v>18</v>
      </c>
      <c r="C33" t="str">
        <f t="shared" si="1"/>
        <v>0</v>
      </c>
      <c r="D33" t="str">
        <f t="shared" si="0"/>
        <v>0101010111110000001111</v>
      </c>
    </row>
    <row r="34" spans="1:4" x14ac:dyDescent="0.25">
      <c r="A34">
        <v>28</v>
      </c>
      <c r="B34">
        <v>19</v>
      </c>
      <c r="C34" t="str">
        <f t="shared" si="1"/>
        <v>1</v>
      </c>
      <c r="D34" t="str">
        <f t="shared" si="0"/>
        <v>101010111110000001111</v>
      </c>
    </row>
    <row r="35" spans="1:4" x14ac:dyDescent="0.25">
      <c r="A35">
        <v>29</v>
      </c>
      <c r="B35">
        <v>20</v>
      </c>
      <c r="C35" t="str">
        <f t="shared" si="1"/>
        <v>0</v>
      </c>
      <c r="D35" t="str">
        <f t="shared" si="0"/>
        <v>01010111110000001111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1010111110000001111</v>
      </c>
    </row>
    <row r="37" spans="1:4" x14ac:dyDescent="0.25">
      <c r="A37">
        <v>31</v>
      </c>
      <c r="B37">
        <v>20</v>
      </c>
      <c r="C37" t="str">
        <f t="shared" si="1"/>
        <v>0</v>
      </c>
      <c r="D37" t="str">
        <f t="shared" si="0"/>
        <v>010111110000001111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10111110000001111</v>
      </c>
    </row>
    <row r="39" spans="1:4" x14ac:dyDescent="0.25">
      <c r="A39">
        <v>33</v>
      </c>
      <c r="B39">
        <v>22</v>
      </c>
      <c r="C39" t="str">
        <f t="shared" si="1"/>
        <v>0</v>
      </c>
      <c r="D39" t="str">
        <f t="shared" si="0"/>
        <v>0111110000001111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111110000001111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11110000001111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1110000001111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110000001111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10000001111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0000001111</v>
      </c>
    </row>
    <row r="46" spans="1:4" x14ac:dyDescent="0.25">
      <c r="A46">
        <v>40</v>
      </c>
      <c r="B46">
        <v>27</v>
      </c>
      <c r="C46" t="str">
        <f t="shared" si="1"/>
        <v>0</v>
      </c>
      <c r="D46" t="str">
        <f t="shared" si="0"/>
        <v>000001111</v>
      </c>
    </row>
    <row r="47" spans="1:4" x14ac:dyDescent="0.25">
      <c r="A47">
        <v>41</v>
      </c>
      <c r="B47">
        <v>28</v>
      </c>
      <c r="C47" t="str">
        <f t="shared" si="1"/>
        <v>0</v>
      </c>
      <c r="D47" t="str">
        <f t="shared" si="0"/>
        <v>00001111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0001111</v>
      </c>
    </row>
    <row r="49" spans="1:4" x14ac:dyDescent="0.25">
      <c r="A49">
        <v>43</v>
      </c>
      <c r="B49">
        <v>28</v>
      </c>
      <c r="C49" t="str">
        <f t="shared" si="1"/>
        <v>0</v>
      </c>
      <c r="D49" t="str">
        <f t="shared" si="0"/>
        <v>001111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01111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>C51&amp;D52</f>
        <v>1111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>C52&amp;D53</f>
        <v>111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11</v>
      </c>
    </row>
    <row r="54" spans="1:4" x14ac:dyDescent="0.25">
      <c r="A54">
        <v>48</v>
      </c>
      <c r="B54">
        <v>1</v>
      </c>
      <c r="C54" t="str">
        <f t="shared" si="1"/>
        <v>1</v>
      </c>
    </row>
    <row r="56" spans="1:4" x14ac:dyDescent="0.25">
      <c r="A56" t="s">
        <v>326</v>
      </c>
      <c r="B56" t="str">
        <f>D7</f>
        <v>110011111111111001010100000101010111110000001111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11001111</v>
      </c>
      <c r="C59" s="7" t="str">
        <f t="shared" ref="C59:C64" si="2">BIN2HEX(B59,2)</f>
        <v>CF</v>
      </c>
    </row>
    <row r="60" spans="1:4" x14ac:dyDescent="0.25">
      <c r="A60" s="7">
        <v>2</v>
      </c>
      <c r="B60" s="7" t="str">
        <f t="shared" ref="B60:B64" si="3">MID($B$56,(A60-1)*8+1,8)</f>
        <v>11111110</v>
      </c>
      <c r="C60" s="7" t="str">
        <f t="shared" si="2"/>
        <v>FE</v>
      </c>
    </row>
    <row r="61" spans="1:4" x14ac:dyDescent="0.25">
      <c r="A61" s="7">
        <v>3</v>
      </c>
      <c r="B61" s="7" t="str">
        <f t="shared" si="3"/>
        <v>01010100</v>
      </c>
      <c r="C61" s="7" t="str">
        <f t="shared" si="2"/>
        <v>54</v>
      </c>
    </row>
    <row r="62" spans="1:4" x14ac:dyDescent="0.25">
      <c r="A62" s="7">
        <v>4</v>
      </c>
      <c r="B62" s="7" t="str">
        <f t="shared" si="3"/>
        <v>00010101</v>
      </c>
      <c r="C62" s="7" t="str">
        <f t="shared" si="2"/>
        <v>15</v>
      </c>
    </row>
    <row r="63" spans="1:4" x14ac:dyDescent="0.25">
      <c r="A63" s="7">
        <v>5</v>
      </c>
      <c r="B63" s="7" t="str">
        <f t="shared" si="3"/>
        <v>01111100</v>
      </c>
      <c r="C63" s="7" t="str">
        <f t="shared" si="2"/>
        <v>7C</v>
      </c>
    </row>
    <row r="64" spans="1:4" x14ac:dyDescent="0.25">
      <c r="A64" s="7">
        <v>6</v>
      </c>
      <c r="B64" s="7" t="str">
        <f t="shared" si="3"/>
        <v>00001111</v>
      </c>
      <c r="C64" s="7" t="str">
        <f t="shared" si="2"/>
        <v>0F</v>
      </c>
    </row>
    <row r="65" spans="1:10" x14ac:dyDescent="0.25">
      <c r="A65" t="s">
        <v>325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10111111</v>
      </c>
      <c r="C68" s="7" t="str">
        <f>BIN2HEX(B68,2)</f>
        <v>BF</v>
      </c>
      <c r="D68">
        <f>BIN2DEC(B68)</f>
        <v>191</v>
      </c>
      <c r="G68" s="7">
        <v>1</v>
      </c>
      <c r="H68" s="7" t="str">
        <f>MID($B$56,(G68-1)*8+1,8)</f>
        <v>11001111</v>
      </c>
      <c r="I68" s="7" t="str">
        <f>BIN2HEX(H68,2)</f>
        <v>CF</v>
      </c>
      <c r="J68">
        <f>BIN2DEC(H68)</f>
        <v>207</v>
      </c>
    </row>
    <row r="69" spans="1:10" x14ac:dyDescent="0.25">
      <c r="A69" s="7">
        <v>2</v>
      </c>
      <c r="B69" s="7" t="str">
        <f t="shared" ref="B69:B73" si="4">MID($D$1,(A69-1)*8+1,8)</f>
        <v>10010001</v>
      </c>
      <c r="C69" s="7" t="str">
        <f t="shared" ref="C69:C73" si="5">BIN2HEX(B69,2)</f>
        <v>91</v>
      </c>
      <c r="D69">
        <f t="shared" ref="D69:D73" si="6">BIN2DEC(B69)</f>
        <v>145</v>
      </c>
      <c r="G69" s="7">
        <v>2</v>
      </c>
      <c r="H69" s="7" t="str">
        <f t="shared" ref="H69:H73" si="7">MID($B$56,(G69-1)*8+1,8)</f>
        <v>11111110</v>
      </c>
      <c r="I69" s="7" t="str">
        <f t="shared" ref="I69:I73" si="8">BIN2HEX(H69,2)</f>
        <v>FE</v>
      </c>
      <c r="J69">
        <f t="shared" ref="J69:J73" si="9">BIN2DEC(H69)</f>
        <v>254</v>
      </c>
    </row>
    <row r="70" spans="1:10" x14ac:dyDescent="0.25">
      <c r="A70" s="7">
        <v>3</v>
      </c>
      <c r="B70" s="7" t="str">
        <f t="shared" si="4"/>
        <v>10000101</v>
      </c>
      <c r="C70" s="7" t="str">
        <f t="shared" si="5"/>
        <v>85</v>
      </c>
      <c r="D70">
        <f t="shared" si="6"/>
        <v>133</v>
      </c>
      <c r="G70" s="7">
        <v>3</v>
      </c>
      <c r="H70" s="7" t="str">
        <f t="shared" si="7"/>
        <v>01010100</v>
      </c>
      <c r="I70" s="7" t="str">
        <f t="shared" si="8"/>
        <v>54</v>
      </c>
      <c r="J70">
        <f t="shared" si="9"/>
        <v>84</v>
      </c>
    </row>
    <row r="71" spans="1:10" x14ac:dyDescent="0.25">
      <c r="A71" s="7">
        <v>4</v>
      </c>
      <c r="B71" s="7" t="str">
        <f t="shared" si="4"/>
        <v>00001010</v>
      </c>
      <c r="C71" s="7" t="str">
        <f t="shared" si="5"/>
        <v>0A</v>
      </c>
      <c r="D71">
        <f t="shared" si="6"/>
        <v>10</v>
      </c>
      <c r="G71" s="7">
        <v>4</v>
      </c>
      <c r="H71" s="7" t="str">
        <f t="shared" si="7"/>
        <v>00010101</v>
      </c>
      <c r="I71" s="7" t="str">
        <f t="shared" si="8"/>
        <v>15</v>
      </c>
      <c r="J71">
        <f t="shared" si="9"/>
        <v>21</v>
      </c>
    </row>
    <row r="72" spans="1:10" x14ac:dyDescent="0.25">
      <c r="A72" s="7">
        <v>5</v>
      </c>
      <c r="B72" s="7" t="str">
        <f t="shared" si="4"/>
        <v>00010111</v>
      </c>
      <c r="C72" s="7" t="str">
        <f t="shared" si="5"/>
        <v>17</v>
      </c>
      <c r="D72">
        <f t="shared" si="6"/>
        <v>23</v>
      </c>
      <c r="G72" s="7">
        <v>5</v>
      </c>
      <c r="H72" s="7" t="str">
        <f t="shared" si="7"/>
        <v>01111100</v>
      </c>
      <c r="I72" s="7" t="str">
        <f t="shared" si="8"/>
        <v>7C</v>
      </c>
      <c r="J72">
        <f t="shared" si="9"/>
        <v>124</v>
      </c>
    </row>
    <row r="73" spans="1:10" x14ac:dyDescent="0.25">
      <c r="A73" s="7">
        <v>6</v>
      </c>
      <c r="B73" s="7" t="str">
        <f t="shared" si="4"/>
        <v>10110101</v>
      </c>
      <c r="C73" s="7" t="str">
        <f t="shared" si="5"/>
        <v>B5</v>
      </c>
      <c r="D73">
        <f t="shared" si="6"/>
        <v>181</v>
      </c>
      <c r="G73" s="7">
        <v>6</v>
      </c>
      <c r="H73" s="7" t="str">
        <f t="shared" si="7"/>
        <v>00001111</v>
      </c>
      <c r="I73" s="7" t="str">
        <f t="shared" si="8"/>
        <v>0F</v>
      </c>
      <c r="J73">
        <f t="shared" si="9"/>
        <v>15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112</v>
      </c>
      <c r="C76" s="10" t="str">
        <f>DEC2BIN(B76,8)</f>
        <v>01110000</v>
      </c>
      <c r="D76" s="10" t="str">
        <f>DEC2HEX(B76,2)</f>
        <v>70</v>
      </c>
    </row>
    <row r="77" spans="1:10" x14ac:dyDescent="0.25">
      <c r="A77" s="11">
        <v>2</v>
      </c>
      <c r="B77" s="10">
        <f>_xlfn.BITXOR(D69,J69)</f>
        <v>111</v>
      </c>
      <c r="C77" s="10" t="str">
        <f t="shared" ref="C77:C81" si="10">DEC2BIN(B77,8)</f>
        <v>01101111</v>
      </c>
      <c r="D77" s="10" t="str">
        <f t="shared" ref="D77:D81" si="11">DEC2HEX(B77,2)</f>
        <v>6F</v>
      </c>
    </row>
    <row r="78" spans="1:10" x14ac:dyDescent="0.25">
      <c r="A78" s="11">
        <v>3</v>
      </c>
      <c r="B78" s="10">
        <f>_xlfn.BITXOR(D70,J70)</f>
        <v>209</v>
      </c>
      <c r="C78" s="10" t="str">
        <f t="shared" si="10"/>
        <v>11010001</v>
      </c>
      <c r="D78" s="10" t="str">
        <f t="shared" si="11"/>
        <v>D1</v>
      </c>
    </row>
    <row r="79" spans="1:10" x14ac:dyDescent="0.25">
      <c r="A79" s="11">
        <v>4</v>
      </c>
      <c r="B79" s="10">
        <f t="shared" ref="B79:B81" si="12">_xlfn.BITXOR(D71,J71)</f>
        <v>31</v>
      </c>
      <c r="C79" s="10" t="str">
        <f t="shared" si="10"/>
        <v>00011111</v>
      </c>
      <c r="D79" s="10" t="str">
        <f t="shared" si="11"/>
        <v>1F</v>
      </c>
    </row>
    <row r="80" spans="1:10" x14ac:dyDescent="0.25">
      <c r="A80" s="11">
        <v>5</v>
      </c>
      <c r="B80" s="10">
        <f t="shared" si="12"/>
        <v>107</v>
      </c>
      <c r="C80" s="10" t="str">
        <f t="shared" si="10"/>
        <v>01101011</v>
      </c>
      <c r="D80" s="10" t="str">
        <f t="shared" si="11"/>
        <v>6B</v>
      </c>
    </row>
    <row r="81" spans="1:10" x14ac:dyDescent="0.25">
      <c r="A81" s="11">
        <v>6</v>
      </c>
      <c r="B81" s="10">
        <f t="shared" si="12"/>
        <v>186</v>
      </c>
      <c r="C81" s="10" t="str">
        <f t="shared" si="10"/>
        <v>10111010</v>
      </c>
      <c r="D81" s="10" t="str">
        <f t="shared" si="11"/>
        <v>BA</v>
      </c>
    </row>
    <row r="83" spans="1:10" ht="21" x14ac:dyDescent="0.35">
      <c r="B83" t="s">
        <v>324</v>
      </c>
      <c r="D83" s="8" t="str">
        <f>C76&amp;C77&amp;C78&amp;C79&amp;C80&amp;C81</f>
        <v>011100000110111111010001000111110110101110111010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011100</v>
      </c>
      <c r="C86" s="10" t="str">
        <f>LEFT(B86,1)&amp;RIGHT(B86,1)</f>
        <v>00</v>
      </c>
      <c r="D86" s="10" t="str">
        <f>MID(B86,2,4)</f>
        <v>1110</v>
      </c>
      <c r="E86" s="10" t="str">
        <f>C86&amp;D86</f>
        <v>001110</v>
      </c>
      <c r="F86" s="10">
        <f>BIN2DEC(E86)</f>
        <v>14</v>
      </c>
      <c r="G86" s="10"/>
      <c r="H86" s="10">
        <f>VLOOKUP(F86,$A$95:$I$158,2,TRUE)</f>
        <v>0</v>
      </c>
      <c r="I86" s="10" t="str">
        <f>DEC2BIN(H86,4)</f>
        <v>0000</v>
      </c>
      <c r="J86" t="str">
        <f t="shared" ref="J86:J90" si="13">I86&amp;J87</f>
        <v>00001110110001001100101011100011</v>
      </c>
    </row>
    <row r="87" spans="1:10" x14ac:dyDescent="0.25">
      <c r="A87" s="10">
        <v>2</v>
      </c>
      <c r="B87" s="10" t="str">
        <f t="shared" ref="B87:B93" si="14">MID($D$83,(A87-1)*6+1,6)</f>
        <v>000110</v>
      </c>
      <c r="C87" s="10" t="str">
        <f t="shared" ref="C87:C93" si="15">LEFT(B87,1)&amp;RIGHT(B87,1)</f>
        <v>00</v>
      </c>
      <c r="D87" s="10" t="str">
        <f t="shared" ref="D87:D93" si="16">MID(B87,2,4)</f>
        <v>0011</v>
      </c>
      <c r="E87" s="10" t="str">
        <f t="shared" ref="E87:E93" si="17">C87&amp;D87</f>
        <v>000011</v>
      </c>
      <c r="F87" s="10">
        <f t="shared" ref="F87:F93" si="18">BIN2DEC(E87)</f>
        <v>3</v>
      </c>
      <c r="G87" s="10"/>
      <c r="H87" s="10">
        <f>VLOOKUP(F87,$A$95:$I$158,3,TRUE)</f>
        <v>14</v>
      </c>
      <c r="I87" s="10" t="str">
        <f t="shared" ref="I87:I93" si="19">DEC2BIN(H87,4)</f>
        <v>1110</v>
      </c>
      <c r="J87" t="str">
        <f t="shared" si="13"/>
        <v>1110110001001100101011100011</v>
      </c>
    </row>
    <row r="88" spans="1:10" x14ac:dyDescent="0.25">
      <c r="A88" s="10">
        <v>3</v>
      </c>
      <c r="B88" s="10" t="str">
        <f t="shared" si="14"/>
        <v>111111</v>
      </c>
      <c r="C88" s="10" t="str">
        <f t="shared" si="15"/>
        <v>11</v>
      </c>
      <c r="D88" s="10" t="str">
        <f t="shared" si="16"/>
        <v>1111</v>
      </c>
      <c r="E88" s="10" t="str">
        <f t="shared" si="17"/>
        <v>111111</v>
      </c>
      <c r="F88" s="10">
        <f t="shared" si="18"/>
        <v>63</v>
      </c>
      <c r="G88" s="10"/>
      <c r="H88" s="10">
        <f>VLOOKUP(F88,$A$95:$I$159,4,TRUE)</f>
        <v>12</v>
      </c>
      <c r="I88" s="10" t="str">
        <f t="shared" si="19"/>
        <v>1100</v>
      </c>
      <c r="J88" t="str">
        <f t="shared" si="13"/>
        <v>110001001100101011100011</v>
      </c>
    </row>
    <row r="89" spans="1:10" x14ac:dyDescent="0.25">
      <c r="A89" s="10">
        <v>4</v>
      </c>
      <c r="B89" s="10" t="str">
        <f t="shared" si="14"/>
        <v>010001</v>
      </c>
      <c r="C89" s="10" t="str">
        <f t="shared" si="15"/>
        <v>01</v>
      </c>
      <c r="D89" s="10" t="str">
        <f t="shared" si="16"/>
        <v>1000</v>
      </c>
      <c r="E89" s="10" t="str">
        <f t="shared" si="17"/>
        <v>011000</v>
      </c>
      <c r="F89" s="10">
        <f t="shared" si="18"/>
        <v>24</v>
      </c>
      <c r="G89" s="10"/>
      <c r="H89" s="10">
        <f>VLOOKUP(F89,$A$95:$I$158,5,TRUE)</f>
        <v>4</v>
      </c>
      <c r="I89" s="10" t="str">
        <f t="shared" si="19"/>
        <v>0100</v>
      </c>
      <c r="J89" t="str">
        <f t="shared" si="13"/>
        <v>01001100101011100011</v>
      </c>
    </row>
    <row r="90" spans="1:10" x14ac:dyDescent="0.25">
      <c r="A90" s="10">
        <v>5</v>
      </c>
      <c r="B90" s="10" t="str">
        <f t="shared" si="14"/>
        <v>000111</v>
      </c>
      <c r="C90" s="10" t="str">
        <f t="shared" si="15"/>
        <v>01</v>
      </c>
      <c r="D90" s="10" t="str">
        <f t="shared" si="16"/>
        <v>0011</v>
      </c>
      <c r="E90" s="10" t="str">
        <f t="shared" si="17"/>
        <v>010011</v>
      </c>
      <c r="F90" s="10">
        <f t="shared" si="18"/>
        <v>19</v>
      </c>
      <c r="G90" s="10"/>
      <c r="H90" s="10">
        <f>VLOOKUP(F90,$A$95:$I$158,6,TRUE)</f>
        <v>12</v>
      </c>
      <c r="I90" s="10" t="str">
        <f t="shared" si="19"/>
        <v>1100</v>
      </c>
      <c r="J90" t="str">
        <f t="shared" si="13"/>
        <v>1100101011100011</v>
      </c>
    </row>
    <row r="91" spans="1:10" x14ac:dyDescent="0.25">
      <c r="A91" s="10">
        <v>6</v>
      </c>
      <c r="B91" s="10" t="str">
        <f t="shared" si="14"/>
        <v>110110</v>
      </c>
      <c r="C91" s="10" t="str">
        <f t="shared" si="15"/>
        <v>10</v>
      </c>
      <c r="D91" s="10" t="str">
        <f t="shared" si="16"/>
        <v>1011</v>
      </c>
      <c r="E91" s="10" t="str">
        <f t="shared" si="17"/>
        <v>101011</v>
      </c>
      <c r="F91" s="10">
        <f t="shared" si="18"/>
        <v>43</v>
      </c>
      <c r="G91" s="10"/>
      <c r="H91" s="10">
        <f>VLOOKUP(F91,$A$95:$I$158,7,TRUE)</f>
        <v>10</v>
      </c>
      <c r="I91" s="10" t="str">
        <f t="shared" si="19"/>
        <v>1010</v>
      </c>
      <c r="J91" t="str">
        <f>I91&amp;J92</f>
        <v>101011100011</v>
      </c>
    </row>
    <row r="92" spans="1:10" x14ac:dyDescent="0.25">
      <c r="A92" s="10">
        <v>7</v>
      </c>
      <c r="B92" s="10" t="str">
        <f t="shared" si="14"/>
        <v>101110</v>
      </c>
      <c r="C92" s="10" t="str">
        <f t="shared" si="15"/>
        <v>10</v>
      </c>
      <c r="D92" s="10" t="str">
        <f t="shared" si="16"/>
        <v>0111</v>
      </c>
      <c r="E92" s="10" t="str">
        <f t="shared" si="17"/>
        <v>100111</v>
      </c>
      <c r="F92" s="10">
        <f t="shared" si="18"/>
        <v>39</v>
      </c>
      <c r="G92" s="10"/>
      <c r="H92" s="10">
        <f>VLOOKUP(F92,$A$95:$I$158,8,TRUE)</f>
        <v>14</v>
      </c>
      <c r="I92" s="10" t="str">
        <f t="shared" si="19"/>
        <v>1110</v>
      </c>
      <c r="J92" t="str">
        <f>I92&amp;I93</f>
        <v>11100011</v>
      </c>
    </row>
    <row r="93" spans="1:10" x14ac:dyDescent="0.25">
      <c r="A93" s="10">
        <v>8</v>
      </c>
      <c r="B93" s="10" t="str">
        <f t="shared" si="14"/>
        <v>111010</v>
      </c>
      <c r="C93" s="10" t="str">
        <f t="shared" si="15"/>
        <v>10</v>
      </c>
      <c r="D93" s="10" t="str">
        <f t="shared" si="16"/>
        <v>1101</v>
      </c>
      <c r="E93" s="10" t="str">
        <f t="shared" si="17"/>
        <v>101101</v>
      </c>
      <c r="F93" s="10">
        <f t="shared" si="18"/>
        <v>45</v>
      </c>
      <c r="G93" s="10"/>
      <c r="H93" s="10">
        <f>VLOOKUP(F93,$A$95:$I$158,9,TRUE)</f>
        <v>3</v>
      </c>
      <c r="I93" s="10" t="str">
        <f t="shared" si="19"/>
        <v>0011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00001110110001001100101011100011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0</v>
      </c>
      <c r="D165" t="str">
        <f t="shared" ref="D165:D193" si="20">C165&amp;D166</f>
        <v>01010001001111110001110100010001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1010001001111110001110100010001</v>
      </c>
    </row>
    <row r="167" spans="1:6" x14ac:dyDescent="0.25">
      <c r="A167">
        <v>3</v>
      </c>
      <c r="B167">
        <v>20</v>
      </c>
      <c r="C167" t="str">
        <f t="shared" si="21"/>
        <v>0</v>
      </c>
      <c r="D167" t="str">
        <f t="shared" si="20"/>
        <v>010001001111110001110100010001</v>
      </c>
    </row>
    <row r="168" spans="1:6" x14ac:dyDescent="0.25">
      <c r="A168">
        <v>4</v>
      </c>
      <c r="B168">
        <v>21</v>
      </c>
      <c r="C168" t="str">
        <f t="shared" si="21"/>
        <v>1</v>
      </c>
      <c r="D168" t="str">
        <f t="shared" si="20"/>
        <v>10001001111110001110100010001</v>
      </c>
    </row>
    <row r="169" spans="1:6" x14ac:dyDescent="0.25">
      <c r="A169">
        <v>5</v>
      </c>
      <c r="B169">
        <v>29</v>
      </c>
      <c r="C169" t="str">
        <f t="shared" si="21"/>
        <v>0</v>
      </c>
      <c r="D169" t="str">
        <f t="shared" si="20"/>
        <v>0001001111110001110100010001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001001111110001110100010001</v>
      </c>
    </row>
    <row r="171" spans="1:6" x14ac:dyDescent="0.25">
      <c r="A171">
        <v>7</v>
      </c>
      <c r="B171">
        <v>28</v>
      </c>
      <c r="C171" t="str">
        <f t="shared" si="21"/>
        <v>0</v>
      </c>
      <c r="D171" t="str">
        <f t="shared" si="20"/>
        <v>01001111110001110100010001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1001111110001110100010001</v>
      </c>
    </row>
    <row r="173" spans="1:6" x14ac:dyDescent="0.25">
      <c r="A173">
        <v>9</v>
      </c>
      <c r="B173">
        <v>1</v>
      </c>
      <c r="C173" t="str">
        <f t="shared" si="21"/>
        <v>0</v>
      </c>
      <c r="D173" t="str">
        <f t="shared" si="20"/>
        <v>001111110001110100010001</v>
      </c>
    </row>
    <row r="174" spans="1:6" x14ac:dyDescent="0.25">
      <c r="A174">
        <v>10</v>
      </c>
      <c r="B174">
        <v>15</v>
      </c>
      <c r="C174" t="str">
        <f t="shared" si="21"/>
        <v>0</v>
      </c>
      <c r="D174" t="str">
        <f t="shared" si="20"/>
        <v>01111110001110100010001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1111110001110100010001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111110001110100010001</v>
      </c>
    </row>
    <row r="177" spans="1:4" x14ac:dyDescent="0.25">
      <c r="A177">
        <v>13</v>
      </c>
      <c r="B177">
        <v>5</v>
      </c>
      <c r="C177" t="str">
        <f t="shared" si="21"/>
        <v>1</v>
      </c>
      <c r="D177" t="str">
        <f t="shared" si="20"/>
        <v>11110001110100010001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1110001110100010001</v>
      </c>
    </row>
    <row r="179" spans="1:4" x14ac:dyDescent="0.25">
      <c r="A179">
        <v>15</v>
      </c>
      <c r="B179">
        <v>31</v>
      </c>
      <c r="C179" t="str">
        <f t="shared" si="21"/>
        <v>1</v>
      </c>
      <c r="D179" t="str">
        <f t="shared" si="20"/>
        <v>110001110100010001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10001110100010001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0001110100010001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001110100010001</v>
      </c>
    </row>
    <row r="183" spans="1:4" x14ac:dyDescent="0.25">
      <c r="A183">
        <v>19</v>
      </c>
      <c r="B183">
        <v>24</v>
      </c>
      <c r="C183" t="str">
        <f t="shared" si="21"/>
        <v>0</v>
      </c>
      <c r="D183" t="str">
        <f t="shared" si="20"/>
        <v>01110100010001</v>
      </c>
    </row>
    <row r="184" spans="1:4" x14ac:dyDescent="0.25">
      <c r="A184">
        <v>20</v>
      </c>
      <c r="B184">
        <v>14</v>
      </c>
      <c r="C184" t="str">
        <f t="shared" si="21"/>
        <v>1</v>
      </c>
      <c r="D184" t="str">
        <f t="shared" si="20"/>
        <v>1110100010001</v>
      </c>
    </row>
    <row r="185" spans="1:4" x14ac:dyDescent="0.25">
      <c r="A185">
        <v>21</v>
      </c>
      <c r="B185">
        <v>32</v>
      </c>
      <c r="C185" t="str">
        <f t="shared" si="21"/>
        <v>1</v>
      </c>
      <c r="D185" t="str">
        <f t="shared" si="20"/>
        <v>110100010001</v>
      </c>
    </row>
    <row r="186" spans="1:4" x14ac:dyDescent="0.25">
      <c r="A186">
        <v>22</v>
      </c>
      <c r="B186">
        <v>27</v>
      </c>
      <c r="C186" t="str">
        <f t="shared" si="21"/>
        <v>1</v>
      </c>
      <c r="D186" t="str">
        <f t="shared" si="20"/>
        <v>10100010001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0100010001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100010001</v>
      </c>
    </row>
    <row r="189" spans="1:4" x14ac:dyDescent="0.25">
      <c r="A189">
        <v>25</v>
      </c>
      <c r="B189">
        <v>19</v>
      </c>
      <c r="C189" t="str">
        <f t="shared" si="21"/>
        <v>0</v>
      </c>
      <c r="D189" t="str">
        <f t="shared" si="20"/>
        <v>00010001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0010001</v>
      </c>
    </row>
    <row r="191" spans="1:4" x14ac:dyDescent="0.25">
      <c r="A191">
        <v>27</v>
      </c>
      <c r="B191">
        <v>30</v>
      </c>
      <c r="C191" t="str">
        <f t="shared" si="21"/>
        <v>0</v>
      </c>
      <c r="D191" t="str">
        <f t="shared" si="20"/>
        <v>010001</v>
      </c>
    </row>
    <row r="192" spans="1:4" x14ac:dyDescent="0.25">
      <c r="A192">
        <v>28</v>
      </c>
      <c r="B192">
        <v>6</v>
      </c>
      <c r="C192" t="str">
        <f t="shared" si="21"/>
        <v>1</v>
      </c>
      <c r="D192" t="str">
        <f t="shared" si="20"/>
        <v>10001</v>
      </c>
    </row>
    <row r="193" spans="1:11" x14ac:dyDescent="0.25">
      <c r="A193">
        <v>29</v>
      </c>
      <c r="B193">
        <v>22</v>
      </c>
      <c r="C193" t="str">
        <f t="shared" si="21"/>
        <v>0</v>
      </c>
      <c r="D193" t="str">
        <f t="shared" si="20"/>
        <v>0001</v>
      </c>
    </row>
    <row r="194" spans="1:11" x14ac:dyDescent="0.25">
      <c r="A194">
        <v>30</v>
      </c>
      <c r="B194">
        <v>11</v>
      </c>
      <c r="C194" t="str">
        <f t="shared" si="21"/>
        <v>0</v>
      </c>
      <c r="D194" t="str">
        <f>C194&amp;D195</f>
        <v>001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01</v>
      </c>
    </row>
    <row r="196" spans="1:11" x14ac:dyDescent="0.25">
      <c r="A196">
        <v>32</v>
      </c>
      <c r="B196">
        <v>25</v>
      </c>
      <c r="C196" t="str">
        <f t="shared" si="21"/>
        <v>1</v>
      </c>
    </row>
    <row r="198" spans="1:11" ht="18.75" x14ac:dyDescent="0.3">
      <c r="A198" t="s">
        <v>323</v>
      </c>
      <c r="B198" s="16" t="str">
        <f>D165</f>
        <v>01010001001111110001110100010001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01010001</v>
      </c>
      <c r="J199" s="7" t="str">
        <f>BIN2HEX(I199,2)</f>
        <v>51</v>
      </c>
      <c r="K199">
        <f>BIN2DEC(I199)</f>
        <v>81</v>
      </c>
    </row>
    <row r="200" spans="1:11" x14ac:dyDescent="0.25">
      <c r="H200" s="7">
        <v>2</v>
      </c>
      <c r="I200" s="7" t="str">
        <f t="shared" ref="I200:I202" si="22">MID($B$198,(H200-1)*8+1,8)</f>
        <v>00111111</v>
      </c>
      <c r="J200" s="7" t="str">
        <f t="shared" ref="J200:J202" si="23">BIN2HEX(I200,2)</f>
        <v>3F</v>
      </c>
      <c r="K200">
        <f t="shared" ref="K200:K202" si="24">BIN2DEC(I200)</f>
        <v>63</v>
      </c>
    </row>
    <row r="201" spans="1:11" x14ac:dyDescent="0.25">
      <c r="H201" s="7">
        <v>3</v>
      </c>
      <c r="I201" s="7" t="str">
        <f t="shared" si="22"/>
        <v>00011101</v>
      </c>
      <c r="J201" s="7" t="str">
        <f t="shared" si="23"/>
        <v>1D</v>
      </c>
      <c r="K201">
        <f t="shared" si="24"/>
        <v>29</v>
      </c>
    </row>
    <row r="202" spans="1:11" x14ac:dyDescent="0.25">
      <c r="H202" s="7">
        <v>4</v>
      </c>
      <c r="I202" s="7" t="str">
        <f t="shared" si="22"/>
        <v>00010001</v>
      </c>
      <c r="J202" s="7" t="str">
        <f t="shared" si="23"/>
        <v>11</v>
      </c>
      <c r="K202">
        <f t="shared" si="24"/>
        <v>17</v>
      </c>
    </row>
    <row r="205" spans="1:11" ht="18.75" x14ac:dyDescent="0.3">
      <c r="A205" t="s">
        <v>167</v>
      </c>
      <c r="B205" s="16" t="str">
        <f>B4</f>
        <v>00111111011110011100011010100110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00111111</v>
      </c>
      <c r="J206" s="7" t="str">
        <f>BIN2HEX(I206,2)</f>
        <v>3F</v>
      </c>
      <c r="K206">
        <f>BIN2DEC(I206)</f>
        <v>63</v>
      </c>
    </row>
    <row r="207" spans="1:11" x14ac:dyDescent="0.25">
      <c r="H207" s="7">
        <v>2</v>
      </c>
      <c r="I207" s="7" t="str">
        <f t="shared" ref="I207:I209" si="25">MID($B$205,(H207-1)*8+1,8)</f>
        <v>01111001</v>
      </c>
      <c r="J207" s="7" t="str">
        <f t="shared" ref="J207:J209" si="26">BIN2HEX(I207,2)</f>
        <v>79</v>
      </c>
      <c r="K207">
        <f t="shared" ref="K207:K209" si="27">BIN2DEC(I207)</f>
        <v>121</v>
      </c>
    </row>
    <row r="208" spans="1:11" x14ac:dyDescent="0.25">
      <c r="H208" s="7">
        <v>3</v>
      </c>
      <c r="I208" s="7" t="str">
        <f t="shared" si="25"/>
        <v>11000110</v>
      </c>
      <c r="J208" s="7" t="str">
        <f t="shared" si="26"/>
        <v>C6</v>
      </c>
      <c r="K208">
        <f t="shared" si="27"/>
        <v>198</v>
      </c>
    </row>
    <row r="209" spans="1:11" x14ac:dyDescent="0.25">
      <c r="H209" s="7">
        <v>4</v>
      </c>
      <c r="I209" s="7" t="str">
        <f t="shared" si="25"/>
        <v>10100110</v>
      </c>
      <c r="J209" s="7" t="str">
        <f t="shared" si="26"/>
        <v>A6</v>
      </c>
      <c r="K209">
        <f t="shared" si="27"/>
        <v>166</v>
      </c>
    </row>
    <row r="211" spans="1:11" x14ac:dyDescent="0.25">
      <c r="A211" t="s">
        <v>322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110</v>
      </c>
      <c r="D213" s="7" t="str">
        <f>DEC2HEX(C213)</f>
        <v>6E</v>
      </c>
      <c r="E213" s="7" t="str">
        <f>DEC2BIN(C213,8)</f>
        <v>01101110</v>
      </c>
    </row>
    <row r="214" spans="1:11" x14ac:dyDescent="0.25">
      <c r="B214" s="7">
        <v>2</v>
      </c>
      <c r="C214" s="7">
        <f t="shared" ref="C214:C216" si="28">_xlfn.BITXOR(K200,K207)</f>
        <v>70</v>
      </c>
      <c r="D214" s="7" t="str">
        <f t="shared" ref="D214:D216" si="29">DEC2HEX(C214)</f>
        <v>46</v>
      </c>
      <c r="E214" s="7" t="str">
        <f t="shared" ref="E214:E216" si="30">DEC2BIN(C214,8)</f>
        <v>01000110</v>
      </c>
    </row>
    <row r="215" spans="1:11" x14ac:dyDescent="0.25">
      <c r="B215" s="7">
        <v>3</v>
      </c>
      <c r="C215" s="7">
        <f t="shared" si="28"/>
        <v>219</v>
      </c>
      <c r="D215" s="7" t="str">
        <f t="shared" si="29"/>
        <v>DB</v>
      </c>
      <c r="E215" s="7" t="str">
        <f t="shared" si="30"/>
        <v>11011011</v>
      </c>
    </row>
    <row r="216" spans="1:11" x14ac:dyDescent="0.25">
      <c r="B216" s="7">
        <v>4</v>
      </c>
      <c r="C216" s="7">
        <f t="shared" si="28"/>
        <v>183</v>
      </c>
      <c r="D216" s="7" t="str">
        <f t="shared" si="29"/>
        <v>B7</v>
      </c>
      <c r="E216" s="7" t="str">
        <f t="shared" si="30"/>
        <v>10110111</v>
      </c>
    </row>
    <row r="219" spans="1:11" ht="21" x14ac:dyDescent="0.35">
      <c r="A219" t="s">
        <v>168</v>
      </c>
      <c r="B219" s="8" t="str">
        <f>E213&amp;E214&amp;E215&amp;E216</f>
        <v>01101110010001101101101110110111</v>
      </c>
      <c r="C219" s="8"/>
      <c r="D219" s="8"/>
      <c r="E219" s="8"/>
    </row>
    <row r="220" spans="1:11" x14ac:dyDescent="0.25">
      <c r="A220" t="s">
        <v>169</v>
      </c>
    </row>
    <row r="221" spans="1:11" ht="21" x14ac:dyDescent="0.35">
      <c r="A221" t="s">
        <v>170</v>
      </c>
      <c r="B221" s="8" t="str">
        <f>B2</f>
        <v>10011111110010100010101110000111</v>
      </c>
      <c r="C221" s="8"/>
      <c r="D221" s="8"/>
      <c r="E221" s="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4605-1076-4038-829B-09BEEEF2CD57}">
  <dimension ref="A1:P54"/>
  <sheetViews>
    <sheetView workbookViewId="0">
      <selection activeCell="B6" sqref="B6"/>
    </sheetView>
  </sheetViews>
  <sheetFormatPr defaultRowHeight="15" x14ac:dyDescent="0.25"/>
  <sheetData>
    <row r="1" spans="1:16" ht="18.75" x14ac:dyDescent="0.3">
      <c r="A1" t="s">
        <v>163</v>
      </c>
      <c r="B1" s="22" t="s">
        <v>209</v>
      </c>
      <c r="I1" t="s">
        <v>164</v>
      </c>
      <c r="J1" s="22" t="s">
        <v>210</v>
      </c>
    </row>
    <row r="2" spans="1:16" ht="18.75" x14ac:dyDescent="0.3">
      <c r="A2" t="s">
        <v>171</v>
      </c>
      <c r="B2" s="22" t="s">
        <v>213</v>
      </c>
      <c r="I2" t="s">
        <v>172</v>
      </c>
      <c r="J2" s="22" t="s">
        <v>214</v>
      </c>
    </row>
    <row r="4" spans="1:16" x14ac:dyDescent="0.25">
      <c r="A4" t="s">
        <v>327</v>
      </c>
      <c r="D4" s="1" t="str">
        <f>D7</f>
        <v>110010110011110100001011101111000111000001110010</v>
      </c>
      <c r="E4" s="1"/>
      <c r="F4" s="1"/>
      <c r="G4" s="1"/>
      <c r="H4" s="1"/>
      <c r="I4" s="1"/>
      <c r="J4" s="7" t="s">
        <v>7</v>
      </c>
      <c r="K4" s="7" t="s">
        <v>7</v>
      </c>
      <c r="L4" s="7" t="s">
        <v>8</v>
      </c>
    </row>
    <row r="5" spans="1:16" x14ac:dyDescent="0.25">
      <c r="B5" t="s">
        <v>328</v>
      </c>
      <c r="C5" s="6" t="s">
        <v>9</v>
      </c>
      <c r="D5" s="5"/>
      <c r="E5" s="5"/>
      <c r="F5" s="5"/>
      <c r="G5" s="5"/>
      <c r="H5" s="5"/>
      <c r="I5" s="5"/>
      <c r="J5" s="7">
        <v>1</v>
      </c>
      <c r="K5" s="7" t="str">
        <f>MID($D$4,(J5-1)*8+1,8)</f>
        <v>11001011</v>
      </c>
      <c r="L5" s="7" t="str">
        <f>BIN2HEX(K5,2)</f>
        <v>CB</v>
      </c>
    </row>
    <row r="6" spans="1:16" x14ac:dyDescent="0.25">
      <c r="A6" t="s">
        <v>5</v>
      </c>
      <c r="B6" t="s">
        <v>19</v>
      </c>
      <c r="C6" t="s">
        <v>18</v>
      </c>
      <c r="J6" s="7">
        <v>2</v>
      </c>
      <c r="K6" s="7" t="str">
        <f t="shared" ref="K6:K9" si="0">MID($D$4,(J6-1)*8+1,8)</f>
        <v>00111101</v>
      </c>
      <c r="L6" s="7" t="str">
        <f t="shared" ref="L6:L10" si="1">BIN2HEX(K6,2)</f>
        <v>3D</v>
      </c>
    </row>
    <row r="7" spans="1:16" x14ac:dyDescent="0.25">
      <c r="A7">
        <v>1</v>
      </c>
      <c r="B7">
        <v>14</v>
      </c>
      <c r="C7" t="str">
        <f t="shared" ref="C7:C54" si="2">MID($C$5,B7,1)</f>
        <v>1</v>
      </c>
      <c r="D7" t="str">
        <f t="shared" ref="D7:D51" si="3">C7&amp;D8</f>
        <v>110010110011110100001011101111000111000001110010</v>
      </c>
      <c r="J7" s="7">
        <v>3</v>
      </c>
      <c r="K7" s="7" t="str">
        <f t="shared" si="0"/>
        <v>00001011</v>
      </c>
      <c r="L7" s="7" t="str">
        <f t="shared" si="1"/>
        <v>0B</v>
      </c>
    </row>
    <row r="8" spans="1:16" x14ac:dyDescent="0.25">
      <c r="A8">
        <v>2</v>
      </c>
      <c r="B8">
        <v>17</v>
      </c>
      <c r="C8" t="str">
        <f t="shared" si="2"/>
        <v>1</v>
      </c>
      <c r="D8" t="str">
        <f t="shared" si="3"/>
        <v>10010110011110100001011101111000111000001110010</v>
      </c>
      <c r="J8" s="7">
        <v>4</v>
      </c>
      <c r="K8" s="7" t="str">
        <f t="shared" si="0"/>
        <v>10111100</v>
      </c>
      <c r="L8" s="7" t="str">
        <f t="shared" si="1"/>
        <v>BC</v>
      </c>
      <c r="O8" s="20"/>
      <c r="P8" s="20"/>
    </row>
    <row r="9" spans="1:16" x14ac:dyDescent="0.25">
      <c r="A9">
        <v>3</v>
      </c>
      <c r="B9">
        <v>11</v>
      </c>
      <c r="C9" t="str">
        <f t="shared" si="2"/>
        <v>0</v>
      </c>
      <c r="D9" t="str">
        <f t="shared" si="3"/>
        <v>0010110011110100001011101111000111000001110010</v>
      </c>
      <c r="J9" s="7">
        <v>5</v>
      </c>
      <c r="K9" s="7" t="str">
        <f t="shared" si="0"/>
        <v>01110000</v>
      </c>
      <c r="L9" s="7" t="str">
        <f t="shared" si="1"/>
        <v>70</v>
      </c>
      <c r="O9" s="20"/>
    </row>
    <row r="10" spans="1:16" x14ac:dyDescent="0.25">
      <c r="A10">
        <v>4</v>
      </c>
      <c r="B10">
        <v>24</v>
      </c>
      <c r="C10" t="str">
        <f t="shared" si="2"/>
        <v>0</v>
      </c>
      <c r="D10" t="str">
        <f t="shared" si="3"/>
        <v>010110011110100001011101111000111000001110010</v>
      </c>
      <c r="J10" s="7">
        <v>6</v>
      </c>
      <c r="K10" s="7" t="str">
        <f>MID($D$4,(J10-1)*8+1,8)</f>
        <v>01110010</v>
      </c>
      <c r="L10" s="7" t="str">
        <f t="shared" si="1"/>
        <v>72</v>
      </c>
    </row>
    <row r="11" spans="1:16" x14ac:dyDescent="0.25">
      <c r="A11">
        <v>5</v>
      </c>
      <c r="B11">
        <v>1</v>
      </c>
      <c r="C11" t="str">
        <f t="shared" si="2"/>
        <v>1</v>
      </c>
      <c r="D11" t="str">
        <f t="shared" si="3"/>
        <v>10110011110100001011101111000111000001110010</v>
      </c>
    </row>
    <row r="12" spans="1:16" x14ac:dyDescent="0.25">
      <c r="A12">
        <v>6</v>
      </c>
      <c r="B12">
        <v>5</v>
      </c>
      <c r="C12" t="str">
        <f t="shared" si="2"/>
        <v>0</v>
      </c>
      <c r="D12" t="str">
        <f t="shared" si="3"/>
        <v>0110011110100001011101111000111000001110010</v>
      </c>
    </row>
    <row r="13" spans="1:16" x14ac:dyDescent="0.25">
      <c r="A13">
        <v>7</v>
      </c>
      <c r="B13">
        <v>3</v>
      </c>
      <c r="C13" t="str">
        <f t="shared" si="2"/>
        <v>1</v>
      </c>
      <c r="D13" t="str">
        <f t="shared" si="3"/>
        <v>110011110100001011101111000111000001110010</v>
      </c>
    </row>
    <row r="14" spans="1:16" x14ac:dyDescent="0.25">
      <c r="A14">
        <v>8</v>
      </c>
      <c r="B14">
        <v>28</v>
      </c>
      <c r="C14" t="str">
        <f t="shared" si="2"/>
        <v>1</v>
      </c>
      <c r="D14" t="str">
        <f t="shared" si="3"/>
        <v>10011110100001011101111000111000001110010</v>
      </c>
    </row>
    <row r="15" spans="1:16" x14ac:dyDescent="0.25">
      <c r="A15">
        <v>9</v>
      </c>
      <c r="B15">
        <v>15</v>
      </c>
      <c r="C15" t="str">
        <f t="shared" si="2"/>
        <v>0</v>
      </c>
      <c r="D15" t="str">
        <f t="shared" si="3"/>
        <v>0011110100001011101111000111000001110010</v>
      </c>
    </row>
    <row r="16" spans="1:16" x14ac:dyDescent="0.25">
      <c r="A16">
        <v>10</v>
      </c>
      <c r="B16">
        <v>6</v>
      </c>
      <c r="C16" t="str">
        <f t="shared" si="2"/>
        <v>0</v>
      </c>
      <c r="D16" t="str">
        <f t="shared" si="3"/>
        <v>011110100001011101111000111000001110010</v>
      </c>
    </row>
    <row r="17" spans="1:4" x14ac:dyDescent="0.25">
      <c r="A17">
        <v>11</v>
      </c>
      <c r="B17">
        <v>21</v>
      </c>
      <c r="C17" t="str">
        <f t="shared" si="2"/>
        <v>1</v>
      </c>
      <c r="D17" t="str">
        <f t="shared" si="3"/>
        <v>11110100001011101111000111000001110010</v>
      </c>
    </row>
    <row r="18" spans="1:4" x14ac:dyDescent="0.25">
      <c r="A18">
        <v>12</v>
      </c>
      <c r="B18">
        <v>10</v>
      </c>
      <c r="C18" t="str">
        <f t="shared" si="2"/>
        <v>1</v>
      </c>
      <c r="D18" t="str">
        <f t="shared" si="3"/>
        <v>1110100001011101111000111000001110010</v>
      </c>
    </row>
    <row r="19" spans="1:4" x14ac:dyDescent="0.25">
      <c r="A19">
        <v>13</v>
      </c>
      <c r="B19">
        <v>23</v>
      </c>
      <c r="C19" t="str">
        <f t="shared" si="2"/>
        <v>1</v>
      </c>
      <c r="D19" t="str">
        <f t="shared" si="3"/>
        <v>110100001011101111000111000001110010</v>
      </c>
    </row>
    <row r="20" spans="1:4" x14ac:dyDescent="0.25">
      <c r="A20">
        <v>14</v>
      </c>
      <c r="B20">
        <v>19</v>
      </c>
      <c r="C20" t="str">
        <f t="shared" si="2"/>
        <v>1</v>
      </c>
      <c r="D20" t="str">
        <f t="shared" si="3"/>
        <v>10100001011101111000111000001110010</v>
      </c>
    </row>
    <row r="21" spans="1:4" x14ac:dyDescent="0.25">
      <c r="A21">
        <v>15</v>
      </c>
      <c r="B21">
        <v>12</v>
      </c>
      <c r="C21" t="str">
        <f t="shared" si="2"/>
        <v>0</v>
      </c>
      <c r="D21" t="str">
        <f t="shared" si="3"/>
        <v>0100001011101111000111000001110010</v>
      </c>
    </row>
    <row r="22" spans="1:4" x14ac:dyDescent="0.25">
      <c r="A22">
        <v>16</v>
      </c>
      <c r="B22">
        <v>4</v>
      </c>
      <c r="C22" t="str">
        <f t="shared" si="2"/>
        <v>1</v>
      </c>
      <c r="D22" t="str">
        <f t="shared" si="3"/>
        <v>100001011101111000111000001110010</v>
      </c>
    </row>
    <row r="23" spans="1:4" x14ac:dyDescent="0.25">
      <c r="A23">
        <v>17</v>
      </c>
      <c r="B23">
        <v>26</v>
      </c>
      <c r="C23" t="str">
        <f t="shared" si="2"/>
        <v>0</v>
      </c>
      <c r="D23" t="str">
        <f t="shared" si="3"/>
        <v>00001011101111000111000001110010</v>
      </c>
    </row>
    <row r="24" spans="1:4" x14ac:dyDescent="0.25">
      <c r="A24">
        <v>18</v>
      </c>
      <c r="B24">
        <v>8</v>
      </c>
      <c r="C24" t="str">
        <f t="shared" si="2"/>
        <v>0</v>
      </c>
      <c r="D24" t="str">
        <f t="shared" si="3"/>
        <v>0001011101111000111000001110010</v>
      </c>
    </row>
    <row r="25" spans="1:4" x14ac:dyDescent="0.25">
      <c r="A25">
        <v>19</v>
      </c>
      <c r="B25">
        <v>16</v>
      </c>
      <c r="C25" t="str">
        <f t="shared" si="2"/>
        <v>0</v>
      </c>
      <c r="D25" t="str">
        <f t="shared" si="3"/>
        <v>001011101111000111000001110010</v>
      </c>
    </row>
    <row r="26" spans="1:4" x14ac:dyDescent="0.25">
      <c r="A26">
        <v>20</v>
      </c>
      <c r="B26">
        <v>7</v>
      </c>
      <c r="C26" t="str">
        <f t="shared" si="2"/>
        <v>0</v>
      </c>
      <c r="D26" t="str">
        <f t="shared" si="3"/>
        <v>01011101111000111000001110010</v>
      </c>
    </row>
    <row r="27" spans="1:4" x14ac:dyDescent="0.25">
      <c r="A27">
        <v>21</v>
      </c>
      <c r="B27">
        <v>27</v>
      </c>
      <c r="C27" t="str">
        <f t="shared" si="2"/>
        <v>1</v>
      </c>
      <c r="D27" t="str">
        <f t="shared" si="3"/>
        <v>1011101111000111000001110010</v>
      </c>
    </row>
    <row r="28" spans="1:4" x14ac:dyDescent="0.25">
      <c r="A28">
        <v>22</v>
      </c>
      <c r="B28">
        <v>20</v>
      </c>
      <c r="C28" t="str">
        <f t="shared" si="2"/>
        <v>0</v>
      </c>
      <c r="D28" t="str">
        <f t="shared" si="3"/>
        <v>011101111000111000001110010</v>
      </c>
    </row>
    <row r="29" spans="1:4" x14ac:dyDescent="0.25">
      <c r="A29">
        <v>23</v>
      </c>
      <c r="B29">
        <v>13</v>
      </c>
      <c r="C29" t="str">
        <f t="shared" si="2"/>
        <v>1</v>
      </c>
      <c r="D29" t="str">
        <f t="shared" si="3"/>
        <v>11101111000111000001110010</v>
      </c>
    </row>
    <row r="30" spans="1:4" x14ac:dyDescent="0.25">
      <c r="A30">
        <v>24</v>
      </c>
      <c r="B30">
        <v>2</v>
      </c>
      <c r="C30" t="str">
        <f t="shared" si="2"/>
        <v>1</v>
      </c>
      <c r="D30" t="str">
        <f t="shared" si="3"/>
        <v>1101111000111000001110010</v>
      </c>
    </row>
    <row r="31" spans="1:4" x14ac:dyDescent="0.25">
      <c r="A31">
        <v>25</v>
      </c>
      <c r="B31">
        <v>41</v>
      </c>
      <c r="C31" t="str">
        <f t="shared" si="2"/>
        <v>1</v>
      </c>
      <c r="D31" t="str">
        <f t="shared" si="3"/>
        <v>101111000111000001110010</v>
      </c>
    </row>
    <row r="32" spans="1:4" x14ac:dyDescent="0.25">
      <c r="A32">
        <v>26</v>
      </c>
      <c r="B32">
        <v>52</v>
      </c>
      <c r="C32" t="str">
        <f t="shared" si="2"/>
        <v>0</v>
      </c>
      <c r="D32" t="str">
        <f t="shared" si="3"/>
        <v>01111000111000001110010</v>
      </c>
    </row>
    <row r="33" spans="1:4" x14ac:dyDescent="0.25">
      <c r="A33">
        <v>27</v>
      </c>
      <c r="B33">
        <v>31</v>
      </c>
      <c r="C33" t="str">
        <f t="shared" si="2"/>
        <v>1</v>
      </c>
      <c r="D33" t="str">
        <f t="shared" si="3"/>
        <v>1111000111000001110010</v>
      </c>
    </row>
    <row r="34" spans="1:4" x14ac:dyDescent="0.25">
      <c r="A34">
        <v>28</v>
      </c>
      <c r="B34">
        <v>37</v>
      </c>
      <c r="C34" t="str">
        <f t="shared" si="2"/>
        <v>1</v>
      </c>
      <c r="D34" t="str">
        <f t="shared" si="3"/>
        <v>111000111000001110010</v>
      </c>
    </row>
    <row r="35" spans="1:4" x14ac:dyDescent="0.25">
      <c r="A35">
        <v>29</v>
      </c>
      <c r="B35">
        <v>47</v>
      </c>
      <c r="C35" t="str">
        <f t="shared" si="2"/>
        <v>1</v>
      </c>
      <c r="D35" t="str">
        <f t="shared" si="3"/>
        <v>11000111000001110010</v>
      </c>
    </row>
    <row r="36" spans="1:4" x14ac:dyDescent="0.25">
      <c r="A36">
        <v>30</v>
      </c>
      <c r="B36">
        <v>55</v>
      </c>
      <c r="C36" t="str">
        <f t="shared" si="2"/>
        <v>1</v>
      </c>
      <c r="D36" t="str">
        <f t="shared" si="3"/>
        <v>1000111000001110010</v>
      </c>
    </row>
    <row r="37" spans="1:4" x14ac:dyDescent="0.25">
      <c r="A37">
        <v>31</v>
      </c>
      <c r="B37">
        <v>30</v>
      </c>
      <c r="C37" t="str">
        <f t="shared" si="2"/>
        <v>0</v>
      </c>
      <c r="D37" t="str">
        <f t="shared" si="3"/>
        <v>000111000001110010</v>
      </c>
    </row>
    <row r="38" spans="1:4" x14ac:dyDescent="0.25">
      <c r="A38">
        <v>32</v>
      </c>
      <c r="B38">
        <v>40</v>
      </c>
      <c r="C38" t="str">
        <f t="shared" si="2"/>
        <v>0</v>
      </c>
      <c r="D38" t="str">
        <f t="shared" si="3"/>
        <v>00111000001110010</v>
      </c>
    </row>
    <row r="39" spans="1:4" x14ac:dyDescent="0.25">
      <c r="A39">
        <v>33</v>
      </c>
      <c r="B39">
        <v>51</v>
      </c>
      <c r="C39" t="str">
        <f t="shared" si="2"/>
        <v>0</v>
      </c>
      <c r="D39" t="str">
        <f t="shared" si="3"/>
        <v>0111000001110010</v>
      </c>
    </row>
    <row r="40" spans="1:4" x14ac:dyDescent="0.25">
      <c r="A40">
        <v>34</v>
      </c>
      <c r="B40">
        <v>45</v>
      </c>
      <c r="C40" t="str">
        <f t="shared" si="2"/>
        <v>1</v>
      </c>
      <c r="D40" t="str">
        <f t="shared" si="3"/>
        <v>111000001110010</v>
      </c>
    </row>
    <row r="41" spans="1:4" x14ac:dyDescent="0.25">
      <c r="A41">
        <v>35</v>
      </c>
      <c r="B41">
        <v>33</v>
      </c>
      <c r="C41" t="str">
        <f t="shared" si="2"/>
        <v>1</v>
      </c>
      <c r="D41" t="str">
        <f t="shared" si="3"/>
        <v>11000001110010</v>
      </c>
    </row>
    <row r="42" spans="1:4" x14ac:dyDescent="0.25">
      <c r="A42">
        <v>36</v>
      </c>
      <c r="B42">
        <v>48</v>
      </c>
      <c r="C42" t="str">
        <f t="shared" si="2"/>
        <v>1</v>
      </c>
      <c r="D42" t="str">
        <f t="shared" si="3"/>
        <v>1000001110010</v>
      </c>
    </row>
    <row r="43" spans="1:4" x14ac:dyDescent="0.25">
      <c r="A43">
        <v>37</v>
      </c>
      <c r="B43">
        <v>44</v>
      </c>
      <c r="C43" t="str">
        <f t="shared" si="2"/>
        <v>0</v>
      </c>
      <c r="D43" t="str">
        <f t="shared" si="3"/>
        <v>000001110010</v>
      </c>
    </row>
    <row r="44" spans="1:4" x14ac:dyDescent="0.25">
      <c r="A44">
        <v>38</v>
      </c>
      <c r="B44">
        <v>49</v>
      </c>
      <c r="C44" t="str">
        <f t="shared" si="2"/>
        <v>0</v>
      </c>
      <c r="D44" t="str">
        <f t="shared" si="3"/>
        <v>00001110010</v>
      </c>
    </row>
    <row r="45" spans="1:4" x14ac:dyDescent="0.25">
      <c r="A45">
        <v>39</v>
      </c>
      <c r="B45">
        <v>39</v>
      </c>
      <c r="C45" t="str">
        <f t="shared" si="2"/>
        <v>0</v>
      </c>
      <c r="D45" t="str">
        <f t="shared" si="3"/>
        <v>0001110010</v>
      </c>
    </row>
    <row r="46" spans="1:4" x14ac:dyDescent="0.25">
      <c r="A46">
        <v>40</v>
      </c>
      <c r="B46">
        <v>56</v>
      </c>
      <c r="C46" t="str">
        <f t="shared" si="2"/>
        <v>0</v>
      </c>
      <c r="D46" t="str">
        <f t="shared" si="3"/>
        <v>001110010</v>
      </c>
    </row>
    <row r="47" spans="1:4" x14ac:dyDescent="0.25">
      <c r="A47">
        <v>41</v>
      </c>
      <c r="B47">
        <v>34</v>
      </c>
      <c r="C47" t="str">
        <f t="shared" si="2"/>
        <v>0</v>
      </c>
      <c r="D47" t="str">
        <f t="shared" si="3"/>
        <v>01110010</v>
      </c>
    </row>
    <row r="48" spans="1:4" x14ac:dyDescent="0.25">
      <c r="A48">
        <v>42</v>
      </c>
      <c r="B48">
        <v>53</v>
      </c>
      <c r="C48" t="str">
        <f t="shared" si="2"/>
        <v>1</v>
      </c>
      <c r="D48" t="str">
        <f t="shared" si="3"/>
        <v>1110010</v>
      </c>
    </row>
    <row r="49" spans="1:4" x14ac:dyDescent="0.25">
      <c r="A49">
        <v>43</v>
      </c>
      <c r="B49">
        <v>46</v>
      </c>
      <c r="C49" t="str">
        <f t="shared" si="2"/>
        <v>1</v>
      </c>
      <c r="D49" t="str">
        <f t="shared" si="3"/>
        <v>110010</v>
      </c>
    </row>
    <row r="50" spans="1:4" x14ac:dyDescent="0.25">
      <c r="A50">
        <v>44</v>
      </c>
      <c r="B50">
        <v>42</v>
      </c>
      <c r="C50" t="str">
        <f t="shared" si="2"/>
        <v>1</v>
      </c>
      <c r="D50" t="str">
        <f t="shared" si="3"/>
        <v>10010</v>
      </c>
    </row>
    <row r="51" spans="1:4" x14ac:dyDescent="0.25">
      <c r="A51">
        <v>45</v>
      </c>
      <c r="B51">
        <v>50</v>
      </c>
      <c r="C51" t="str">
        <f t="shared" si="2"/>
        <v>0</v>
      </c>
      <c r="D51" t="str">
        <f t="shared" si="3"/>
        <v>0010</v>
      </c>
    </row>
    <row r="52" spans="1:4" x14ac:dyDescent="0.25">
      <c r="A52">
        <v>46</v>
      </c>
      <c r="B52">
        <v>36</v>
      </c>
      <c r="C52" t="str">
        <f t="shared" si="2"/>
        <v>0</v>
      </c>
      <c r="D52" t="str">
        <f>C52&amp;D53</f>
        <v>010</v>
      </c>
    </row>
    <row r="53" spans="1:4" x14ac:dyDescent="0.25">
      <c r="A53">
        <v>47</v>
      </c>
      <c r="B53">
        <v>29</v>
      </c>
      <c r="C53" t="str">
        <f t="shared" si="2"/>
        <v>1</v>
      </c>
      <c r="D53" t="str">
        <f>C53&amp;C54</f>
        <v>10</v>
      </c>
    </row>
    <row r="54" spans="1:4" x14ac:dyDescent="0.25">
      <c r="A54">
        <v>48</v>
      </c>
      <c r="B54">
        <v>32</v>
      </c>
      <c r="C54" t="str">
        <f t="shared" si="2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CAC9-08DB-4C48-A740-05E5E8CEA895}">
  <dimension ref="A1:K221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327</v>
      </c>
      <c r="D1" t="s">
        <v>215</v>
      </c>
    </row>
    <row r="2" spans="1:4" x14ac:dyDescent="0.25">
      <c r="A2" t="s">
        <v>168</v>
      </c>
      <c r="B2" t="s">
        <v>230</v>
      </c>
    </row>
    <row r="3" spans="1:4" x14ac:dyDescent="0.25">
      <c r="A3" t="s">
        <v>169</v>
      </c>
    </row>
    <row r="4" spans="1:4" x14ac:dyDescent="0.25">
      <c r="A4" t="s">
        <v>170</v>
      </c>
      <c r="B4" t="s">
        <v>229</v>
      </c>
    </row>
    <row r="6" spans="1:4" x14ac:dyDescent="0.25">
      <c r="A6" t="s">
        <v>5</v>
      </c>
      <c r="B6" t="s">
        <v>30</v>
      </c>
      <c r="C6" t="s">
        <v>18</v>
      </c>
    </row>
    <row r="7" spans="1:4" x14ac:dyDescent="0.25">
      <c r="A7">
        <v>1</v>
      </c>
      <c r="B7">
        <v>32</v>
      </c>
      <c r="C7" t="str">
        <f>MID($B$2,B7,1)</f>
        <v>1</v>
      </c>
      <c r="D7" t="str">
        <f t="shared" ref="D7:D52" si="0">C7&amp;D8</f>
        <v>101101011100001000001101011011110111110110101110</v>
      </c>
    </row>
    <row r="8" spans="1:4" x14ac:dyDescent="0.25">
      <c r="A8">
        <v>2</v>
      </c>
      <c r="B8">
        <v>1</v>
      </c>
      <c r="C8" t="str">
        <f t="shared" ref="C8:C54" si="1">MID($B$2,B8,1)</f>
        <v>0</v>
      </c>
      <c r="D8" t="str">
        <f t="shared" si="0"/>
        <v>01101011100001000001101011011110111110110101110</v>
      </c>
    </row>
    <row r="9" spans="1:4" x14ac:dyDescent="0.25">
      <c r="A9">
        <v>3</v>
      </c>
      <c r="B9">
        <v>2</v>
      </c>
      <c r="C9" t="str">
        <f t="shared" si="1"/>
        <v>1</v>
      </c>
      <c r="D9" t="str">
        <f t="shared" si="0"/>
        <v>1101011100001000001101011011110111110110101110</v>
      </c>
    </row>
    <row r="10" spans="1:4" x14ac:dyDescent="0.25">
      <c r="A10">
        <v>4</v>
      </c>
      <c r="B10">
        <v>3</v>
      </c>
      <c r="C10" t="str">
        <f t="shared" si="1"/>
        <v>1</v>
      </c>
      <c r="D10" t="str">
        <f t="shared" si="0"/>
        <v>101011100001000001101011011110111110110101110</v>
      </c>
    </row>
    <row r="11" spans="1:4" x14ac:dyDescent="0.25">
      <c r="A11">
        <v>5</v>
      </c>
      <c r="B11">
        <v>4</v>
      </c>
      <c r="C11" t="str">
        <f t="shared" si="1"/>
        <v>0</v>
      </c>
      <c r="D11" t="str">
        <f t="shared" si="0"/>
        <v>01011100001000001101011011110111110110101110</v>
      </c>
    </row>
    <row r="12" spans="1:4" x14ac:dyDescent="0.25">
      <c r="A12">
        <v>6</v>
      </c>
      <c r="B12">
        <v>5</v>
      </c>
      <c r="C12" t="str">
        <f t="shared" si="1"/>
        <v>1</v>
      </c>
      <c r="D12" t="str">
        <f t="shared" si="0"/>
        <v>1011100001000001101011011110111110110101110</v>
      </c>
    </row>
    <row r="13" spans="1:4" x14ac:dyDescent="0.25">
      <c r="A13">
        <v>7</v>
      </c>
      <c r="B13">
        <v>4</v>
      </c>
      <c r="C13" t="str">
        <f t="shared" si="1"/>
        <v>0</v>
      </c>
      <c r="D13" t="str">
        <f t="shared" si="0"/>
        <v>011100001000001101011011110111110110101110</v>
      </c>
    </row>
    <row r="14" spans="1:4" x14ac:dyDescent="0.25">
      <c r="A14">
        <v>8</v>
      </c>
      <c r="B14">
        <v>5</v>
      </c>
      <c r="C14" t="str">
        <f t="shared" si="1"/>
        <v>1</v>
      </c>
      <c r="D14" t="str">
        <f t="shared" si="0"/>
        <v>11100001000001101011011110111110110101110</v>
      </c>
    </row>
    <row r="15" spans="1:4" x14ac:dyDescent="0.25">
      <c r="A15">
        <v>9</v>
      </c>
      <c r="B15">
        <v>6</v>
      </c>
      <c r="C15" t="str">
        <f t="shared" si="1"/>
        <v>1</v>
      </c>
      <c r="D15" t="str">
        <f t="shared" si="0"/>
        <v>1100001000001101011011110111110110101110</v>
      </c>
    </row>
    <row r="16" spans="1:4" x14ac:dyDescent="0.25">
      <c r="A16">
        <v>10</v>
      </c>
      <c r="B16">
        <v>7</v>
      </c>
      <c r="C16" t="str">
        <f t="shared" si="1"/>
        <v>1</v>
      </c>
      <c r="D16" t="str">
        <f t="shared" si="0"/>
        <v>100001000001101011011110111110110101110</v>
      </c>
    </row>
    <row r="17" spans="1:4" x14ac:dyDescent="0.25">
      <c r="A17">
        <v>11</v>
      </c>
      <c r="B17">
        <v>8</v>
      </c>
      <c r="C17" t="str">
        <f t="shared" si="1"/>
        <v>0</v>
      </c>
      <c r="D17" t="str">
        <f t="shared" si="0"/>
        <v>00001000001101011011110111110110101110</v>
      </c>
    </row>
    <row r="18" spans="1:4" x14ac:dyDescent="0.25">
      <c r="A18">
        <v>12</v>
      </c>
      <c r="B18">
        <v>9</v>
      </c>
      <c r="C18" t="str">
        <f t="shared" si="1"/>
        <v>0</v>
      </c>
      <c r="D18" t="str">
        <f t="shared" si="0"/>
        <v>0001000001101011011110111110110101110</v>
      </c>
    </row>
    <row r="19" spans="1:4" x14ac:dyDescent="0.25">
      <c r="A19">
        <v>13</v>
      </c>
      <c r="B19">
        <v>8</v>
      </c>
      <c r="C19" t="str">
        <f t="shared" si="1"/>
        <v>0</v>
      </c>
      <c r="D19" t="str">
        <f t="shared" si="0"/>
        <v>001000001101011011110111110110101110</v>
      </c>
    </row>
    <row r="20" spans="1:4" x14ac:dyDescent="0.25">
      <c r="A20">
        <v>14</v>
      </c>
      <c r="B20">
        <v>9</v>
      </c>
      <c r="C20" t="str">
        <f t="shared" si="1"/>
        <v>0</v>
      </c>
      <c r="D20" t="str">
        <f t="shared" si="0"/>
        <v>01000001101011011110111110110101110</v>
      </c>
    </row>
    <row r="21" spans="1:4" x14ac:dyDescent="0.25">
      <c r="A21">
        <v>15</v>
      </c>
      <c r="B21">
        <v>10</v>
      </c>
      <c r="C21" t="str">
        <f t="shared" si="1"/>
        <v>1</v>
      </c>
      <c r="D21" t="str">
        <f t="shared" si="0"/>
        <v>1000001101011011110111110110101110</v>
      </c>
    </row>
    <row r="22" spans="1:4" x14ac:dyDescent="0.25">
      <c r="A22">
        <v>16</v>
      </c>
      <c r="B22">
        <v>11</v>
      </c>
      <c r="C22" t="str">
        <f t="shared" si="1"/>
        <v>0</v>
      </c>
      <c r="D22" t="str">
        <f t="shared" si="0"/>
        <v>000001101011011110111110110101110</v>
      </c>
    </row>
    <row r="23" spans="1:4" x14ac:dyDescent="0.25">
      <c r="A23">
        <v>17</v>
      </c>
      <c r="B23">
        <v>12</v>
      </c>
      <c r="C23" t="str">
        <f t="shared" si="1"/>
        <v>0</v>
      </c>
      <c r="D23" t="str">
        <f t="shared" si="0"/>
        <v>00001101011011110111110110101110</v>
      </c>
    </row>
    <row r="24" spans="1:4" x14ac:dyDescent="0.25">
      <c r="A24">
        <v>18</v>
      </c>
      <c r="B24">
        <v>13</v>
      </c>
      <c r="C24" t="str">
        <f t="shared" si="1"/>
        <v>0</v>
      </c>
      <c r="D24" t="str">
        <f t="shared" si="0"/>
        <v>0001101011011110111110110101110</v>
      </c>
    </row>
    <row r="25" spans="1:4" x14ac:dyDescent="0.25">
      <c r="A25">
        <v>19</v>
      </c>
      <c r="B25">
        <v>12</v>
      </c>
      <c r="C25" t="str">
        <f t="shared" si="1"/>
        <v>0</v>
      </c>
      <c r="D25" t="str">
        <f t="shared" si="0"/>
        <v>001101011011110111110110101110</v>
      </c>
    </row>
    <row r="26" spans="1:4" x14ac:dyDescent="0.25">
      <c r="A26">
        <v>20</v>
      </c>
      <c r="B26">
        <v>13</v>
      </c>
      <c r="C26" t="str">
        <f t="shared" si="1"/>
        <v>0</v>
      </c>
      <c r="D26" t="str">
        <f t="shared" si="0"/>
        <v>01101011011110111110110101110</v>
      </c>
    </row>
    <row r="27" spans="1:4" x14ac:dyDescent="0.25">
      <c r="A27">
        <v>21</v>
      </c>
      <c r="B27">
        <v>14</v>
      </c>
      <c r="C27" t="str">
        <f t="shared" si="1"/>
        <v>1</v>
      </c>
      <c r="D27" t="str">
        <f t="shared" si="0"/>
        <v>1101011011110111110110101110</v>
      </c>
    </row>
    <row r="28" spans="1:4" x14ac:dyDescent="0.25">
      <c r="A28">
        <v>22</v>
      </c>
      <c r="B28">
        <v>15</v>
      </c>
      <c r="C28" t="str">
        <f t="shared" si="1"/>
        <v>1</v>
      </c>
      <c r="D28" t="str">
        <f t="shared" si="0"/>
        <v>101011011110111110110101110</v>
      </c>
    </row>
    <row r="29" spans="1:4" x14ac:dyDescent="0.25">
      <c r="A29">
        <v>23</v>
      </c>
      <c r="B29">
        <v>16</v>
      </c>
      <c r="C29" t="str">
        <f t="shared" si="1"/>
        <v>0</v>
      </c>
      <c r="D29" t="str">
        <f t="shared" si="0"/>
        <v>01011011110111110110101110</v>
      </c>
    </row>
    <row r="30" spans="1:4" x14ac:dyDescent="0.25">
      <c r="A30">
        <v>24</v>
      </c>
      <c r="B30">
        <v>17</v>
      </c>
      <c r="C30" t="str">
        <f t="shared" si="1"/>
        <v>1</v>
      </c>
      <c r="D30" t="str">
        <f t="shared" si="0"/>
        <v>1011011110111110110101110</v>
      </c>
    </row>
    <row r="31" spans="1:4" x14ac:dyDescent="0.25">
      <c r="A31">
        <v>25</v>
      </c>
      <c r="B31">
        <v>16</v>
      </c>
      <c r="C31" t="str">
        <f t="shared" si="1"/>
        <v>0</v>
      </c>
      <c r="D31" t="str">
        <f t="shared" si="0"/>
        <v>011011110111110110101110</v>
      </c>
    </row>
    <row r="32" spans="1:4" x14ac:dyDescent="0.25">
      <c r="A32">
        <v>26</v>
      </c>
      <c r="B32">
        <v>17</v>
      </c>
      <c r="C32" t="str">
        <f t="shared" si="1"/>
        <v>1</v>
      </c>
      <c r="D32" t="str">
        <f t="shared" si="0"/>
        <v>11011110111110110101110</v>
      </c>
    </row>
    <row r="33" spans="1:4" x14ac:dyDescent="0.25">
      <c r="A33">
        <v>27</v>
      </c>
      <c r="B33">
        <v>18</v>
      </c>
      <c r="C33" t="str">
        <f t="shared" si="1"/>
        <v>1</v>
      </c>
      <c r="D33" t="str">
        <f t="shared" si="0"/>
        <v>1011110111110110101110</v>
      </c>
    </row>
    <row r="34" spans="1:4" x14ac:dyDescent="0.25">
      <c r="A34">
        <v>28</v>
      </c>
      <c r="B34">
        <v>19</v>
      </c>
      <c r="C34" t="str">
        <f t="shared" si="1"/>
        <v>0</v>
      </c>
      <c r="D34" t="str">
        <f t="shared" si="0"/>
        <v>011110111110110101110</v>
      </c>
    </row>
    <row r="35" spans="1:4" x14ac:dyDescent="0.25">
      <c r="A35">
        <v>29</v>
      </c>
      <c r="B35">
        <v>20</v>
      </c>
      <c r="C35" t="str">
        <f t="shared" si="1"/>
        <v>1</v>
      </c>
      <c r="D35" t="str">
        <f t="shared" si="0"/>
        <v>11110111110110101110</v>
      </c>
    </row>
    <row r="36" spans="1:4" x14ac:dyDescent="0.25">
      <c r="A36">
        <v>30</v>
      </c>
      <c r="B36">
        <v>21</v>
      </c>
      <c r="C36" t="str">
        <f t="shared" si="1"/>
        <v>1</v>
      </c>
      <c r="D36" t="str">
        <f t="shared" si="0"/>
        <v>1110111110110101110</v>
      </c>
    </row>
    <row r="37" spans="1:4" x14ac:dyDescent="0.25">
      <c r="A37">
        <v>31</v>
      </c>
      <c r="B37">
        <v>20</v>
      </c>
      <c r="C37" t="str">
        <f t="shared" si="1"/>
        <v>1</v>
      </c>
      <c r="D37" t="str">
        <f t="shared" si="0"/>
        <v>110111110110101110</v>
      </c>
    </row>
    <row r="38" spans="1:4" x14ac:dyDescent="0.25">
      <c r="A38">
        <v>32</v>
      </c>
      <c r="B38">
        <v>21</v>
      </c>
      <c r="C38" t="str">
        <f t="shared" si="1"/>
        <v>1</v>
      </c>
      <c r="D38" t="str">
        <f t="shared" si="0"/>
        <v>10111110110101110</v>
      </c>
    </row>
    <row r="39" spans="1:4" x14ac:dyDescent="0.25">
      <c r="A39">
        <v>33</v>
      </c>
      <c r="B39">
        <v>22</v>
      </c>
      <c r="C39" t="str">
        <f t="shared" si="1"/>
        <v>0</v>
      </c>
      <c r="D39" t="str">
        <f t="shared" si="0"/>
        <v>0111110110101110</v>
      </c>
    </row>
    <row r="40" spans="1:4" x14ac:dyDescent="0.25">
      <c r="A40">
        <v>34</v>
      </c>
      <c r="B40">
        <v>23</v>
      </c>
      <c r="C40" t="str">
        <f t="shared" si="1"/>
        <v>1</v>
      </c>
      <c r="D40" t="str">
        <f t="shared" si="0"/>
        <v>111110110101110</v>
      </c>
    </row>
    <row r="41" spans="1:4" x14ac:dyDescent="0.25">
      <c r="A41">
        <v>35</v>
      </c>
      <c r="B41">
        <v>24</v>
      </c>
      <c r="C41" t="str">
        <f t="shared" si="1"/>
        <v>1</v>
      </c>
      <c r="D41" t="str">
        <f t="shared" si="0"/>
        <v>11110110101110</v>
      </c>
    </row>
    <row r="42" spans="1:4" x14ac:dyDescent="0.25">
      <c r="A42">
        <v>36</v>
      </c>
      <c r="B42">
        <v>25</v>
      </c>
      <c r="C42" t="str">
        <f t="shared" si="1"/>
        <v>1</v>
      </c>
      <c r="D42" t="str">
        <f t="shared" si="0"/>
        <v>1110110101110</v>
      </c>
    </row>
    <row r="43" spans="1:4" x14ac:dyDescent="0.25">
      <c r="A43">
        <v>37</v>
      </c>
      <c r="B43">
        <v>24</v>
      </c>
      <c r="C43" t="str">
        <f t="shared" si="1"/>
        <v>1</v>
      </c>
      <c r="D43" t="str">
        <f t="shared" si="0"/>
        <v>110110101110</v>
      </c>
    </row>
    <row r="44" spans="1:4" x14ac:dyDescent="0.25">
      <c r="A44">
        <v>38</v>
      </c>
      <c r="B44">
        <v>25</v>
      </c>
      <c r="C44" t="str">
        <f t="shared" si="1"/>
        <v>1</v>
      </c>
      <c r="D44" t="str">
        <f t="shared" si="0"/>
        <v>10110101110</v>
      </c>
    </row>
    <row r="45" spans="1:4" x14ac:dyDescent="0.25">
      <c r="A45">
        <v>39</v>
      </c>
      <c r="B45">
        <v>26</v>
      </c>
      <c r="C45" t="str">
        <f t="shared" si="1"/>
        <v>0</v>
      </c>
      <c r="D45" t="str">
        <f t="shared" si="0"/>
        <v>0110101110</v>
      </c>
    </row>
    <row r="46" spans="1:4" x14ac:dyDescent="0.25">
      <c r="A46">
        <v>40</v>
      </c>
      <c r="B46">
        <v>27</v>
      </c>
      <c r="C46" t="str">
        <f t="shared" si="1"/>
        <v>1</v>
      </c>
      <c r="D46" t="str">
        <f t="shared" si="0"/>
        <v>110101110</v>
      </c>
    </row>
    <row r="47" spans="1:4" x14ac:dyDescent="0.25">
      <c r="A47">
        <v>41</v>
      </c>
      <c r="B47">
        <v>28</v>
      </c>
      <c r="C47" t="str">
        <f t="shared" si="1"/>
        <v>1</v>
      </c>
      <c r="D47" t="str">
        <f t="shared" si="0"/>
        <v>10101110</v>
      </c>
    </row>
    <row r="48" spans="1:4" x14ac:dyDescent="0.25">
      <c r="A48">
        <v>42</v>
      </c>
      <c r="B48">
        <v>29</v>
      </c>
      <c r="C48" t="str">
        <f t="shared" si="1"/>
        <v>0</v>
      </c>
      <c r="D48" t="str">
        <f t="shared" si="0"/>
        <v>0101110</v>
      </c>
    </row>
    <row r="49" spans="1:4" x14ac:dyDescent="0.25">
      <c r="A49">
        <v>43</v>
      </c>
      <c r="B49">
        <v>28</v>
      </c>
      <c r="C49" t="str">
        <f t="shared" si="1"/>
        <v>1</v>
      </c>
      <c r="D49" t="str">
        <f t="shared" si="0"/>
        <v>101110</v>
      </c>
    </row>
    <row r="50" spans="1:4" x14ac:dyDescent="0.25">
      <c r="A50">
        <v>44</v>
      </c>
      <c r="B50">
        <v>29</v>
      </c>
      <c r="C50" t="str">
        <f t="shared" si="1"/>
        <v>0</v>
      </c>
      <c r="D50" t="str">
        <f t="shared" si="0"/>
        <v>01110</v>
      </c>
    </row>
    <row r="51" spans="1:4" x14ac:dyDescent="0.25">
      <c r="A51">
        <v>45</v>
      </c>
      <c r="B51">
        <v>30</v>
      </c>
      <c r="C51" t="str">
        <f t="shared" si="1"/>
        <v>1</v>
      </c>
      <c r="D51" t="str">
        <f t="shared" si="0"/>
        <v>1110</v>
      </c>
    </row>
    <row r="52" spans="1:4" x14ac:dyDescent="0.25">
      <c r="A52">
        <v>46</v>
      </c>
      <c r="B52">
        <v>31</v>
      </c>
      <c r="C52" t="str">
        <f t="shared" si="1"/>
        <v>1</v>
      </c>
      <c r="D52" t="str">
        <f t="shared" si="0"/>
        <v>110</v>
      </c>
    </row>
    <row r="53" spans="1:4" x14ac:dyDescent="0.25">
      <c r="A53">
        <v>47</v>
      </c>
      <c r="B53">
        <v>32</v>
      </c>
      <c r="C53" t="str">
        <f t="shared" si="1"/>
        <v>1</v>
      </c>
      <c r="D53" t="str">
        <f>C53&amp;C54</f>
        <v>10</v>
      </c>
    </row>
    <row r="54" spans="1:4" x14ac:dyDescent="0.25">
      <c r="A54">
        <v>48</v>
      </c>
      <c r="B54">
        <v>1</v>
      </c>
      <c r="C54" t="str">
        <f t="shared" si="1"/>
        <v>0</v>
      </c>
    </row>
    <row r="56" spans="1:4" x14ac:dyDescent="0.25">
      <c r="A56" t="s">
        <v>333</v>
      </c>
      <c r="B56" t="str">
        <f>D7</f>
        <v>101101011100001000001101011011110111110110101110</v>
      </c>
    </row>
    <row r="58" spans="1:4" x14ac:dyDescent="0.25">
      <c r="A58" s="7" t="s">
        <v>7</v>
      </c>
      <c r="B58" s="7" t="s">
        <v>7</v>
      </c>
      <c r="C58" s="7" t="s">
        <v>8</v>
      </c>
    </row>
    <row r="59" spans="1:4" x14ac:dyDescent="0.25">
      <c r="A59" s="7">
        <v>1</v>
      </c>
      <c r="B59" s="7" t="str">
        <f>MID($B$56,(A59-1)*8+1,8)</f>
        <v>10110101</v>
      </c>
      <c r="C59" s="7" t="str">
        <f t="shared" ref="C59:C64" si="2">BIN2HEX(B59,2)</f>
        <v>B5</v>
      </c>
    </row>
    <row r="60" spans="1:4" x14ac:dyDescent="0.25">
      <c r="A60" s="7">
        <v>2</v>
      </c>
      <c r="B60" s="7" t="str">
        <f t="shared" ref="B60:B64" si="3">MID($B$56,(A60-1)*8+1,8)</f>
        <v>11000010</v>
      </c>
      <c r="C60" s="7" t="str">
        <f t="shared" si="2"/>
        <v>C2</v>
      </c>
    </row>
    <row r="61" spans="1:4" x14ac:dyDescent="0.25">
      <c r="A61" s="7">
        <v>3</v>
      </c>
      <c r="B61" s="7" t="str">
        <f t="shared" si="3"/>
        <v>00001101</v>
      </c>
      <c r="C61" s="7" t="str">
        <f t="shared" si="2"/>
        <v>0D</v>
      </c>
    </row>
    <row r="62" spans="1:4" x14ac:dyDescent="0.25">
      <c r="A62" s="7">
        <v>4</v>
      </c>
      <c r="B62" s="7" t="str">
        <f t="shared" si="3"/>
        <v>01101111</v>
      </c>
      <c r="C62" s="7" t="str">
        <f t="shared" si="2"/>
        <v>6F</v>
      </c>
    </row>
    <row r="63" spans="1:4" x14ac:dyDescent="0.25">
      <c r="A63" s="7">
        <v>5</v>
      </c>
      <c r="B63" s="7" t="str">
        <f t="shared" si="3"/>
        <v>01111101</v>
      </c>
      <c r="C63" s="7" t="str">
        <f t="shared" si="2"/>
        <v>7D</v>
      </c>
    </row>
    <row r="64" spans="1:4" x14ac:dyDescent="0.25">
      <c r="A64" s="7">
        <v>6</v>
      </c>
      <c r="B64" s="7" t="str">
        <f t="shared" si="3"/>
        <v>10101110</v>
      </c>
      <c r="C64" s="7" t="str">
        <f t="shared" si="2"/>
        <v>AE</v>
      </c>
    </row>
    <row r="65" spans="1:10" x14ac:dyDescent="0.25">
      <c r="A65" t="s">
        <v>332</v>
      </c>
    </row>
    <row r="67" spans="1:10" x14ac:dyDescent="0.25">
      <c r="A67" s="7" t="s">
        <v>7</v>
      </c>
      <c r="B67" s="7" t="s">
        <v>7</v>
      </c>
      <c r="C67" s="7" t="s">
        <v>8</v>
      </c>
      <c r="G67" s="7" t="s">
        <v>7</v>
      </c>
      <c r="H67" s="7" t="s">
        <v>7</v>
      </c>
      <c r="I67" s="7" t="s">
        <v>8</v>
      </c>
    </row>
    <row r="68" spans="1:10" x14ac:dyDescent="0.25">
      <c r="A68" s="7">
        <v>1</v>
      </c>
      <c r="B68" s="7" t="str">
        <f>MID($D$1,(A68-1)*8+1,8)</f>
        <v>11001011</v>
      </c>
      <c r="C68" s="7" t="str">
        <f>BIN2HEX(B68,2)</f>
        <v>CB</v>
      </c>
      <c r="D68">
        <f>BIN2DEC(B68)</f>
        <v>203</v>
      </c>
      <c r="G68" s="7">
        <v>1</v>
      </c>
      <c r="H68" s="7" t="str">
        <f>MID($B$56,(G68-1)*8+1,8)</f>
        <v>10110101</v>
      </c>
      <c r="I68" s="7" t="str">
        <f>BIN2HEX(H68,2)</f>
        <v>B5</v>
      </c>
      <c r="J68">
        <f>BIN2DEC(H68)</f>
        <v>181</v>
      </c>
    </row>
    <row r="69" spans="1:10" x14ac:dyDescent="0.25">
      <c r="A69" s="7">
        <v>2</v>
      </c>
      <c r="B69" s="7" t="str">
        <f t="shared" ref="B69:B73" si="4">MID($D$1,(A69-1)*8+1,8)</f>
        <v>00111101</v>
      </c>
      <c r="C69" s="7" t="str">
        <f t="shared" ref="C69:C73" si="5">BIN2HEX(B69,2)</f>
        <v>3D</v>
      </c>
      <c r="D69">
        <f t="shared" ref="D69:D73" si="6">BIN2DEC(B69)</f>
        <v>61</v>
      </c>
      <c r="G69" s="7">
        <v>2</v>
      </c>
      <c r="H69" s="7" t="str">
        <f t="shared" ref="H69:H73" si="7">MID($B$56,(G69-1)*8+1,8)</f>
        <v>11000010</v>
      </c>
      <c r="I69" s="7" t="str">
        <f t="shared" ref="I69:I73" si="8">BIN2HEX(H69,2)</f>
        <v>C2</v>
      </c>
      <c r="J69">
        <f t="shared" ref="J69:J73" si="9">BIN2DEC(H69)</f>
        <v>194</v>
      </c>
    </row>
    <row r="70" spans="1:10" x14ac:dyDescent="0.25">
      <c r="A70" s="7">
        <v>3</v>
      </c>
      <c r="B70" s="7" t="str">
        <f t="shared" si="4"/>
        <v>00001011</v>
      </c>
      <c r="C70" s="7" t="str">
        <f t="shared" si="5"/>
        <v>0B</v>
      </c>
      <c r="D70">
        <f t="shared" si="6"/>
        <v>11</v>
      </c>
      <c r="G70" s="7">
        <v>3</v>
      </c>
      <c r="H70" s="7" t="str">
        <f t="shared" si="7"/>
        <v>00001101</v>
      </c>
      <c r="I70" s="7" t="str">
        <f t="shared" si="8"/>
        <v>0D</v>
      </c>
      <c r="J70">
        <f t="shared" si="9"/>
        <v>13</v>
      </c>
    </row>
    <row r="71" spans="1:10" x14ac:dyDescent="0.25">
      <c r="A71" s="7">
        <v>4</v>
      </c>
      <c r="B71" s="7" t="str">
        <f t="shared" si="4"/>
        <v>10111100</v>
      </c>
      <c r="C71" s="7" t="str">
        <f t="shared" si="5"/>
        <v>BC</v>
      </c>
      <c r="D71">
        <f t="shared" si="6"/>
        <v>188</v>
      </c>
      <c r="G71" s="7">
        <v>4</v>
      </c>
      <c r="H71" s="7" t="str">
        <f t="shared" si="7"/>
        <v>01101111</v>
      </c>
      <c r="I71" s="7" t="str">
        <f t="shared" si="8"/>
        <v>6F</v>
      </c>
      <c r="J71">
        <f t="shared" si="9"/>
        <v>111</v>
      </c>
    </row>
    <row r="72" spans="1:10" x14ac:dyDescent="0.25">
      <c r="A72" s="7">
        <v>5</v>
      </c>
      <c r="B72" s="7" t="str">
        <f t="shared" si="4"/>
        <v>01110000</v>
      </c>
      <c r="C72" s="7" t="str">
        <f t="shared" si="5"/>
        <v>70</v>
      </c>
      <c r="D72">
        <f t="shared" si="6"/>
        <v>112</v>
      </c>
      <c r="G72" s="7">
        <v>5</v>
      </c>
      <c r="H72" s="7" t="str">
        <f t="shared" si="7"/>
        <v>01111101</v>
      </c>
      <c r="I72" s="7" t="str">
        <f t="shared" si="8"/>
        <v>7D</v>
      </c>
      <c r="J72">
        <f t="shared" si="9"/>
        <v>125</v>
      </c>
    </row>
    <row r="73" spans="1:10" x14ac:dyDescent="0.25">
      <c r="A73" s="7">
        <v>6</v>
      </c>
      <c r="B73" s="7" t="str">
        <f t="shared" si="4"/>
        <v>01110010</v>
      </c>
      <c r="C73" s="7" t="str">
        <f t="shared" si="5"/>
        <v>72</v>
      </c>
      <c r="D73">
        <f t="shared" si="6"/>
        <v>114</v>
      </c>
      <c r="G73" s="7">
        <v>6</v>
      </c>
      <c r="H73" s="7" t="str">
        <f t="shared" si="7"/>
        <v>10101110</v>
      </c>
      <c r="I73" s="7" t="str">
        <f t="shared" si="8"/>
        <v>AE</v>
      </c>
      <c r="J73">
        <f t="shared" si="9"/>
        <v>174</v>
      </c>
    </row>
    <row r="75" spans="1:10" x14ac:dyDescent="0.25">
      <c r="A75" s="10" t="s">
        <v>5</v>
      </c>
      <c r="B75" s="10" t="s">
        <v>34</v>
      </c>
      <c r="C75" s="10" t="s">
        <v>35</v>
      </c>
      <c r="D75" s="10" t="s">
        <v>8</v>
      </c>
    </row>
    <row r="76" spans="1:10" x14ac:dyDescent="0.25">
      <c r="A76" s="11">
        <v>1</v>
      </c>
      <c r="B76" s="10">
        <f>_xlfn.BITXOR(D68,J68)</f>
        <v>126</v>
      </c>
      <c r="C76" s="10" t="str">
        <f>DEC2BIN(B76,8)</f>
        <v>01111110</v>
      </c>
      <c r="D76" s="10" t="str">
        <f>DEC2HEX(B76,2)</f>
        <v>7E</v>
      </c>
    </row>
    <row r="77" spans="1:10" x14ac:dyDescent="0.25">
      <c r="A77" s="11">
        <v>2</v>
      </c>
      <c r="B77" s="10">
        <f t="shared" ref="B77:B81" si="10">_xlfn.BITXOR(D69,J69)</f>
        <v>255</v>
      </c>
      <c r="C77" s="10" t="str">
        <f t="shared" ref="C77:C81" si="11">DEC2BIN(B77,8)</f>
        <v>11111111</v>
      </c>
      <c r="D77" s="10" t="str">
        <f t="shared" ref="D77:D81" si="12">DEC2HEX(B77,2)</f>
        <v>FF</v>
      </c>
    </row>
    <row r="78" spans="1:10" x14ac:dyDescent="0.25">
      <c r="A78" s="11">
        <v>3</v>
      </c>
      <c r="B78" s="10">
        <f t="shared" si="10"/>
        <v>6</v>
      </c>
      <c r="C78" s="10" t="str">
        <f t="shared" si="11"/>
        <v>00000110</v>
      </c>
      <c r="D78" s="10" t="str">
        <f t="shared" si="12"/>
        <v>06</v>
      </c>
    </row>
    <row r="79" spans="1:10" x14ac:dyDescent="0.25">
      <c r="A79" s="11">
        <v>4</v>
      </c>
      <c r="B79" s="10">
        <f t="shared" si="10"/>
        <v>211</v>
      </c>
      <c r="C79" s="10" t="str">
        <f t="shared" si="11"/>
        <v>11010011</v>
      </c>
      <c r="D79" s="10" t="str">
        <f t="shared" si="12"/>
        <v>D3</v>
      </c>
    </row>
    <row r="80" spans="1:10" x14ac:dyDescent="0.25">
      <c r="A80" s="11">
        <v>5</v>
      </c>
      <c r="B80" s="10">
        <f t="shared" si="10"/>
        <v>13</v>
      </c>
      <c r="C80" s="10" t="str">
        <f t="shared" si="11"/>
        <v>00001101</v>
      </c>
      <c r="D80" s="10" t="str">
        <f t="shared" si="12"/>
        <v>0D</v>
      </c>
    </row>
    <row r="81" spans="1:10" x14ac:dyDescent="0.25">
      <c r="A81" s="11">
        <v>6</v>
      </c>
      <c r="B81" s="10">
        <f t="shared" si="10"/>
        <v>220</v>
      </c>
      <c r="C81" s="10" t="str">
        <f t="shared" si="11"/>
        <v>11011100</v>
      </c>
      <c r="D81" s="10" t="str">
        <f t="shared" si="12"/>
        <v>DC</v>
      </c>
    </row>
    <row r="83" spans="1:10" ht="21" x14ac:dyDescent="0.35">
      <c r="B83" t="s">
        <v>331</v>
      </c>
      <c r="D83" s="8" t="str">
        <f>C76&amp;C77&amp;C78&amp;C79&amp;C80&amp;C81</f>
        <v>011111101111111100000110110100110000110111011100</v>
      </c>
      <c r="E83" s="8"/>
      <c r="F83" s="8"/>
      <c r="G83" s="8"/>
      <c r="H83" s="8"/>
      <c r="I83" s="8"/>
    </row>
    <row r="85" spans="1:10" x14ac:dyDescent="0.25">
      <c r="A85" s="10" t="s">
        <v>36</v>
      </c>
      <c r="B85" s="10"/>
      <c r="C85" s="10" t="s">
        <v>37</v>
      </c>
      <c r="D85" s="10" t="s">
        <v>38</v>
      </c>
      <c r="E85" s="10"/>
      <c r="F85" s="10" t="s">
        <v>39</v>
      </c>
      <c r="G85" s="10"/>
      <c r="H85" s="10" t="s">
        <v>49</v>
      </c>
      <c r="I85" s="10" t="s">
        <v>35</v>
      </c>
    </row>
    <row r="86" spans="1:10" x14ac:dyDescent="0.25">
      <c r="A86" s="10">
        <v>1</v>
      </c>
      <c r="B86" s="10" t="str">
        <f>MID($D$83,(A86-1)*6+1,6)</f>
        <v>011111</v>
      </c>
      <c r="C86" s="10" t="str">
        <f>LEFT(B86,1)&amp;RIGHT(B86,1)</f>
        <v>01</v>
      </c>
      <c r="D86" s="10" t="str">
        <f>MID(B86,2,4)</f>
        <v>1111</v>
      </c>
      <c r="E86" s="10" t="str">
        <f>C86&amp;D86</f>
        <v>011111</v>
      </c>
      <c r="F86" s="10">
        <f>BIN2DEC(E86)</f>
        <v>31</v>
      </c>
      <c r="G86" s="10"/>
      <c r="H86" s="10">
        <f>VLOOKUP(F86,$A$95:$I$158,2,TRUE)</f>
        <v>8</v>
      </c>
      <c r="I86" s="10" t="str">
        <f>DEC2BIN(H86,4)</f>
        <v>1000</v>
      </c>
      <c r="J86" t="str">
        <f t="shared" ref="J86:J90" si="13">I86&amp;J87</f>
        <v>10000010111000111100011111111100</v>
      </c>
    </row>
    <row r="87" spans="1:10" x14ac:dyDescent="0.25">
      <c r="A87" s="10">
        <v>2</v>
      </c>
      <c r="B87" s="10" t="str">
        <f t="shared" ref="B87:B93" si="14">MID($D$83,(A87-1)*6+1,6)</f>
        <v>101111</v>
      </c>
      <c r="C87" s="10" t="str">
        <f t="shared" ref="C87:C93" si="15">LEFT(B87,1)&amp;RIGHT(B87,1)</f>
        <v>11</v>
      </c>
      <c r="D87" s="10" t="str">
        <f t="shared" ref="D87:D93" si="16">MID(B87,2,4)</f>
        <v>0111</v>
      </c>
      <c r="E87" s="10" t="str">
        <f t="shared" ref="E87:E93" si="17">C87&amp;D87</f>
        <v>110111</v>
      </c>
      <c r="F87" s="10">
        <f t="shared" ref="F87:F93" si="18">BIN2DEC(E87)</f>
        <v>55</v>
      </c>
      <c r="G87" s="10"/>
      <c r="H87" s="10">
        <f>VLOOKUP(F87,$A$95:$I$158,3,TRUE)</f>
        <v>2</v>
      </c>
      <c r="I87" s="10" t="str">
        <f t="shared" ref="I87:I93" si="19">DEC2BIN(H87,4)</f>
        <v>0010</v>
      </c>
      <c r="J87" t="str">
        <f t="shared" si="13"/>
        <v>0010111000111100011111111100</v>
      </c>
    </row>
    <row r="88" spans="1:10" x14ac:dyDescent="0.25">
      <c r="A88" s="10">
        <v>3</v>
      </c>
      <c r="B88" s="10" t="str">
        <f t="shared" si="14"/>
        <v>111100</v>
      </c>
      <c r="C88" s="10" t="str">
        <f t="shared" si="15"/>
        <v>10</v>
      </c>
      <c r="D88" s="10" t="str">
        <f t="shared" si="16"/>
        <v>1110</v>
      </c>
      <c r="E88" s="10" t="str">
        <f t="shared" si="17"/>
        <v>101110</v>
      </c>
      <c r="F88" s="10">
        <f t="shared" si="18"/>
        <v>46</v>
      </c>
      <c r="G88" s="10"/>
      <c r="H88" s="10">
        <f>VLOOKUP(F88,$A$95:$I$158,4,TRUE)</f>
        <v>14</v>
      </c>
      <c r="I88" s="10" t="str">
        <f t="shared" si="19"/>
        <v>1110</v>
      </c>
      <c r="J88" t="str">
        <f t="shared" si="13"/>
        <v>111000111100011111111100</v>
      </c>
    </row>
    <row r="89" spans="1:10" x14ac:dyDescent="0.25">
      <c r="A89" s="10">
        <v>4</v>
      </c>
      <c r="B89" s="10" t="str">
        <f t="shared" si="14"/>
        <v>000110</v>
      </c>
      <c r="C89" s="10" t="str">
        <f t="shared" si="15"/>
        <v>00</v>
      </c>
      <c r="D89" s="10" t="str">
        <f t="shared" si="16"/>
        <v>0011</v>
      </c>
      <c r="E89" s="10" t="str">
        <f t="shared" si="17"/>
        <v>000011</v>
      </c>
      <c r="F89" s="10">
        <f t="shared" si="18"/>
        <v>3</v>
      </c>
      <c r="G89" s="10"/>
      <c r="H89" s="10">
        <f>VLOOKUP(F89,$A$95:$I$158,5,TRUE)</f>
        <v>3</v>
      </c>
      <c r="I89" s="10" t="str">
        <f t="shared" si="19"/>
        <v>0011</v>
      </c>
      <c r="J89" t="str">
        <f t="shared" si="13"/>
        <v>00111100011111111100</v>
      </c>
    </row>
    <row r="90" spans="1:10" x14ac:dyDescent="0.25">
      <c r="A90" s="10">
        <v>5</v>
      </c>
      <c r="B90" s="10" t="str">
        <f t="shared" si="14"/>
        <v>110100</v>
      </c>
      <c r="C90" s="10" t="str">
        <f t="shared" si="15"/>
        <v>10</v>
      </c>
      <c r="D90" s="10" t="str">
        <f t="shared" si="16"/>
        <v>1010</v>
      </c>
      <c r="E90" s="10" t="str">
        <f t="shared" si="17"/>
        <v>101010</v>
      </c>
      <c r="F90" s="10">
        <f t="shared" si="18"/>
        <v>42</v>
      </c>
      <c r="G90" s="10"/>
      <c r="H90" s="10">
        <f>VLOOKUP(F90,$A$95:$I$158,6,TRUE)</f>
        <v>12</v>
      </c>
      <c r="I90" s="10" t="str">
        <f t="shared" si="19"/>
        <v>1100</v>
      </c>
      <c r="J90" t="str">
        <f t="shared" si="13"/>
        <v>1100011111111100</v>
      </c>
    </row>
    <row r="91" spans="1:10" x14ac:dyDescent="0.25">
      <c r="A91" s="10">
        <v>6</v>
      </c>
      <c r="B91" s="10" t="str">
        <f t="shared" si="14"/>
        <v>110000</v>
      </c>
      <c r="C91" s="10" t="str">
        <f t="shared" si="15"/>
        <v>10</v>
      </c>
      <c r="D91" s="10" t="str">
        <f t="shared" si="16"/>
        <v>1000</v>
      </c>
      <c r="E91" s="10" t="str">
        <f t="shared" si="17"/>
        <v>101000</v>
      </c>
      <c r="F91" s="10">
        <f t="shared" si="18"/>
        <v>40</v>
      </c>
      <c r="G91" s="10"/>
      <c r="H91" s="10">
        <f>VLOOKUP(F91,$A$95:$I$158,7,TRUE)</f>
        <v>7</v>
      </c>
      <c r="I91" s="10" t="str">
        <f t="shared" si="19"/>
        <v>0111</v>
      </c>
      <c r="J91" t="str">
        <f>I91&amp;J92</f>
        <v>011111111100</v>
      </c>
    </row>
    <row r="92" spans="1:10" x14ac:dyDescent="0.25">
      <c r="A92" s="10">
        <v>7</v>
      </c>
      <c r="B92" s="10" t="str">
        <f t="shared" si="14"/>
        <v>110111</v>
      </c>
      <c r="C92" s="10" t="str">
        <f t="shared" si="15"/>
        <v>11</v>
      </c>
      <c r="D92" s="10" t="str">
        <f t="shared" si="16"/>
        <v>1011</v>
      </c>
      <c r="E92" s="10" t="str">
        <f t="shared" si="17"/>
        <v>111011</v>
      </c>
      <c r="F92" s="10">
        <f t="shared" si="18"/>
        <v>59</v>
      </c>
      <c r="G92" s="10"/>
      <c r="H92" s="10">
        <f>VLOOKUP(F92,$A$95:$I$158,8,TRUE)</f>
        <v>15</v>
      </c>
      <c r="I92" s="10" t="str">
        <f t="shared" si="19"/>
        <v>1111</v>
      </c>
      <c r="J92" t="str">
        <f>I92&amp;I93</f>
        <v>11111100</v>
      </c>
    </row>
    <row r="93" spans="1:10" x14ac:dyDescent="0.25">
      <c r="A93" s="10">
        <v>8</v>
      </c>
      <c r="B93" s="10" t="str">
        <f t="shared" si="14"/>
        <v>011100</v>
      </c>
      <c r="C93" s="10" t="str">
        <f t="shared" si="15"/>
        <v>00</v>
      </c>
      <c r="D93" s="10" t="str">
        <f t="shared" si="16"/>
        <v>1110</v>
      </c>
      <c r="E93" s="10" t="str">
        <f t="shared" si="17"/>
        <v>001110</v>
      </c>
      <c r="F93" s="10">
        <f t="shared" si="18"/>
        <v>14</v>
      </c>
      <c r="G93" s="10"/>
      <c r="H93" s="10">
        <f>VLOOKUP(F93,$A$95:$I$158,9,TRUE)</f>
        <v>12</v>
      </c>
      <c r="I93" s="10" t="str">
        <f t="shared" si="19"/>
        <v>1100</v>
      </c>
    </row>
    <row r="95" spans="1:10" x14ac:dyDescent="0.25">
      <c r="A95" s="12" t="s">
        <v>40</v>
      </c>
      <c r="B95" s="12" t="s">
        <v>41</v>
      </c>
      <c r="C95" s="12" t="s">
        <v>42</v>
      </c>
      <c r="D95" s="12" t="s">
        <v>43</v>
      </c>
      <c r="E95" s="12" t="s">
        <v>44</v>
      </c>
      <c r="F95" s="12" t="s">
        <v>45</v>
      </c>
      <c r="G95" s="12" t="s">
        <v>46</v>
      </c>
      <c r="H95" s="12" t="s">
        <v>47</v>
      </c>
      <c r="I95" s="12" t="s">
        <v>48</v>
      </c>
    </row>
    <row r="96" spans="1:10" x14ac:dyDescent="0.25">
      <c r="A96" s="12">
        <v>0</v>
      </c>
      <c r="B96" s="12">
        <v>14</v>
      </c>
      <c r="C96" s="12">
        <v>15</v>
      </c>
      <c r="D96" s="12">
        <v>10</v>
      </c>
      <c r="E96" s="12">
        <v>7</v>
      </c>
      <c r="F96" s="12">
        <v>2</v>
      </c>
      <c r="G96" s="12">
        <v>12</v>
      </c>
      <c r="H96" s="12">
        <v>4</v>
      </c>
      <c r="I96" s="12">
        <v>13</v>
      </c>
    </row>
    <row r="97" spans="1:9" x14ac:dyDescent="0.25">
      <c r="A97" s="12">
        <v>1</v>
      </c>
      <c r="B97" s="12">
        <v>4</v>
      </c>
      <c r="C97" s="12">
        <v>1</v>
      </c>
      <c r="D97" s="12">
        <v>0</v>
      </c>
      <c r="E97" s="12">
        <v>13</v>
      </c>
      <c r="F97" s="12">
        <v>12</v>
      </c>
      <c r="G97" s="12">
        <v>1</v>
      </c>
      <c r="H97" s="12">
        <v>11</v>
      </c>
      <c r="I97" s="12">
        <v>2</v>
      </c>
    </row>
    <row r="98" spans="1:9" x14ac:dyDescent="0.25">
      <c r="A98" s="12">
        <v>2</v>
      </c>
      <c r="B98" s="12">
        <v>13</v>
      </c>
      <c r="C98" s="12">
        <v>8</v>
      </c>
      <c r="D98" s="12">
        <v>9</v>
      </c>
      <c r="E98" s="12">
        <v>14</v>
      </c>
      <c r="F98" s="12">
        <v>4</v>
      </c>
      <c r="G98" s="12">
        <v>10</v>
      </c>
      <c r="H98" s="12">
        <v>2</v>
      </c>
      <c r="I98" s="12">
        <v>8</v>
      </c>
    </row>
    <row r="99" spans="1:9" x14ac:dyDescent="0.25">
      <c r="A99" s="12">
        <v>3</v>
      </c>
      <c r="B99" s="12">
        <v>1</v>
      </c>
      <c r="C99" s="12">
        <v>14</v>
      </c>
      <c r="D99" s="12">
        <v>14</v>
      </c>
      <c r="E99" s="12">
        <v>3</v>
      </c>
      <c r="F99" s="12">
        <v>1</v>
      </c>
      <c r="G99" s="12">
        <v>15</v>
      </c>
      <c r="H99" s="12">
        <v>14</v>
      </c>
      <c r="I99" s="12">
        <v>4</v>
      </c>
    </row>
    <row r="100" spans="1:9" x14ac:dyDescent="0.25">
      <c r="A100" s="12">
        <v>4</v>
      </c>
      <c r="B100" s="12">
        <v>2</v>
      </c>
      <c r="C100" s="12">
        <v>6</v>
      </c>
      <c r="D100" s="12">
        <v>6</v>
      </c>
      <c r="E100" s="12">
        <v>0</v>
      </c>
      <c r="F100" s="12">
        <v>7</v>
      </c>
      <c r="G100" s="12">
        <v>9</v>
      </c>
      <c r="H100" s="12">
        <v>15</v>
      </c>
      <c r="I100" s="12">
        <v>6</v>
      </c>
    </row>
    <row r="101" spans="1:9" x14ac:dyDescent="0.25">
      <c r="A101" s="12">
        <v>5</v>
      </c>
      <c r="B101" s="12">
        <v>15</v>
      </c>
      <c r="C101" s="12">
        <v>11</v>
      </c>
      <c r="D101" s="12">
        <v>3</v>
      </c>
      <c r="E101" s="12">
        <v>6</v>
      </c>
      <c r="F101" s="12">
        <v>10</v>
      </c>
      <c r="G101" s="12">
        <v>2</v>
      </c>
      <c r="H101" s="12">
        <v>0</v>
      </c>
      <c r="I101" s="12">
        <v>15</v>
      </c>
    </row>
    <row r="102" spans="1:9" x14ac:dyDescent="0.25">
      <c r="A102" s="12">
        <v>6</v>
      </c>
      <c r="B102" s="12">
        <v>11</v>
      </c>
      <c r="C102" s="12">
        <v>3</v>
      </c>
      <c r="D102" s="12">
        <v>15</v>
      </c>
      <c r="E102" s="12">
        <v>9</v>
      </c>
      <c r="F102" s="12">
        <v>11</v>
      </c>
      <c r="G102" s="12">
        <v>6</v>
      </c>
      <c r="H102" s="12">
        <v>8</v>
      </c>
      <c r="I102" s="12">
        <v>11</v>
      </c>
    </row>
    <row r="103" spans="1:9" x14ac:dyDescent="0.25">
      <c r="A103" s="12">
        <v>7</v>
      </c>
      <c r="B103" s="12">
        <v>8</v>
      </c>
      <c r="C103" s="12">
        <v>4</v>
      </c>
      <c r="D103" s="12">
        <v>5</v>
      </c>
      <c r="E103" s="12">
        <v>10</v>
      </c>
      <c r="F103" s="12">
        <v>6</v>
      </c>
      <c r="G103" s="12">
        <v>8</v>
      </c>
      <c r="H103" s="12">
        <v>13</v>
      </c>
      <c r="I103" s="12">
        <v>1</v>
      </c>
    </row>
    <row r="104" spans="1:9" x14ac:dyDescent="0.25">
      <c r="A104" s="12">
        <v>8</v>
      </c>
      <c r="B104" s="12">
        <v>3</v>
      </c>
      <c r="C104" s="12">
        <v>9</v>
      </c>
      <c r="D104" s="12">
        <v>1</v>
      </c>
      <c r="E104" s="12">
        <v>1</v>
      </c>
      <c r="F104" s="12">
        <v>8</v>
      </c>
      <c r="G104" s="12">
        <v>0</v>
      </c>
      <c r="H104" s="12">
        <v>3</v>
      </c>
      <c r="I104" s="12">
        <v>10</v>
      </c>
    </row>
    <row r="105" spans="1:9" x14ac:dyDescent="0.25">
      <c r="A105" s="12">
        <v>9</v>
      </c>
      <c r="B105" s="12">
        <v>10</v>
      </c>
      <c r="C105" s="12">
        <v>7</v>
      </c>
      <c r="D105" s="12">
        <v>13</v>
      </c>
      <c r="E105" s="12">
        <v>2</v>
      </c>
      <c r="F105" s="12">
        <v>5</v>
      </c>
      <c r="G105" s="12">
        <v>13</v>
      </c>
      <c r="H105" s="12">
        <v>12</v>
      </c>
      <c r="I105" s="12">
        <v>9</v>
      </c>
    </row>
    <row r="106" spans="1:9" x14ac:dyDescent="0.25">
      <c r="A106" s="12">
        <v>10</v>
      </c>
      <c r="B106" s="12">
        <v>6</v>
      </c>
      <c r="C106" s="12">
        <v>2</v>
      </c>
      <c r="D106" s="12">
        <v>12</v>
      </c>
      <c r="E106" s="12">
        <v>8</v>
      </c>
      <c r="F106" s="12">
        <v>3</v>
      </c>
      <c r="G106" s="12">
        <v>3</v>
      </c>
      <c r="H106" s="12">
        <v>9</v>
      </c>
      <c r="I106" s="12">
        <v>3</v>
      </c>
    </row>
    <row r="107" spans="1:9" x14ac:dyDescent="0.25">
      <c r="A107" s="12">
        <v>11</v>
      </c>
      <c r="B107" s="12">
        <v>12</v>
      </c>
      <c r="C107" s="12">
        <v>13</v>
      </c>
      <c r="D107" s="12">
        <v>7</v>
      </c>
      <c r="E107" s="12">
        <v>5</v>
      </c>
      <c r="F107" s="12">
        <v>15</v>
      </c>
      <c r="G107" s="12">
        <v>4</v>
      </c>
      <c r="H107" s="12">
        <v>7</v>
      </c>
      <c r="I107" s="12">
        <v>14</v>
      </c>
    </row>
    <row r="108" spans="1:9" x14ac:dyDescent="0.25">
      <c r="A108" s="12">
        <v>12</v>
      </c>
      <c r="B108" s="12">
        <v>5</v>
      </c>
      <c r="C108" s="12">
        <v>12</v>
      </c>
      <c r="D108" s="12">
        <v>11</v>
      </c>
      <c r="E108" s="12">
        <v>11</v>
      </c>
      <c r="F108" s="12">
        <v>13</v>
      </c>
      <c r="G108" s="12">
        <v>14</v>
      </c>
      <c r="H108" s="12">
        <v>5</v>
      </c>
      <c r="I108" s="12">
        <v>5</v>
      </c>
    </row>
    <row r="109" spans="1:9" x14ac:dyDescent="0.25">
      <c r="A109" s="12">
        <v>13</v>
      </c>
      <c r="B109" s="12">
        <v>9</v>
      </c>
      <c r="C109" s="12">
        <v>0</v>
      </c>
      <c r="D109" s="12">
        <v>4</v>
      </c>
      <c r="E109" s="12">
        <v>12</v>
      </c>
      <c r="F109" s="12">
        <v>0</v>
      </c>
      <c r="G109" s="12">
        <v>7</v>
      </c>
      <c r="H109" s="12">
        <v>10</v>
      </c>
      <c r="I109" s="12">
        <v>0</v>
      </c>
    </row>
    <row r="110" spans="1:9" x14ac:dyDescent="0.25">
      <c r="A110" s="12">
        <v>14</v>
      </c>
      <c r="B110" s="12">
        <v>0</v>
      </c>
      <c r="C110" s="12">
        <v>5</v>
      </c>
      <c r="D110" s="12">
        <v>2</v>
      </c>
      <c r="E110" s="12">
        <v>4</v>
      </c>
      <c r="F110" s="12">
        <v>14</v>
      </c>
      <c r="G110" s="12">
        <v>5</v>
      </c>
      <c r="H110" s="12">
        <v>6</v>
      </c>
      <c r="I110" s="12">
        <v>12</v>
      </c>
    </row>
    <row r="111" spans="1:9" x14ac:dyDescent="0.25">
      <c r="A111" s="12">
        <v>15</v>
      </c>
      <c r="B111" s="12">
        <v>7</v>
      </c>
      <c r="C111" s="12">
        <v>10</v>
      </c>
      <c r="D111" s="12">
        <v>8</v>
      </c>
      <c r="E111" s="12">
        <v>15</v>
      </c>
      <c r="F111" s="12">
        <v>9</v>
      </c>
      <c r="G111" s="12">
        <v>11</v>
      </c>
      <c r="H111" s="12">
        <v>1</v>
      </c>
      <c r="I111" s="12">
        <v>7</v>
      </c>
    </row>
    <row r="112" spans="1:9" x14ac:dyDescent="0.25">
      <c r="A112" s="12">
        <v>16</v>
      </c>
      <c r="B112" s="12">
        <v>0</v>
      </c>
      <c r="C112" s="12">
        <v>3</v>
      </c>
      <c r="D112" s="12">
        <v>13</v>
      </c>
      <c r="E112" s="12">
        <v>13</v>
      </c>
      <c r="F112" s="12">
        <v>14</v>
      </c>
      <c r="G112" s="12">
        <v>10</v>
      </c>
      <c r="H112" s="12">
        <v>13</v>
      </c>
      <c r="I112" s="12">
        <v>1</v>
      </c>
    </row>
    <row r="113" spans="1:9" x14ac:dyDescent="0.25">
      <c r="A113" s="12">
        <v>17</v>
      </c>
      <c r="B113" s="12">
        <v>15</v>
      </c>
      <c r="C113" s="12">
        <v>13</v>
      </c>
      <c r="D113" s="12">
        <v>7</v>
      </c>
      <c r="E113" s="12">
        <v>8</v>
      </c>
      <c r="F113" s="12">
        <v>11</v>
      </c>
      <c r="G113" s="12">
        <v>15</v>
      </c>
      <c r="H113" s="12">
        <v>0</v>
      </c>
      <c r="I113" s="12">
        <v>15</v>
      </c>
    </row>
    <row r="114" spans="1:9" x14ac:dyDescent="0.25">
      <c r="A114" s="12">
        <v>18</v>
      </c>
      <c r="B114" s="12">
        <v>7</v>
      </c>
      <c r="C114" s="12">
        <v>4</v>
      </c>
      <c r="D114" s="12">
        <v>0</v>
      </c>
      <c r="E114" s="12">
        <v>11</v>
      </c>
      <c r="F114" s="12">
        <v>2</v>
      </c>
      <c r="G114" s="12">
        <v>4</v>
      </c>
      <c r="H114" s="12">
        <v>11</v>
      </c>
      <c r="I114" s="12">
        <v>13</v>
      </c>
    </row>
    <row r="115" spans="1:9" x14ac:dyDescent="0.25">
      <c r="A115" s="12">
        <v>19</v>
      </c>
      <c r="B115" s="12">
        <v>4</v>
      </c>
      <c r="C115" s="12">
        <v>7</v>
      </c>
      <c r="D115" s="12">
        <v>9</v>
      </c>
      <c r="E115" s="12">
        <v>5</v>
      </c>
      <c r="F115" s="12">
        <v>12</v>
      </c>
      <c r="G115" s="12">
        <v>2</v>
      </c>
      <c r="H115" s="12">
        <v>7</v>
      </c>
      <c r="I115" s="12">
        <v>8</v>
      </c>
    </row>
    <row r="116" spans="1:9" x14ac:dyDescent="0.25">
      <c r="A116" s="12">
        <v>20</v>
      </c>
      <c r="B116" s="12">
        <v>14</v>
      </c>
      <c r="C116" s="12">
        <v>15</v>
      </c>
      <c r="D116" s="12">
        <v>3</v>
      </c>
      <c r="E116" s="12">
        <v>6</v>
      </c>
      <c r="F116" s="12">
        <v>4</v>
      </c>
      <c r="G116" s="12">
        <v>7</v>
      </c>
      <c r="H116" s="12">
        <v>4</v>
      </c>
      <c r="I116" s="12">
        <v>10</v>
      </c>
    </row>
    <row r="117" spans="1:9" x14ac:dyDescent="0.25">
      <c r="A117" s="12">
        <v>21</v>
      </c>
      <c r="B117" s="12">
        <v>2</v>
      </c>
      <c r="C117" s="12">
        <v>2</v>
      </c>
      <c r="D117" s="12">
        <v>4</v>
      </c>
      <c r="E117" s="12">
        <v>15</v>
      </c>
      <c r="F117" s="12">
        <v>7</v>
      </c>
      <c r="G117" s="12">
        <v>12</v>
      </c>
      <c r="H117" s="12">
        <v>9</v>
      </c>
      <c r="I117" s="12">
        <v>3</v>
      </c>
    </row>
    <row r="118" spans="1:9" x14ac:dyDescent="0.25">
      <c r="A118" s="12">
        <v>22</v>
      </c>
      <c r="B118" s="12">
        <v>13</v>
      </c>
      <c r="C118" s="12">
        <v>8</v>
      </c>
      <c r="D118" s="12">
        <v>6</v>
      </c>
      <c r="E118" s="12">
        <v>0</v>
      </c>
      <c r="F118" s="12">
        <v>13</v>
      </c>
      <c r="G118" s="12">
        <v>9</v>
      </c>
      <c r="H118" s="12">
        <v>1</v>
      </c>
      <c r="I118" s="12">
        <v>7</v>
      </c>
    </row>
    <row r="119" spans="1:9" x14ac:dyDescent="0.25">
      <c r="A119" s="12">
        <v>23</v>
      </c>
      <c r="B119" s="12">
        <v>1</v>
      </c>
      <c r="C119" s="12">
        <v>14</v>
      </c>
      <c r="D119" s="12">
        <v>10</v>
      </c>
      <c r="E119" s="12">
        <v>3</v>
      </c>
      <c r="F119" s="12">
        <v>1</v>
      </c>
      <c r="G119" s="12">
        <v>5</v>
      </c>
      <c r="H119" s="12">
        <v>10</v>
      </c>
      <c r="I119" s="12">
        <v>4</v>
      </c>
    </row>
    <row r="120" spans="1:9" x14ac:dyDescent="0.25">
      <c r="A120" s="12">
        <v>24</v>
      </c>
      <c r="B120" s="12">
        <v>10</v>
      </c>
      <c r="C120" s="12">
        <v>12</v>
      </c>
      <c r="D120" s="12">
        <v>2</v>
      </c>
      <c r="E120" s="12">
        <v>4</v>
      </c>
      <c r="F120" s="12">
        <v>5</v>
      </c>
      <c r="G120" s="12">
        <v>6</v>
      </c>
      <c r="H120" s="12">
        <v>14</v>
      </c>
      <c r="I120" s="12">
        <v>12</v>
      </c>
    </row>
    <row r="121" spans="1:9" x14ac:dyDescent="0.25">
      <c r="A121" s="12">
        <v>25</v>
      </c>
      <c r="B121" s="12">
        <v>6</v>
      </c>
      <c r="C121" s="12">
        <v>0</v>
      </c>
      <c r="D121" s="12">
        <v>8</v>
      </c>
      <c r="E121" s="12">
        <v>7</v>
      </c>
      <c r="F121" s="12">
        <v>0</v>
      </c>
      <c r="G121" s="12">
        <v>1</v>
      </c>
      <c r="H121" s="12">
        <v>3</v>
      </c>
      <c r="I121" s="12">
        <v>5</v>
      </c>
    </row>
    <row r="122" spans="1:9" x14ac:dyDescent="0.25">
      <c r="A122" s="12">
        <v>26</v>
      </c>
      <c r="B122" s="12">
        <v>12</v>
      </c>
      <c r="C122" s="12">
        <v>1</v>
      </c>
      <c r="D122" s="12">
        <v>5</v>
      </c>
      <c r="E122" s="12">
        <v>2</v>
      </c>
      <c r="F122" s="12">
        <v>15</v>
      </c>
      <c r="G122" s="12">
        <v>13</v>
      </c>
      <c r="H122" s="12">
        <v>5</v>
      </c>
      <c r="I122" s="12">
        <v>6</v>
      </c>
    </row>
    <row r="123" spans="1:9" x14ac:dyDescent="0.25">
      <c r="A123" s="12">
        <v>27</v>
      </c>
      <c r="B123" s="12">
        <v>11</v>
      </c>
      <c r="C123" s="12">
        <v>10</v>
      </c>
      <c r="D123" s="12">
        <v>14</v>
      </c>
      <c r="E123" s="12">
        <v>12</v>
      </c>
      <c r="F123" s="12">
        <v>10</v>
      </c>
      <c r="G123" s="12">
        <v>14</v>
      </c>
      <c r="H123" s="12">
        <v>12</v>
      </c>
      <c r="I123" s="12">
        <v>11</v>
      </c>
    </row>
    <row r="124" spans="1:9" x14ac:dyDescent="0.25">
      <c r="A124" s="12">
        <v>28</v>
      </c>
      <c r="B124" s="12">
        <v>9</v>
      </c>
      <c r="C124" s="12">
        <v>6</v>
      </c>
      <c r="D124" s="12">
        <v>12</v>
      </c>
      <c r="E124" s="12">
        <v>1</v>
      </c>
      <c r="F124" s="12">
        <v>3</v>
      </c>
      <c r="G124" s="12">
        <v>0</v>
      </c>
      <c r="H124" s="12">
        <v>2</v>
      </c>
      <c r="I124" s="12">
        <v>0</v>
      </c>
    </row>
    <row r="125" spans="1:9" x14ac:dyDescent="0.25">
      <c r="A125" s="12">
        <v>29</v>
      </c>
      <c r="B125" s="12">
        <v>5</v>
      </c>
      <c r="C125" s="12">
        <v>9</v>
      </c>
      <c r="D125" s="12">
        <v>11</v>
      </c>
      <c r="E125" s="12">
        <v>10</v>
      </c>
      <c r="F125" s="12">
        <v>9</v>
      </c>
      <c r="G125" s="12">
        <v>11</v>
      </c>
      <c r="H125" s="12">
        <v>15</v>
      </c>
      <c r="I125" s="12">
        <v>14</v>
      </c>
    </row>
    <row r="126" spans="1:9" x14ac:dyDescent="0.25">
      <c r="A126" s="12">
        <v>30</v>
      </c>
      <c r="B126" s="12">
        <v>3</v>
      </c>
      <c r="C126" s="12">
        <v>11</v>
      </c>
      <c r="D126" s="12">
        <v>15</v>
      </c>
      <c r="E126" s="12">
        <v>14</v>
      </c>
      <c r="F126" s="12">
        <v>8</v>
      </c>
      <c r="G126" s="12">
        <v>3</v>
      </c>
      <c r="H126" s="12">
        <v>8</v>
      </c>
      <c r="I126" s="12">
        <v>9</v>
      </c>
    </row>
    <row r="127" spans="1:9" x14ac:dyDescent="0.25">
      <c r="A127" s="12">
        <v>31</v>
      </c>
      <c r="B127" s="12">
        <v>8</v>
      </c>
      <c r="C127" s="12">
        <v>5</v>
      </c>
      <c r="D127" s="12">
        <v>1</v>
      </c>
      <c r="E127" s="12">
        <v>9</v>
      </c>
      <c r="F127" s="12">
        <v>6</v>
      </c>
      <c r="G127" s="12">
        <v>8</v>
      </c>
      <c r="H127" s="12">
        <v>6</v>
      </c>
      <c r="I127" s="12">
        <v>2</v>
      </c>
    </row>
    <row r="128" spans="1:9" x14ac:dyDescent="0.25">
      <c r="A128" s="12">
        <v>32</v>
      </c>
      <c r="B128" s="12">
        <v>4</v>
      </c>
      <c r="C128" s="12">
        <v>0</v>
      </c>
      <c r="D128" s="12">
        <v>13</v>
      </c>
      <c r="E128" s="12">
        <v>10</v>
      </c>
      <c r="F128" s="12">
        <v>4</v>
      </c>
      <c r="G128" s="12">
        <v>9</v>
      </c>
      <c r="H128" s="12">
        <v>1</v>
      </c>
      <c r="I128" s="12">
        <v>7</v>
      </c>
    </row>
    <row r="129" spans="1:9" x14ac:dyDescent="0.25">
      <c r="A129" s="12">
        <v>33</v>
      </c>
      <c r="B129" s="12">
        <v>1</v>
      </c>
      <c r="C129" s="12">
        <v>14</v>
      </c>
      <c r="D129" s="12">
        <v>6</v>
      </c>
      <c r="E129" s="12">
        <v>6</v>
      </c>
      <c r="F129" s="12">
        <v>2</v>
      </c>
      <c r="G129" s="12">
        <v>14</v>
      </c>
      <c r="H129" s="12">
        <v>4</v>
      </c>
      <c r="I129" s="12">
        <v>11</v>
      </c>
    </row>
    <row r="130" spans="1:9" x14ac:dyDescent="0.25">
      <c r="A130" s="12">
        <v>34</v>
      </c>
      <c r="B130" s="12">
        <v>14</v>
      </c>
      <c r="C130" s="12">
        <v>7</v>
      </c>
      <c r="D130" s="12">
        <v>4</v>
      </c>
      <c r="E130" s="12">
        <v>9</v>
      </c>
      <c r="F130" s="12">
        <v>1</v>
      </c>
      <c r="G130" s="12">
        <v>15</v>
      </c>
      <c r="H130" s="12">
        <v>11</v>
      </c>
      <c r="I130" s="12">
        <v>4</v>
      </c>
    </row>
    <row r="131" spans="1:9" x14ac:dyDescent="0.25">
      <c r="A131" s="12">
        <v>35</v>
      </c>
      <c r="B131" s="12">
        <v>8</v>
      </c>
      <c r="C131" s="12">
        <v>11</v>
      </c>
      <c r="D131" s="12">
        <v>9</v>
      </c>
      <c r="E131" s="12">
        <v>0</v>
      </c>
      <c r="F131" s="12">
        <v>11</v>
      </c>
      <c r="G131" s="12">
        <v>5</v>
      </c>
      <c r="H131" s="12">
        <v>13</v>
      </c>
      <c r="I131" s="12">
        <v>1</v>
      </c>
    </row>
    <row r="132" spans="1:9" x14ac:dyDescent="0.25">
      <c r="A132" s="12">
        <v>36</v>
      </c>
      <c r="B132" s="12">
        <v>13</v>
      </c>
      <c r="C132" s="12">
        <v>10</v>
      </c>
      <c r="D132" s="12">
        <v>8</v>
      </c>
      <c r="E132" s="12">
        <v>12</v>
      </c>
      <c r="F132" s="12">
        <v>10</v>
      </c>
      <c r="G132" s="12">
        <v>2</v>
      </c>
      <c r="H132" s="12">
        <v>12</v>
      </c>
      <c r="I132" s="12">
        <v>9</v>
      </c>
    </row>
    <row r="133" spans="1:9" x14ac:dyDescent="0.25">
      <c r="A133" s="12">
        <v>37</v>
      </c>
      <c r="B133" s="12">
        <v>6</v>
      </c>
      <c r="C133" s="12">
        <v>4</v>
      </c>
      <c r="D133" s="12">
        <v>15</v>
      </c>
      <c r="E133" s="12">
        <v>11</v>
      </c>
      <c r="F133" s="12">
        <v>13</v>
      </c>
      <c r="G133" s="12">
        <v>8</v>
      </c>
      <c r="H133" s="12">
        <v>3</v>
      </c>
      <c r="I133" s="12">
        <v>12</v>
      </c>
    </row>
    <row r="134" spans="1:9" x14ac:dyDescent="0.25">
      <c r="A134" s="12">
        <v>38</v>
      </c>
      <c r="B134" s="12">
        <v>2</v>
      </c>
      <c r="C134" s="12">
        <v>13</v>
      </c>
      <c r="D134" s="12">
        <v>3</v>
      </c>
      <c r="E134" s="12">
        <v>7</v>
      </c>
      <c r="F134" s="12">
        <v>7</v>
      </c>
      <c r="G134" s="12">
        <v>12</v>
      </c>
      <c r="H134" s="12">
        <v>7</v>
      </c>
      <c r="I134" s="12">
        <v>14</v>
      </c>
    </row>
    <row r="135" spans="1:9" x14ac:dyDescent="0.25">
      <c r="A135" s="12">
        <v>39</v>
      </c>
      <c r="B135" s="12">
        <v>11</v>
      </c>
      <c r="C135" s="12">
        <v>1</v>
      </c>
      <c r="D135" s="12">
        <v>0</v>
      </c>
      <c r="E135" s="12">
        <v>13</v>
      </c>
      <c r="F135" s="12">
        <v>8</v>
      </c>
      <c r="G135" s="12">
        <v>3</v>
      </c>
      <c r="H135" s="12">
        <v>14</v>
      </c>
      <c r="I135" s="12">
        <v>2</v>
      </c>
    </row>
    <row r="136" spans="1:9" x14ac:dyDescent="0.25">
      <c r="A136" s="12">
        <v>40</v>
      </c>
      <c r="B136" s="12">
        <v>15</v>
      </c>
      <c r="C136" s="12">
        <v>5</v>
      </c>
      <c r="D136" s="12">
        <v>11</v>
      </c>
      <c r="E136" s="12">
        <v>15</v>
      </c>
      <c r="F136" s="12">
        <v>15</v>
      </c>
      <c r="G136" s="12">
        <v>7</v>
      </c>
      <c r="H136" s="12">
        <v>10</v>
      </c>
      <c r="I136" s="12">
        <v>0</v>
      </c>
    </row>
    <row r="137" spans="1:9" x14ac:dyDescent="0.25">
      <c r="A137" s="12">
        <v>41</v>
      </c>
      <c r="B137" s="12">
        <v>12</v>
      </c>
      <c r="C137" s="12">
        <v>8</v>
      </c>
      <c r="D137" s="12">
        <v>1</v>
      </c>
      <c r="E137" s="12">
        <v>1</v>
      </c>
      <c r="F137" s="12">
        <v>9</v>
      </c>
      <c r="G137" s="12">
        <v>0</v>
      </c>
      <c r="H137" s="12">
        <v>15</v>
      </c>
      <c r="I137" s="12">
        <v>6</v>
      </c>
    </row>
    <row r="138" spans="1:9" x14ac:dyDescent="0.25">
      <c r="A138" s="12">
        <v>42</v>
      </c>
      <c r="B138" s="12">
        <v>9</v>
      </c>
      <c r="C138" s="12">
        <v>12</v>
      </c>
      <c r="D138" s="12">
        <v>2</v>
      </c>
      <c r="E138" s="12">
        <v>3</v>
      </c>
      <c r="F138" s="12">
        <v>12</v>
      </c>
      <c r="G138" s="12">
        <v>4</v>
      </c>
      <c r="H138" s="12">
        <v>6</v>
      </c>
      <c r="I138" s="12">
        <v>10</v>
      </c>
    </row>
    <row r="139" spans="1:9" x14ac:dyDescent="0.25">
      <c r="A139" s="12">
        <v>43</v>
      </c>
      <c r="B139" s="12">
        <v>7</v>
      </c>
      <c r="C139" s="12">
        <v>6</v>
      </c>
      <c r="D139" s="12">
        <v>12</v>
      </c>
      <c r="E139" s="12">
        <v>14</v>
      </c>
      <c r="F139" s="12">
        <v>5</v>
      </c>
      <c r="G139" s="12">
        <v>10</v>
      </c>
      <c r="H139" s="12">
        <v>8</v>
      </c>
      <c r="I139" s="12">
        <v>13</v>
      </c>
    </row>
    <row r="140" spans="1:9" x14ac:dyDescent="0.25">
      <c r="A140" s="12">
        <v>44</v>
      </c>
      <c r="B140" s="12">
        <v>3</v>
      </c>
      <c r="C140" s="12">
        <v>9</v>
      </c>
      <c r="D140" s="12">
        <v>5</v>
      </c>
      <c r="E140" s="12">
        <v>5</v>
      </c>
      <c r="F140" s="12">
        <v>6</v>
      </c>
      <c r="G140" s="12">
        <v>1</v>
      </c>
      <c r="H140" s="12">
        <v>0</v>
      </c>
      <c r="I140" s="12">
        <v>15</v>
      </c>
    </row>
    <row r="141" spans="1:9" x14ac:dyDescent="0.25">
      <c r="A141" s="12">
        <v>45</v>
      </c>
      <c r="B141" s="12">
        <v>10</v>
      </c>
      <c r="C141" s="12">
        <v>3</v>
      </c>
      <c r="D141" s="12">
        <v>10</v>
      </c>
      <c r="E141" s="12">
        <v>2</v>
      </c>
      <c r="F141" s="12">
        <v>3</v>
      </c>
      <c r="G141" s="12">
        <v>13</v>
      </c>
      <c r="H141" s="12">
        <v>5</v>
      </c>
      <c r="I141" s="12">
        <v>3</v>
      </c>
    </row>
    <row r="142" spans="1:9" x14ac:dyDescent="0.25">
      <c r="A142" s="12">
        <v>46</v>
      </c>
      <c r="B142" s="12">
        <v>5</v>
      </c>
      <c r="C142" s="12">
        <v>2</v>
      </c>
      <c r="D142" s="12">
        <v>14</v>
      </c>
      <c r="E142" s="12">
        <v>8</v>
      </c>
      <c r="F142" s="12">
        <v>0</v>
      </c>
      <c r="G142" s="12">
        <v>11</v>
      </c>
      <c r="H142" s="12">
        <v>9</v>
      </c>
      <c r="I142" s="12">
        <v>5</v>
      </c>
    </row>
    <row r="143" spans="1:9" x14ac:dyDescent="0.25">
      <c r="A143" s="12">
        <v>47</v>
      </c>
      <c r="B143" s="12">
        <v>0</v>
      </c>
      <c r="C143" s="12">
        <v>15</v>
      </c>
      <c r="D143" s="12">
        <v>7</v>
      </c>
      <c r="E143" s="12">
        <v>4</v>
      </c>
      <c r="F143" s="12">
        <v>14</v>
      </c>
      <c r="G143" s="12">
        <v>6</v>
      </c>
      <c r="H143" s="12">
        <v>2</v>
      </c>
      <c r="I143" s="12">
        <v>8</v>
      </c>
    </row>
    <row r="144" spans="1:9" x14ac:dyDescent="0.25">
      <c r="A144" s="12">
        <v>48</v>
      </c>
      <c r="B144" s="12">
        <v>15</v>
      </c>
      <c r="C144" s="12">
        <v>13</v>
      </c>
      <c r="D144" s="12">
        <v>1</v>
      </c>
      <c r="E144" s="12">
        <v>3</v>
      </c>
      <c r="F144" s="12">
        <v>11</v>
      </c>
      <c r="G144" s="12">
        <v>4</v>
      </c>
      <c r="H144" s="12">
        <v>6</v>
      </c>
      <c r="I144" s="12">
        <v>2</v>
      </c>
    </row>
    <row r="145" spans="1:9" x14ac:dyDescent="0.25">
      <c r="A145" s="12">
        <v>49</v>
      </c>
      <c r="B145" s="12">
        <v>12</v>
      </c>
      <c r="C145" s="12">
        <v>8</v>
      </c>
      <c r="D145" s="12">
        <v>10</v>
      </c>
      <c r="E145" s="12">
        <v>15</v>
      </c>
      <c r="F145" s="12">
        <v>8</v>
      </c>
      <c r="G145" s="12">
        <v>3</v>
      </c>
      <c r="H145" s="12">
        <v>11</v>
      </c>
      <c r="I145" s="12">
        <v>1</v>
      </c>
    </row>
    <row r="146" spans="1:9" x14ac:dyDescent="0.25">
      <c r="A146" s="12">
        <v>50</v>
      </c>
      <c r="B146" s="12">
        <v>8</v>
      </c>
      <c r="C146" s="12">
        <v>10</v>
      </c>
      <c r="D146" s="12">
        <v>13</v>
      </c>
      <c r="E146" s="12">
        <v>0</v>
      </c>
      <c r="F146" s="12">
        <v>12</v>
      </c>
      <c r="G146" s="12">
        <v>2</v>
      </c>
      <c r="H146" s="12">
        <v>13</v>
      </c>
      <c r="I146" s="12">
        <v>14</v>
      </c>
    </row>
    <row r="147" spans="1:9" x14ac:dyDescent="0.25">
      <c r="A147" s="12">
        <v>51</v>
      </c>
      <c r="B147" s="12">
        <v>2</v>
      </c>
      <c r="C147" s="12">
        <v>1</v>
      </c>
      <c r="D147" s="12">
        <v>0</v>
      </c>
      <c r="E147" s="12">
        <v>6</v>
      </c>
      <c r="F147" s="12">
        <v>7</v>
      </c>
      <c r="G147" s="12">
        <v>12</v>
      </c>
      <c r="H147" s="12">
        <v>8</v>
      </c>
      <c r="I147" s="12">
        <v>7</v>
      </c>
    </row>
    <row r="148" spans="1:9" x14ac:dyDescent="0.25">
      <c r="A148" s="12">
        <v>52</v>
      </c>
      <c r="B148" s="12">
        <v>4</v>
      </c>
      <c r="C148" s="12">
        <v>3</v>
      </c>
      <c r="D148" s="12">
        <v>6</v>
      </c>
      <c r="E148" s="12">
        <v>10</v>
      </c>
      <c r="F148" s="12">
        <v>1</v>
      </c>
      <c r="G148" s="12">
        <v>9</v>
      </c>
      <c r="H148" s="12">
        <v>1</v>
      </c>
      <c r="I148" s="12">
        <v>4</v>
      </c>
    </row>
    <row r="149" spans="1:9" x14ac:dyDescent="0.25">
      <c r="A149" s="12">
        <v>53</v>
      </c>
      <c r="B149" s="12">
        <v>9</v>
      </c>
      <c r="C149" s="12">
        <v>15</v>
      </c>
      <c r="D149" s="12">
        <v>9</v>
      </c>
      <c r="E149" s="12">
        <v>1</v>
      </c>
      <c r="F149" s="12">
        <v>14</v>
      </c>
      <c r="G149" s="12">
        <v>5</v>
      </c>
      <c r="H149" s="12">
        <v>4</v>
      </c>
      <c r="I149" s="12">
        <v>10</v>
      </c>
    </row>
    <row r="150" spans="1:9" x14ac:dyDescent="0.25">
      <c r="A150" s="12">
        <v>54</v>
      </c>
      <c r="B150" s="12">
        <v>1</v>
      </c>
      <c r="C150" s="12">
        <v>4</v>
      </c>
      <c r="D150" s="12">
        <v>8</v>
      </c>
      <c r="E150" s="12">
        <v>13</v>
      </c>
      <c r="F150" s="12">
        <v>2</v>
      </c>
      <c r="G150" s="12">
        <v>15</v>
      </c>
      <c r="H150" s="12">
        <v>10</v>
      </c>
      <c r="I150" s="12">
        <v>8</v>
      </c>
    </row>
    <row r="151" spans="1:9" x14ac:dyDescent="0.25">
      <c r="A151" s="12">
        <v>55</v>
      </c>
      <c r="B151" s="12">
        <v>7</v>
      </c>
      <c r="C151" s="12">
        <v>2</v>
      </c>
      <c r="D151" s="12">
        <v>7</v>
      </c>
      <c r="E151" s="12">
        <v>8</v>
      </c>
      <c r="F151" s="12">
        <v>13</v>
      </c>
      <c r="G151" s="12">
        <v>10</v>
      </c>
      <c r="H151" s="12">
        <v>7</v>
      </c>
      <c r="I151" s="12">
        <v>13</v>
      </c>
    </row>
    <row r="152" spans="1:9" x14ac:dyDescent="0.25">
      <c r="A152" s="12">
        <v>56</v>
      </c>
      <c r="B152" s="12">
        <v>5</v>
      </c>
      <c r="C152" s="12">
        <v>11</v>
      </c>
      <c r="D152" s="12">
        <v>4</v>
      </c>
      <c r="E152" s="12">
        <v>9</v>
      </c>
      <c r="F152" s="12">
        <v>6</v>
      </c>
      <c r="G152" s="12">
        <v>11</v>
      </c>
      <c r="H152" s="12">
        <v>9</v>
      </c>
      <c r="I152" s="12">
        <v>15</v>
      </c>
    </row>
    <row r="153" spans="1:9" x14ac:dyDescent="0.25">
      <c r="A153" s="12">
        <v>57</v>
      </c>
      <c r="B153" s="12">
        <v>11</v>
      </c>
      <c r="C153" s="12">
        <v>6</v>
      </c>
      <c r="D153" s="12">
        <v>15</v>
      </c>
      <c r="E153" s="12">
        <v>4</v>
      </c>
      <c r="F153" s="12">
        <v>15</v>
      </c>
      <c r="G153" s="12">
        <v>14</v>
      </c>
      <c r="H153" s="12">
        <v>5</v>
      </c>
      <c r="I153" s="12">
        <v>12</v>
      </c>
    </row>
    <row r="154" spans="1:9" x14ac:dyDescent="0.25">
      <c r="A154" s="12">
        <v>58</v>
      </c>
      <c r="B154" s="12">
        <v>3</v>
      </c>
      <c r="C154" s="12">
        <v>7</v>
      </c>
      <c r="D154" s="12">
        <v>14</v>
      </c>
      <c r="E154" s="12">
        <v>5</v>
      </c>
      <c r="F154" s="12">
        <v>0</v>
      </c>
      <c r="G154" s="12">
        <v>1</v>
      </c>
      <c r="H154" s="12">
        <v>0</v>
      </c>
      <c r="I154" s="12">
        <v>9</v>
      </c>
    </row>
    <row r="155" spans="1:9" x14ac:dyDescent="0.25">
      <c r="A155" s="12">
        <v>59</v>
      </c>
      <c r="B155" s="12">
        <v>14</v>
      </c>
      <c r="C155" s="12">
        <v>12</v>
      </c>
      <c r="D155" s="12">
        <v>3</v>
      </c>
      <c r="E155" s="12">
        <v>11</v>
      </c>
      <c r="F155" s="12">
        <v>9</v>
      </c>
      <c r="G155" s="12">
        <v>7</v>
      </c>
      <c r="H155" s="12">
        <v>15</v>
      </c>
      <c r="I155" s="12">
        <v>0</v>
      </c>
    </row>
    <row r="156" spans="1:9" x14ac:dyDescent="0.25">
      <c r="A156" s="12">
        <v>60</v>
      </c>
      <c r="B156" s="12">
        <v>10</v>
      </c>
      <c r="C156" s="12">
        <v>0</v>
      </c>
      <c r="D156" s="12">
        <v>11</v>
      </c>
      <c r="E156" s="12">
        <v>12</v>
      </c>
      <c r="F156" s="12">
        <v>10</v>
      </c>
      <c r="G156" s="12">
        <v>6</v>
      </c>
      <c r="H156" s="12">
        <v>14</v>
      </c>
      <c r="I156" s="12">
        <v>3</v>
      </c>
    </row>
    <row r="157" spans="1:9" x14ac:dyDescent="0.25">
      <c r="A157" s="12">
        <v>61</v>
      </c>
      <c r="B157" s="12">
        <v>0</v>
      </c>
      <c r="C157" s="12">
        <v>5</v>
      </c>
      <c r="D157" s="12">
        <v>5</v>
      </c>
      <c r="E157" s="12">
        <v>7</v>
      </c>
      <c r="F157" s="12">
        <v>4</v>
      </c>
      <c r="G157" s="12">
        <v>0</v>
      </c>
      <c r="H157" s="12">
        <v>2</v>
      </c>
      <c r="I157" s="12">
        <v>5</v>
      </c>
    </row>
    <row r="158" spans="1:9" x14ac:dyDescent="0.25">
      <c r="A158" s="12">
        <v>62</v>
      </c>
      <c r="B158" s="12">
        <v>6</v>
      </c>
      <c r="C158" s="12">
        <v>14</v>
      </c>
      <c r="D158" s="12">
        <v>2</v>
      </c>
      <c r="E158" s="12">
        <v>2</v>
      </c>
      <c r="F158" s="12">
        <v>5</v>
      </c>
      <c r="G158" s="12">
        <v>8</v>
      </c>
      <c r="H158" s="12">
        <v>3</v>
      </c>
      <c r="I158" s="12">
        <v>6</v>
      </c>
    </row>
    <row r="159" spans="1:9" x14ac:dyDescent="0.25">
      <c r="A159" s="12">
        <v>63</v>
      </c>
      <c r="B159" s="12">
        <v>13</v>
      </c>
      <c r="C159" s="12">
        <v>9</v>
      </c>
      <c r="D159" s="12">
        <v>12</v>
      </c>
      <c r="E159" s="12">
        <v>14</v>
      </c>
      <c r="F159" s="12">
        <v>3</v>
      </c>
      <c r="G159" s="12">
        <v>13</v>
      </c>
      <c r="H159" s="12">
        <v>12</v>
      </c>
      <c r="I159" s="12">
        <v>11</v>
      </c>
    </row>
    <row r="162" spans="1:6" ht="18.75" x14ac:dyDescent="0.3">
      <c r="B162" s="15" t="s">
        <v>50</v>
      </c>
      <c r="C162" s="15" t="str">
        <f>J86</f>
        <v>10000010111000111100011111111100</v>
      </c>
      <c r="D162" s="15"/>
      <c r="E162" s="15"/>
      <c r="F162" s="15"/>
    </row>
    <row r="163" spans="1:6" ht="24" x14ac:dyDescent="0.4">
      <c r="A163" s="13" t="s">
        <v>51</v>
      </c>
      <c r="B163" s="14"/>
    </row>
    <row r="164" spans="1:6" x14ac:dyDescent="0.25">
      <c r="A164" t="s">
        <v>5</v>
      </c>
      <c r="B164" t="s">
        <v>52</v>
      </c>
      <c r="C164" t="s">
        <v>35</v>
      </c>
    </row>
    <row r="165" spans="1:6" x14ac:dyDescent="0.25">
      <c r="A165">
        <v>1</v>
      </c>
      <c r="B165">
        <v>16</v>
      </c>
      <c r="C165" t="str">
        <f>MID($C$162,B165,1)</f>
        <v>1</v>
      </c>
      <c r="D165" t="str">
        <f t="shared" ref="D165:D193" si="20">C165&amp;D166</f>
        <v>11001011111101010010010100101101</v>
      </c>
    </row>
    <row r="166" spans="1:6" x14ac:dyDescent="0.25">
      <c r="A166">
        <v>2</v>
      </c>
      <c r="B166">
        <v>7</v>
      </c>
      <c r="C166" t="str">
        <f t="shared" ref="C166:C196" si="21">MID($C$162,B166,1)</f>
        <v>1</v>
      </c>
      <c r="D166" t="str">
        <f t="shared" si="20"/>
        <v>1001011111101010010010100101101</v>
      </c>
    </row>
    <row r="167" spans="1:6" x14ac:dyDescent="0.25">
      <c r="A167">
        <v>3</v>
      </c>
      <c r="B167">
        <v>20</v>
      </c>
      <c r="C167" t="str">
        <f t="shared" si="21"/>
        <v>0</v>
      </c>
      <c r="D167" t="str">
        <f t="shared" si="20"/>
        <v>001011111101010010010100101101</v>
      </c>
    </row>
    <row r="168" spans="1:6" x14ac:dyDescent="0.25">
      <c r="A168">
        <v>4</v>
      </c>
      <c r="B168">
        <v>21</v>
      </c>
      <c r="C168" t="str">
        <f t="shared" si="21"/>
        <v>0</v>
      </c>
      <c r="D168" t="str">
        <f t="shared" si="20"/>
        <v>01011111101010010010100101101</v>
      </c>
    </row>
    <row r="169" spans="1:6" x14ac:dyDescent="0.25">
      <c r="A169">
        <v>5</v>
      </c>
      <c r="B169">
        <v>29</v>
      </c>
      <c r="C169" t="str">
        <f t="shared" si="21"/>
        <v>1</v>
      </c>
      <c r="D169" t="str">
        <f t="shared" si="20"/>
        <v>1011111101010010010100101101</v>
      </c>
    </row>
    <row r="170" spans="1:6" x14ac:dyDescent="0.25">
      <c r="A170">
        <v>6</v>
      </c>
      <c r="B170">
        <v>12</v>
      </c>
      <c r="C170" t="str">
        <f t="shared" si="21"/>
        <v>0</v>
      </c>
      <c r="D170" t="str">
        <f t="shared" si="20"/>
        <v>011111101010010010100101101</v>
      </c>
    </row>
    <row r="171" spans="1:6" x14ac:dyDescent="0.25">
      <c r="A171">
        <v>7</v>
      </c>
      <c r="B171">
        <v>28</v>
      </c>
      <c r="C171" t="str">
        <f t="shared" si="21"/>
        <v>1</v>
      </c>
      <c r="D171" t="str">
        <f t="shared" si="20"/>
        <v>11111101010010010100101101</v>
      </c>
    </row>
    <row r="172" spans="1:6" x14ac:dyDescent="0.25">
      <c r="A172">
        <v>8</v>
      </c>
      <c r="B172">
        <v>17</v>
      </c>
      <c r="C172" t="str">
        <f t="shared" si="21"/>
        <v>1</v>
      </c>
      <c r="D172" t="str">
        <f t="shared" si="20"/>
        <v>1111101010010010100101101</v>
      </c>
    </row>
    <row r="173" spans="1:6" x14ac:dyDescent="0.25">
      <c r="A173">
        <v>9</v>
      </c>
      <c r="B173">
        <v>1</v>
      </c>
      <c r="C173" t="str">
        <f t="shared" si="21"/>
        <v>1</v>
      </c>
      <c r="D173" t="str">
        <f t="shared" si="20"/>
        <v>111101010010010100101101</v>
      </c>
    </row>
    <row r="174" spans="1:6" x14ac:dyDescent="0.25">
      <c r="A174">
        <v>10</v>
      </c>
      <c r="B174">
        <v>15</v>
      </c>
      <c r="C174" t="str">
        <f t="shared" si="21"/>
        <v>1</v>
      </c>
      <c r="D174" t="str">
        <f t="shared" si="20"/>
        <v>11101010010010100101101</v>
      </c>
    </row>
    <row r="175" spans="1:6" x14ac:dyDescent="0.25">
      <c r="A175">
        <v>11</v>
      </c>
      <c r="B175">
        <v>23</v>
      </c>
      <c r="C175" t="str">
        <f t="shared" si="21"/>
        <v>1</v>
      </c>
      <c r="D175" t="str">
        <f t="shared" si="20"/>
        <v>1101010010010100101101</v>
      </c>
    </row>
    <row r="176" spans="1:6" x14ac:dyDescent="0.25">
      <c r="A176">
        <v>12</v>
      </c>
      <c r="B176">
        <v>26</v>
      </c>
      <c r="C176" t="str">
        <f t="shared" si="21"/>
        <v>1</v>
      </c>
      <c r="D176" t="str">
        <f t="shared" si="20"/>
        <v>101010010010100101101</v>
      </c>
    </row>
    <row r="177" spans="1:4" x14ac:dyDescent="0.25">
      <c r="A177">
        <v>13</v>
      </c>
      <c r="B177">
        <v>5</v>
      </c>
      <c r="C177" t="str">
        <f t="shared" si="21"/>
        <v>0</v>
      </c>
      <c r="D177" t="str">
        <f t="shared" si="20"/>
        <v>01010010010100101101</v>
      </c>
    </row>
    <row r="178" spans="1:4" x14ac:dyDescent="0.25">
      <c r="A178">
        <v>14</v>
      </c>
      <c r="B178">
        <v>18</v>
      </c>
      <c r="C178" t="str">
        <f t="shared" si="21"/>
        <v>1</v>
      </c>
      <c r="D178" t="str">
        <f t="shared" si="20"/>
        <v>1010010010100101101</v>
      </c>
    </row>
    <row r="179" spans="1:4" x14ac:dyDescent="0.25">
      <c r="A179">
        <v>15</v>
      </c>
      <c r="B179">
        <v>31</v>
      </c>
      <c r="C179" t="str">
        <f t="shared" si="21"/>
        <v>0</v>
      </c>
      <c r="D179" t="str">
        <f t="shared" si="20"/>
        <v>010010010100101101</v>
      </c>
    </row>
    <row r="180" spans="1:4" x14ac:dyDescent="0.25">
      <c r="A180">
        <v>16</v>
      </c>
      <c r="B180">
        <v>10</v>
      </c>
      <c r="C180" t="str">
        <f t="shared" si="21"/>
        <v>1</v>
      </c>
      <c r="D180" t="str">
        <f t="shared" si="20"/>
        <v>10010010100101101</v>
      </c>
    </row>
    <row r="181" spans="1:4" x14ac:dyDescent="0.25">
      <c r="A181">
        <v>17</v>
      </c>
      <c r="B181">
        <v>2</v>
      </c>
      <c r="C181" t="str">
        <f t="shared" si="21"/>
        <v>0</v>
      </c>
      <c r="D181" t="str">
        <f t="shared" si="20"/>
        <v>0010010100101101</v>
      </c>
    </row>
    <row r="182" spans="1:4" x14ac:dyDescent="0.25">
      <c r="A182">
        <v>18</v>
      </c>
      <c r="B182">
        <v>8</v>
      </c>
      <c r="C182" t="str">
        <f t="shared" si="21"/>
        <v>0</v>
      </c>
      <c r="D182" t="str">
        <f t="shared" si="20"/>
        <v>010010100101101</v>
      </c>
    </row>
    <row r="183" spans="1:4" x14ac:dyDescent="0.25">
      <c r="A183">
        <v>19</v>
      </c>
      <c r="B183">
        <v>24</v>
      </c>
      <c r="C183" t="str">
        <f t="shared" si="21"/>
        <v>1</v>
      </c>
      <c r="D183" t="str">
        <f t="shared" si="20"/>
        <v>10010100101101</v>
      </c>
    </row>
    <row r="184" spans="1:4" x14ac:dyDescent="0.25">
      <c r="A184">
        <v>20</v>
      </c>
      <c r="B184">
        <v>14</v>
      </c>
      <c r="C184" t="str">
        <f t="shared" si="21"/>
        <v>0</v>
      </c>
      <c r="D184" t="str">
        <f t="shared" si="20"/>
        <v>0010100101101</v>
      </c>
    </row>
    <row r="185" spans="1:4" x14ac:dyDescent="0.25">
      <c r="A185">
        <v>21</v>
      </c>
      <c r="B185">
        <v>32</v>
      </c>
      <c r="C185" t="str">
        <f t="shared" si="21"/>
        <v>0</v>
      </c>
      <c r="D185" t="str">
        <f t="shared" si="20"/>
        <v>010100101101</v>
      </c>
    </row>
    <row r="186" spans="1:4" x14ac:dyDescent="0.25">
      <c r="A186">
        <v>22</v>
      </c>
      <c r="B186">
        <v>27</v>
      </c>
      <c r="C186" t="str">
        <f t="shared" si="21"/>
        <v>1</v>
      </c>
      <c r="D186" t="str">
        <f t="shared" si="20"/>
        <v>10100101101</v>
      </c>
    </row>
    <row r="187" spans="1:4" x14ac:dyDescent="0.25">
      <c r="A187">
        <v>23</v>
      </c>
      <c r="B187">
        <v>3</v>
      </c>
      <c r="C187" t="str">
        <f t="shared" si="21"/>
        <v>0</v>
      </c>
      <c r="D187" t="str">
        <f t="shared" si="20"/>
        <v>0100101101</v>
      </c>
    </row>
    <row r="188" spans="1:4" x14ac:dyDescent="0.25">
      <c r="A188">
        <v>24</v>
      </c>
      <c r="B188">
        <v>9</v>
      </c>
      <c r="C188" t="str">
        <f t="shared" si="21"/>
        <v>1</v>
      </c>
      <c r="D188" t="str">
        <f t="shared" si="20"/>
        <v>100101101</v>
      </c>
    </row>
    <row r="189" spans="1:4" x14ac:dyDescent="0.25">
      <c r="A189">
        <v>25</v>
      </c>
      <c r="B189">
        <v>19</v>
      </c>
      <c r="C189" t="str">
        <f t="shared" si="21"/>
        <v>0</v>
      </c>
      <c r="D189" t="str">
        <f t="shared" si="20"/>
        <v>00101101</v>
      </c>
    </row>
    <row r="190" spans="1:4" x14ac:dyDescent="0.25">
      <c r="A190">
        <v>26</v>
      </c>
      <c r="B190">
        <v>13</v>
      </c>
      <c r="C190" t="str">
        <f t="shared" si="21"/>
        <v>0</v>
      </c>
      <c r="D190" t="str">
        <f t="shared" si="20"/>
        <v>0101101</v>
      </c>
    </row>
    <row r="191" spans="1:4" x14ac:dyDescent="0.25">
      <c r="A191">
        <v>27</v>
      </c>
      <c r="B191">
        <v>30</v>
      </c>
      <c r="C191" t="str">
        <f t="shared" si="21"/>
        <v>1</v>
      </c>
      <c r="D191" t="str">
        <f t="shared" si="20"/>
        <v>101101</v>
      </c>
    </row>
    <row r="192" spans="1:4" x14ac:dyDescent="0.25">
      <c r="A192">
        <v>28</v>
      </c>
      <c r="B192">
        <v>6</v>
      </c>
      <c r="C192" t="str">
        <f t="shared" si="21"/>
        <v>0</v>
      </c>
      <c r="D192" t="str">
        <f t="shared" si="20"/>
        <v>01101</v>
      </c>
    </row>
    <row r="193" spans="1:11" x14ac:dyDescent="0.25">
      <c r="A193">
        <v>29</v>
      </c>
      <c r="B193">
        <v>22</v>
      </c>
      <c r="C193" t="str">
        <f t="shared" si="21"/>
        <v>1</v>
      </c>
      <c r="D193" t="str">
        <f t="shared" si="20"/>
        <v>1101</v>
      </c>
    </row>
    <row r="194" spans="1:11" x14ac:dyDescent="0.25">
      <c r="A194">
        <v>30</v>
      </c>
      <c r="B194">
        <v>11</v>
      </c>
      <c r="C194" t="str">
        <f t="shared" si="21"/>
        <v>1</v>
      </c>
      <c r="D194" t="str">
        <f>C194&amp;D195</f>
        <v>101</v>
      </c>
    </row>
    <row r="195" spans="1:11" x14ac:dyDescent="0.25">
      <c r="A195">
        <v>31</v>
      </c>
      <c r="B195">
        <v>4</v>
      </c>
      <c r="C195" t="str">
        <f t="shared" si="21"/>
        <v>0</v>
      </c>
      <c r="D195" t="str">
        <f>C195&amp;C196</f>
        <v>01</v>
      </c>
    </row>
    <row r="196" spans="1:11" x14ac:dyDescent="0.25">
      <c r="A196">
        <v>32</v>
      </c>
      <c r="B196">
        <v>25</v>
      </c>
      <c r="C196" t="str">
        <f t="shared" si="21"/>
        <v>1</v>
      </c>
    </row>
    <row r="198" spans="1:11" ht="18.75" x14ac:dyDescent="0.3">
      <c r="A198" t="s">
        <v>330</v>
      </c>
      <c r="B198" s="16" t="str">
        <f>D165</f>
        <v>11001011111101010010010100101101</v>
      </c>
      <c r="C198" s="16"/>
      <c r="D198" s="16"/>
      <c r="E198" s="16"/>
      <c r="F198" s="1"/>
      <c r="H198" s="7" t="s">
        <v>7</v>
      </c>
      <c r="I198" s="7" t="s">
        <v>7</v>
      </c>
      <c r="J198" s="7" t="s">
        <v>8</v>
      </c>
      <c r="K198" s="1" t="s">
        <v>53</v>
      </c>
    </row>
    <row r="199" spans="1:11" x14ac:dyDescent="0.25">
      <c r="H199" s="7">
        <v>1</v>
      </c>
      <c r="I199" s="7" t="str">
        <f>MID($B$198,(H199-1)*8+1,8)</f>
        <v>11001011</v>
      </c>
      <c r="J199" s="7" t="str">
        <f>BIN2HEX(I199,2)</f>
        <v>CB</v>
      </c>
      <c r="K199">
        <f>BIN2DEC(I199)</f>
        <v>203</v>
      </c>
    </row>
    <row r="200" spans="1:11" x14ac:dyDescent="0.25">
      <c r="H200" s="7">
        <v>2</v>
      </c>
      <c r="I200" s="7" t="str">
        <f t="shared" ref="I200:I202" si="22">MID($B$198,(H200-1)*8+1,8)</f>
        <v>11110101</v>
      </c>
      <c r="J200" s="7" t="str">
        <f t="shared" ref="J200:J202" si="23">BIN2HEX(I200,2)</f>
        <v>F5</v>
      </c>
      <c r="K200">
        <f t="shared" ref="K200:K202" si="24">BIN2DEC(I200)</f>
        <v>245</v>
      </c>
    </row>
    <row r="201" spans="1:11" x14ac:dyDescent="0.25">
      <c r="H201" s="7">
        <v>3</v>
      </c>
      <c r="I201" s="7" t="str">
        <f t="shared" si="22"/>
        <v>00100101</v>
      </c>
      <c r="J201" s="7" t="str">
        <f t="shared" si="23"/>
        <v>25</v>
      </c>
      <c r="K201">
        <f t="shared" si="24"/>
        <v>37</v>
      </c>
    </row>
    <row r="202" spans="1:11" x14ac:dyDescent="0.25">
      <c r="H202" s="7">
        <v>4</v>
      </c>
      <c r="I202" s="7" t="str">
        <f t="shared" si="22"/>
        <v>00101101</v>
      </c>
      <c r="J202" s="7" t="str">
        <f t="shared" si="23"/>
        <v>2D</v>
      </c>
      <c r="K202">
        <f t="shared" si="24"/>
        <v>45</v>
      </c>
    </row>
    <row r="205" spans="1:11" ht="18.75" x14ac:dyDescent="0.3">
      <c r="A205" t="s">
        <v>173</v>
      </c>
      <c r="B205" s="16" t="str">
        <f>B4</f>
        <v>10011111110010100010101110000111</v>
      </c>
      <c r="C205" s="16"/>
      <c r="D205" s="16"/>
      <c r="E205" s="16"/>
      <c r="F205" s="1"/>
      <c r="H205" s="7" t="s">
        <v>7</v>
      </c>
      <c r="I205" s="7" t="s">
        <v>7</v>
      </c>
      <c r="J205" s="7" t="s">
        <v>8</v>
      </c>
      <c r="K205" s="1" t="s">
        <v>53</v>
      </c>
    </row>
    <row r="206" spans="1:11" x14ac:dyDescent="0.25">
      <c r="H206" s="7">
        <v>1</v>
      </c>
      <c r="I206" s="7" t="str">
        <f>MID($B$205,(H206-1)*8+1,8)</f>
        <v>10011111</v>
      </c>
      <c r="J206" s="7" t="str">
        <f>BIN2HEX(I206,2)</f>
        <v>9F</v>
      </c>
      <c r="K206">
        <f>BIN2DEC(I206)</f>
        <v>159</v>
      </c>
    </row>
    <row r="207" spans="1:11" x14ac:dyDescent="0.25">
      <c r="H207" s="7">
        <v>2</v>
      </c>
      <c r="I207" s="7" t="str">
        <f t="shared" ref="I207:I209" si="25">MID($B$205,(H207-1)*8+1,8)</f>
        <v>11001010</v>
      </c>
      <c r="J207" s="7" t="str">
        <f t="shared" ref="J207:J209" si="26">BIN2HEX(I207,2)</f>
        <v>CA</v>
      </c>
      <c r="K207">
        <f t="shared" ref="K207:K209" si="27">BIN2DEC(I207)</f>
        <v>202</v>
      </c>
    </row>
    <row r="208" spans="1:11" x14ac:dyDescent="0.25">
      <c r="H208" s="7">
        <v>3</v>
      </c>
      <c r="I208" s="7" t="str">
        <f t="shared" si="25"/>
        <v>00101011</v>
      </c>
      <c r="J208" s="7" t="str">
        <f t="shared" si="26"/>
        <v>2B</v>
      </c>
      <c r="K208">
        <f t="shared" si="27"/>
        <v>43</v>
      </c>
    </row>
    <row r="209" spans="1:11" x14ac:dyDescent="0.25">
      <c r="H209" s="7">
        <v>4</v>
      </c>
      <c r="I209" s="7" t="str">
        <f t="shared" si="25"/>
        <v>10000111</v>
      </c>
      <c r="J209" s="7" t="str">
        <f t="shared" si="26"/>
        <v>87</v>
      </c>
      <c r="K209">
        <f t="shared" si="27"/>
        <v>135</v>
      </c>
    </row>
    <row r="211" spans="1:11" x14ac:dyDescent="0.25">
      <c r="A211" t="s">
        <v>329</v>
      </c>
    </row>
    <row r="212" spans="1:11" x14ac:dyDescent="0.25">
      <c r="B212" s="7" t="s">
        <v>7</v>
      </c>
      <c r="C212" s="7" t="s">
        <v>34</v>
      </c>
      <c r="D212" s="7" t="s">
        <v>8</v>
      </c>
      <c r="E212" s="17" t="s">
        <v>35</v>
      </c>
    </row>
    <row r="213" spans="1:11" x14ac:dyDescent="0.25">
      <c r="B213" s="7">
        <v>1</v>
      </c>
      <c r="C213" s="7">
        <f>_xlfn.BITXOR(K199,K206)</f>
        <v>84</v>
      </c>
      <c r="D213" s="7" t="str">
        <f>DEC2HEX(C213)</f>
        <v>54</v>
      </c>
      <c r="E213" s="7" t="str">
        <f>DEC2BIN(C213,8)</f>
        <v>01010100</v>
      </c>
    </row>
    <row r="214" spans="1:11" x14ac:dyDescent="0.25">
      <c r="B214" s="7">
        <v>2</v>
      </c>
      <c r="C214" s="7">
        <f t="shared" ref="C214:C216" si="28">_xlfn.BITXOR(K200,K207)</f>
        <v>63</v>
      </c>
      <c r="D214" s="7" t="str">
        <f t="shared" ref="D214:D216" si="29">DEC2HEX(C214)</f>
        <v>3F</v>
      </c>
      <c r="E214" s="7" t="str">
        <f t="shared" ref="E214:E216" si="30">DEC2BIN(C214,8)</f>
        <v>00111111</v>
      </c>
    </row>
    <row r="215" spans="1:11" x14ac:dyDescent="0.25">
      <c r="B215" s="7">
        <v>3</v>
      </c>
      <c r="C215" s="7">
        <f t="shared" si="28"/>
        <v>14</v>
      </c>
      <c r="D215" s="7" t="str">
        <f t="shared" si="29"/>
        <v>E</v>
      </c>
      <c r="E215" s="7" t="str">
        <f t="shared" si="30"/>
        <v>00001110</v>
      </c>
    </row>
    <row r="216" spans="1:11" x14ac:dyDescent="0.25">
      <c r="B216" s="7">
        <v>4</v>
      </c>
      <c r="C216" s="7">
        <f t="shared" si="28"/>
        <v>170</v>
      </c>
      <c r="D216" s="7" t="str">
        <f t="shared" si="29"/>
        <v>AA</v>
      </c>
      <c r="E216" s="7" t="str">
        <f t="shared" si="30"/>
        <v>10101010</v>
      </c>
    </row>
    <row r="219" spans="1:11" ht="21" x14ac:dyDescent="0.35">
      <c r="A219" t="s">
        <v>174</v>
      </c>
      <c r="B219" s="8" t="str">
        <f>E213&amp;E214&amp;E215&amp;E216</f>
        <v>01010100001111110000111010101010</v>
      </c>
      <c r="C219" s="8"/>
      <c r="D219" s="8"/>
      <c r="E219" s="8"/>
    </row>
    <row r="220" spans="1:11" x14ac:dyDescent="0.25">
      <c r="A220" t="s">
        <v>175</v>
      </c>
    </row>
    <row r="221" spans="1:11" ht="21" x14ac:dyDescent="0.35">
      <c r="A221" t="s">
        <v>176</v>
      </c>
      <c r="B221" s="8" t="str">
        <f>B2</f>
        <v>01101110010001101101101110110111</v>
      </c>
      <c r="C221" s="8"/>
      <c r="D221" s="8"/>
      <c r="E221" s="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FC2F-D025-4A9E-AA28-E065A224DB2D}">
  <dimension ref="A1:L86"/>
  <sheetViews>
    <sheetView tabSelected="1" topLeftCell="A72" workbookViewId="0">
      <selection activeCell="K77" sqref="K77"/>
    </sheetView>
  </sheetViews>
  <sheetFormatPr defaultRowHeight="15" x14ac:dyDescent="0.25"/>
  <sheetData>
    <row r="1" spans="1:11" x14ac:dyDescent="0.25">
      <c r="A1" s="24" t="s">
        <v>174</v>
      </c>
      <c r="B1" t="s">
        <v>231</v>
      </c>
    </row>
    <row r="2" spans="1:11" x14ac:dyDescent="0.25">
      <c r="A2" s="24" t="s">
        <v>175</v>
      </c>
    </row>
    <row r="3" spans="1:11" x14ac:dyDescent="0.25">
      <c r="A3" s="24" t="s">
        <v>176</v>
      </c>
      <c r="B3" t="s">
        <v>230</v>
      </c>
    </row>
    <row r="5" spans="1:11" ht="18.75" x14ac:dyDescent="0.3">
      <c r="A5" s="24" t="s">
        <v>177</v>
      </c>
      <c r="B5" s="16" t="str">
        <f>B1&amp;B3</f>
        <v>0101010000111111000011101010101001101110010001101101101110110111</v>
      </c>
      <c r="C5" s="16"/>
      <c r="D5" s="16"/>
      <c r="E5" s="16"/>
      <c r="F5" s="16"/>
      <c r="G5" s="16"/>
      <c r="H5" s="16"/>
      <c r="I5" s="1"/>
      <c r="J5" s="1"/>
      <c r="K5" s="1"/>
    </row>
    <row r="7" spans="1:11" x14ac:dyDescent="0.25">
      <c r="A7" t="s">
        <v>5</v>
      </c>
      <c r="B7" t="s">
        <v>178</v>
      </c>
      <c r="C7" t="s">
        <v>18</v>
      </c>
    </row>
    <row r="8" spans="1:11" x14ac:dyDescent="0.25">
      <c r="A8">
        <v>1</v>
      </c>
      <c r="B8">
        <v>40</v>
      </c>
      <c r="C8" t="str">
        <f>MID($B$5,B8,1)</f>
        <v>0</v>
      </c>
      <c r="D8" t="str">
        <f t="shared" ref="D8:D68" si="0">C8&amp;D9</f>
        <v>0001101010111111111101101001110101011010100100111110100000001011</v>
      </c>
    </row>
    <row r="9" spans="1:11" x14ac:dyDescent="0.25">
      <c r="A9">
        <v>2</v>
      </c>
      <c r="B9">
        <v>8</v>
      </c>
      <c r="C9" t="str">
        <f t="shared" ref="C9:C71" si="1">MID($B$5,B9,1)</f>
        <v>0</v>
      </c>
      <c r="D9" t="str">
        <f t="shared" si="0"/>
        <v>001101010111111111101101001110101011010100100111110100000001011</v>
      </c>
    </row>
    <row r="10" spans="1:11" x14ac:dyDescent="0.25">
      <c r="A10">
        <v>3</v>
      </c>
      <c r="B10">
        <v>48</v>
      </c>
      <c r="C10" t="str">
        <f t="shared" si="1"/>
        <v>0</v>
      </c>
      <c r="D10" t="str">
        <f t="shared" si="0"/>
        <v>01101010111111111101101001110101011010100100111110100000001011</v>
      </c>
    </row>
    <row r="11" spans="1:11" x14ac:dyDescent="0.25">
      <c r="A11">
        <v>4</v>
      </c>
      <c r="B11">
        <v>16</v>
      </c>
      <c r="C11" t="str">
        <f t="shared" si="1"/>
        <v>1</v>
      </c>
      <c r="D11" t="str">
        <f t="shared" si="0"/>
        <v>1101010111111111101101001110101011010100100111110100000001011</v>
      </c>
    </row>
    <row r="12" spans="1:11" x14ac:dyDescent="0.25">
      <c r="A12">
        <v>5</v>
      </c>
      <c r="B12">
        <v>56</v>
      </c>
      <c r="C12" t="str">
        <f t="shared" si="1"/>
        <v>1</v>
      </c>
      <c r="D12" t="str">
        <f t="shared" si="0"/>
        <v>101010111111111101101001110101011010100100111110100000001011</v>
      </c>
    </row>
    <row r="13" spans="1:11" x14ac:dyDescent="0.25">
      <c r="A13">
        <v>6</v>
      </c>
      <c r="B13">
        <v>24</v>
      </c>
      <c r="C13" t="str">
        <f t="shared" si="1"/>
        <v>0</v>
      </c>
      <c r="D13" t="str">
        <f t="shared" si="0"/>
        <v>01010111111111101101001110101011010100100111110100000001011</v>
      </c>
    </row>
    <row r="14" spans="1:11" x14ac:dyDescent="0.25">
      <c r="A14">
        <v>7</v>
      </c>
      <c r="B14">
        <v>64</v>
      </c>
      <c r="C14" t="str">
        <f t="shared" si="1"/>
        <v>1</v>
      </c>
      <c r="D14" t="str">
        <f t="shared" si="0"/>
        <v>1010111111111101101001110101011010100100111110100000001011</v>
      </c>
    </row>
    <row r="15" spans="1:11" x14ac:dyDescent="0.25">
      <c r="A15">
        <v>8</v>
      </c>
      <c r="B15">
        <v>32</v>
      </c>
      <c r="C15" t="str">
        <f t="shared" si="1"/>
        <v>0</v>
      </c>
      <c r="D15" t="str">
        <f t="shared" si="0"/>
        <v>010111111111101101001110101011010100100111110100000001011</v>
      </c>
    </row>
    <row r="16" spans="1:11" x14ac:dyDescent="0.25">
      <c r="A16">
        <v>9</v>
      </c>
      <c r="B16">
        <v>39</v>
      </c>
      <c r="C16" t="str">
        <f t="shared" si="1"/>
        <v>1</v>
      </c>
      <c r="D16" t="str">
        <f t="shared" si="0"/>
        <v>10111111111101101001110101011010100100111110100000001011</v>
      </c>
    </row>
    <row r="17" spans="1:4" x14ac:dyDescent="0.25">
      <c r="A17">
        <v>10</v>
      </c>
      <c r="B17">
        <v>7</v>
      </c>
      <c r="C17" t="str">
        <f t="shared" si="1"/>
        <v>0</v>
      </c>
      <c r="D17" t="str">
        <f t="shared" si="0"/>
        <v>0111111111101101001110101011010100100111110100000001011</v>
      </c>
    </row>
    <row r="18" spans="1:4" x14ac:dyDescent="0.25">
      <c r="A18">
        <v>11</v>
      </c>
      <c r="B18">
        <v>47</v>
      </c>
      <c r="C18" t="str">
        <f t="shared" si="1"/>
        <v>1</v>
      </c>
      <c r="D18" t="str">
        <f t="shared" si="0"/>
        <v>111111111101101001110101011010100100111110100000001011</v>
      </c>
    </row>
    <row r="19" spans="1:4" x14ac:dyDescent="0.25">
      <c r="A19">
        <v>12</v>
      </c>
      <c r="B19">
        <v>15</v>
      </c>
      <c r="C19" t="str">
        <f t="shared" si="1"/>
        <v>1</v>
      </c>
      <c r="D19" t="str">
        <f t="shared" si="0"/>
        <v>11111111101101001110101011010100100111110100000001011</v>
      </c>
    </row>
    <row r="20" spans="1:4" x14ac:dyDescent="0.25">
      <c r="A20">
        <v>13</v>
      </c>
      <c r="B20">
        <v>55</v>
      </c>
      <c r="C20" t="str">
        <f t="shared" si="1"/>
        <v>1</v>
      </c>
      <c r="D20" t="str">
        <f t="shared" si="0"/>
        <v>1111111101101001110101011010100100111110100000001011</v>
      </c>
    </row>
    <row r="21" spans="1:4" x14ac:dyDescent="0.25">
      <c r="A21">
        <v>14</v>
      </c>
      <c r="B21">
        <v>23</v>
      </c>
      <c r="C21" t="str">
        <f t="shared" si="1"/>
        <v>1</v>
      </c>
      <c r="D21" t="str">
        <f t="shared" si="0"/>
        <v>111111101101001110101011010100100111110100000001011</v>
      </c>
    </row>
    <row r="22" spans="1:4" x14ac:dyDescent="0.25">
      <c r="A22">
        <v>15</v>
      </c>
      <c r="B22">
        <v>63</v>
      </c>
      <c r="C22" t="str">
        <f t="shared" si="1"/>
        <v>1</v>
      </c>
      <c r="D22" t="str">
        <f t="shared" si="0"/>
        <v>11111101101001110101011010100100111110100000001011</v>
      </c>
    </row>
    <row r="23" spans="1:4" x14ac:dyDescent="0.25">
      <c r="A23">
        <v>16</v>
      </c>
      <c r="B23">
        <v>31</v>
      </c>
      <c r="C23" t="str">
        <f t="shared" si="1"/>
        <v>1</v>
      </c>
      <c r="D23" t="str">
        <f t="shared" si="0"/>
        <v>1111101101001110101011010100100111110100000001011</v>
      </c>
    </row>
    <row r="24" spans="1:4" x14ac:dyDescent="0.25">
      <c r="A24">
        <v>17</v>
      </c>
      <c r="B24">
        <v>38</v>
      </c>
      <c r="C24" t="str">
        <f t="shared" si="1"/>
        <v>1</v>
      </c>
      <c r="D24" t="str">
        <f t="shared" si="0"/>
        <v>111101101001110101011010100100111110100000001011</v>
      </c>
    </row>
    <row r="25" spans="1:4" x14ac:dyDescent="0.25">
      <c r="A25">
        <v>18</v>
      </c>
      <c r="B25">
        <v>6</v>
      </c>
      <c r="C25" t="str">
        <f t="shared" si="1"/>
        <v>1</v>
      </c>
      <c r="D25" t="str">
        <f t="shared" si="0"/>
        <v>11101101001110101011010100100111110100000001011</v>
      </c>
    </row>
    <row r="26" spans="1:4" x14ac:dyDescent="0.25">
      <c r="A26">
        <v>19</v>
      </c>
      <c r="B26">
        <v>46</v>
      </c>
      <c r="C26" t="str">
        <f t="shared" si="1"/>
        <v>1</v>
      </c>
      <c r="D26" t="str">
        <f t="shared" si="0"/>
        <v>1101101001110101011010100100111110100000001011</v>
      </c>
    </row>
    <row r="27" spans="1:4" x14ac:dyDescent="0.25">
      <c r="A27">
        <v>20</v>
      </c>
      <c r="B27">
        <v>14</v>
      </c>
      <c r="C27" t="str">
        <f t="shared" si="1"/>
        <v>1</v>
      </c>
      <c r="D27" t="str">
        <f t="shared" si="0"/>
        <v>101101001110101011010100100111110100000001011</v>
      </c>
    </row>
    <row r="28" spans="1:4" x14ac:dyDescent="0.25">
      <c r="A28">
        <v>21</v>
      </c>
      <c r="B28">
        <v>54</v>
      </c>
      <c r="C28" t="str">
        <f t="shared" si="1"/>
        <v>0</v>
      </c>
      <c r="D28" t="str">
        <f t="shared" si="0"/>
        <v>01101001110101011010100100111110100000001011</v>
      </c>
    </row>
    <row r="29" spans="1:4" x14ac:dyDescent="0.25">
      <c r="A29">
        <v>22</v>
      </c>
      <c r="B29">
        <v>22</v>
      </c>
      <c r="C29" t="str">
        <f t="shared" si="1"/>
        <v>1</v>
      </c>
      <c r="D29" t="str">
        <f t="shared" si="0"/>
        <v>1101001110101011010100100111110100000001011</v>
      </c>
    </row>
    <row r="30" spans="1:4" x14ac:dyDescent="0.25">
      <c r="A30">
        <v>23</v>
      </c>
      <c r="B30">
        <v>62</v>
      </c>
      <c r="C30" t="str">
        <f t="shared" si="1"/>
        <v>1</v>
      </c>
      <c r="D30" t="str">
        <f t="shared" si="0"/>
        <v>101001110101011010100100111110100000001011</v>
      </c>
    </row>
    <row r="31" spans="1:4" x14ac:dyDescent="0.25">
      <c r="A31">
        <v>24</v>
      </c>
      <c r="B31">
        <v>30</v>
      </c>
      <c r="C31" t="str">
        <f t="shared" si="1"/>
        <v>0</v>
      </c>
      <c r="D31" t="str">
        <f t="shared" si="0"/>
        <v>01001110101011010100100111110100000001011</v>
      </c>
    </row>
    <row r="32" spans="1:4" x14ac:dyDescent="0.25">
      <c r="A32">
        <v>25</v>
      </c>
      <c r="B32">
        <v>37</v>
      </c>
      <c r="C32" t="str">
        <f t="shared" si="1"/>
        <v>1</v>
      </c>
      <c r="D32" t="str">
        <f t="shared" si="0"/>
        <v>1001110101011010100100111110100000001011</v>
      </c>
    </row>
    <row r="33" spans="1:4" x14ac:dyDescent="0.25">
      <c r="A33">
        <v>26</v>
      </c>
      <c r="B33">
        <v>5</v>
      </c>
      <c r="C33" t="str">
        <f t="shared" si="1"/>
        <v>0</v>
      </c>
      <c r="D33" t="str">
        <f t="shared" si="0"/>
        <v>001110101011010100100111110100000001011</v>
      </c>
    </row>
    <row r="34" spans="1:4" x14ac:dyDescent="0.25">
      <c r="A34">
        <v>27</v>
      </c>
      <c r="B34">
        <v>45</v>
      </c>
      <c r="C34" t="str">
        <f t="shared" si="1"/>
        <v>0</v>
      </c>
      <c r="D34" t="str">
        <f t="shared" si="0"/>
        <v>01110101011010100100111110100000001011</v>
      </c>
    </row>
    <row r="35" spans="1:4" x14ac:dyDescent="0.25">
      <c r="A35">
        <v>28</v>
      </c>
      <c r="B35">
        <v>13</v>
      </c>
      <c r="C35" t="str">
        <f t="shared" si="1"/>
        <v>1</v>
      </c>
      <c r="D35" t="str">
        <f t="shared" si="0"/>
        <v>1110101011010100100111110100000001011</v>
      </c>
    </row>
    <row r="36" spans="1:4" x14ac:dyDescent="0.25">
      <c r="A36">
        <v>29</v>
      </c>
      <c r="B36">
        <v>53</v>
      </c>
      <c r="C36" t="str">
        <f t="shared" si="1"/>
        <v>1</v>
      </c>
      <c r="D36" t="str">
        <f t="shared" si="0"/>
        <v>110101011010100100111110100000001011</v>
      </c>
    </row>
    <row r="37" spans="1:4" x14ac:dyDescent="0.25">
      <c r="A37">
        <v>30</v>
      </c>
      <c r="B37">
        <v>21</v>
      </c>
      <c r="C37" t="str">
        <f t="shared" si="1"/>
        <v>1</v>
      </c>
      <c r="D37" t="str">
        <f t="shared" si="0"/>
        <v>10101011010100100111110100000001011</v>
      </c>
    </row>
    <row r="38" spans="1:4" x14ac:dyDescent="0.25">
      <c r="A38">
        <v>31</v>
      </c>
      <c r="B38">
        <v>61</v>
      </c>
      <c r="C38" t="str">
        <f t="shared" si="1"/>
        <v>0</v>
      </c>
      <c r="D38" t="str">
        <f t="shared" si="0"/>
        <v>0101011010100100111110100000001011</v>
      </c>
    </row>
    <row r="39" spans="1:4" x14ac:dyDescent="0.25">
      <c r="A39">
        <v>32</v>
      </c>
      <c r="B39">
        <v>29</v>
      </c>
      <c r="C39" t="str">
        <f t="shared" si="1"/>
        <v>1</v>
      </c>
      <c r="D39" t="str">
        <f t="shared" si="0"/>
        <v>101011010100100111110100000001011</v>
      </c>
    </row>
    <row r="40" spans="1:4" x14ac:dyDescent="0.25">
      <c r="A40">
        <v>33</v>
      </c>
      <c r="B40">
        <v>36</v>
      </c>
      <c r="C40" t="str">
        <f t="shared" si="1"/>
        <v>0</v>
      </c>
      <c r="D40" t="str">
        <f t="shared" si="0"/>
        <v>01011010100100111110100000001011</v>
      </c>
    </row>
    <row r="41" spans="1:4" x14ac:dyDescent="0.25">
      <c r="A41">
        <v>34</v>
      </c>
      <c r="B41">
        <v>4</v>
      </c>
      <c r="C41" t="str">
        <f t="shared" si="1"/>
        <v>1</v>
      </c>
      <c r="D41" t="str">
        <f t="shared" si="0"/>
        <v>1011010100100111110100000001011</v>
      </c>
    </row>
    <row r="42" spans="1:4" x14ac:dyDescent="0.25">
      <c r="A42">
        <v>35</v>
      </c>
      <c r="B42">
        <v>44</v>
      </c>
      <c r="C42" t="str">
        <f t="shared" si="1"/>
        <v>0</v>
      </c>
      <c r="D42" t="str">
        <f t="shared" si="0"/>
        <v>011010100100111110100000001011</v>
      </c>
    </row>
    <row r="43" spans="1:4" x14ac:dyDescent="0.25">
      <c r="A43">
        <v>36</v>
      </c>
      <c r="B43">
        <v>12</v>
      </c>
      <c r="C43" t="str">
        <f t="shared" si="1"/>
        <v>1</v>
      </c>
      <c r="D43" t="str">
        <f t="shared" si="0"/>
        <v>11010100100111110100000001011</v>
      </c>
    </row>
    <row r="44" spans="1:4" x14ac:dyDescent="0.25">
      <c r="A44">
        <v>37</v>
      </c>
      <c r="B44">
        <v>52</v>
      </c>
      <c r="C44" t="str">
        <f t="shared" si="1"/>
        <v>1</v>
      </c>
      <c r="D44" t="str">
        <f t="shared" si="0"/>
        <v>1010100100111110100000001011</v>
      </c>
    </row>
    <row r="45" spans="1:4" x14ac:dyDescent="0.25">
      <c r="A45">
        <v>38</v>
      </c>
      <c r="B45">
        <v>20</v>
      </c>
      <c r="C45" t="str">
        <f t="shared" si="1"/>
        <v>0</v>
      </c>
      <c r="D45" t="str">
        <f t="shared" si="0"/>
        <v>010100100111110100000001011</v>
      </c>
    </row>
    <row r="46" spans="1:4" x14ac:dyDescent="0.25">
      <c r="A46">
        <v>39</v>
      </c>
      <c r="B46">
        <v>60</v>
      </c>
      <c r="C46" t="str">
        <f t="shared" si="1"/>
        <v>1</v>
      </c>
      <c r="D46" t="str">
        <f t="shared" si="0"/>
        <v>10100100111110100000001011</v>
      </c>
    </row>
    <row r="47" spans="1:4" x14ac:dyDescent="0.25">
      <c r="A47">
        <v>40</v>
      </c>
      <c r="B47">
        <v>28</v>
      </c>
      <c r="C47" t="str">
        <f t="shared" si="1"/>
        <v>0</v>
      </c>
      <c r="D47" t="str">
        <f t="shared" si="0"/>
        <v>0100100111110100000001011</v>
      </c>
    </row>
    <row r="48" spans="1:4" x14ac:dyDescent="0.25">
      <c r="A48">
        <v>41</v>
      </c>
      <c r="B48">
        <v>35</v>
      </c>
      <c r="C48" t="str">
        <f t="shared" si="1"/>
        <v>1</v>
      </c>
      <c r="D48" t="str">
        <f t="shared" si="0"/>
        <v>100100111110100000001011</v>
      </c>
    </row>
    <row r="49" spans="1:4" x14ac:dyDescent="0.25">
      <c r="A49">
        <v>42</v>
      </c>
      <c r="B49">
        <v>3</v>
      </c>
      <c r="C49" t="str">
        <f t="shared" si="1"/>
        <v>0</v>
      </c>
      <c r="D49" t="str">
        <f t="shared" si="0"/>
        <v>00100111110100000001011</v>
      </c>
    </row>
    <row r="50" spans="1:4" x14ac:dyDescent="0.25">
      <c r="A50">
        <v>43</v>
      </c>
      <c r="B50">
        <v>43</v>
      </c>
      <c r="C50" t="str">
        <f t="shared" si="1"/>
        <v>0</v>
      </c>
      <c r="D50" t="str">
        <f t="shared" si="0"/>
        <v>0100111110100000001011</v>
      </c>
    </row>
    <row r="51" spans="1:4" x14ac:dyDescent="0.25">
      <c r="A51">
        <v>44</v>
      </c>
      <c r="B51">
        <v>11</v>
      </c>
      <c r="C51" t="str">
        <f t="shared" si="1"/>
        <v>1</v>
      </c>
      <c r="D51" t="str">
        <f t="shared" si="0"/>
        <v>100111110100000001011</v>
      </c>
    </row>
    <row r="52" spans="1:4" x14ac:dyDescent="0.25">
      <c r="A52">
        <v>45</v>
      </c>
      <c r="B52">
        <v>51</v>
      </c>
      <c r="C52" t="str">
        <f t="shared" si="1"/>
        <v>0</v>
      </c>
      <c r="D52" t="str">
        <f t="shared" si="0"/>
        <v>00111110100000001011</v>
      </c>
    </row>
    <row r="53" spans="1:4" x14ac:dyDescent="0.25">
      <c r="A53">
        <v>46</v>
      </c>
      <c r="B53">
        <v>19</v>
      </c>
      <c r="C53" t="str">
        <f t="shared" si="1"/>
        <v>0</v>
      </c>
      <c r="D53" t="str">
        <f t="shared" si="0"/>
        <v>0111110100000001011</v>
      </c>
    </row>
    <row r="54" spans="1:4" x14ac:dyDescent="0.25">
      <c r="A54">
        <v>47</v>
      </c>
      <c r="B54">
        <v>59</v>
      </c>
      <c r="C54" t="str">
        <f t="shared" si="1"/>
        <v>1</v>
      </c>
      <c r="D54" t="str">
        <f t="shared" si="0"/>
        <v>111110100000001011</v>
      </c>
    </row>
    <row r="55" spans="1:4" x14ac:dyDescent="0.25">
      <c r="A55">
        <v>48</v>
      </c>
      <c r="B55">
        <v>27</v>
      </c>
      <c r="C55" t="str">
        <f t="shared" si="1"/>
        <v>1</v>
      </c>
      <c r="D55" t="str">
        <f t="shared" si="0"/>
        <v>11110100000001011</v>
      </c>
    </row>
    <row r="56" spans="1:4" x14ac:dyDescent="0.25">
      <c r="A56">
        <v>49</v>
      </c>
      <c r="B56">
        <v>34</v>
      </c>
      <c r="C56" t="str">
        <f t="shared" si="1"/>
        <v>1</v>
      </c>
      <c r="D56" t="str">
        <f t="shared" si="0"/>
        <v>1110100000001011</v>
      </c>
    </row>
    <row r="57" spans="1:4" x14ac:dyDescent="0.25">
      <c r="A57">
        <v>50</v>
      </c>
      <c r="B57">
        <v>2</v>
      </c>
      <c r="C57" t="str">
        <f t="shared" si="1"/>
        <v>1</v>
      </c>
      <c r="D57" t="str">
        <f t="shared" si="0"/>
        <v>110100000001011</v>
      </c>
    </row>
    <row r="58" spans="1:4" x14ac:dyDescent="0.25">
      <c r="A58">
        <v>51</v>
      </c>
      <c r="B58">
        <v>42</v>
      </c>
      <c r="C58" t="str">
        <f t="shared" si="1"/>
        <v>1</v>
      </c>
      <c r="D58" t="str">
        <f t="shared" si="0"/>
        <v>10100000001011</v>
      </c>
    </row>
    <row r="59" spans="1:4" x14ac:dyDescent="0.25">
      <c r="A59">
        <v>52</v>
      </c>
      <c r="B59">
        <v>10</v>
      </c>
      <c r="C59" t="str">
        <f t="shared" si="1"/>
        <v>0</v>
      </c>
      <c r="D59" t="str">
        <f t="shared" si="0"/>
        <v>0100000001011</v>
      </c>
    </row>
    <row r="60" spans="1:4" x14ac:dyDescent="0.25">
      <c r="A60">
        <v>53</v>
      </c>
      <c r="B60">
        <v>50</v>
      </c>
      <c r="C60" t="str">
        <f t="shared" si="1"/>
        <v>1</v>
      </c>
      <c r="D60" t="str">
        <f t="shared" si="0"/>
        <v>100000001011</v>
      </c>
    </row>
    <row r="61" spans="1:4" x14ac:dyDescent="0.25">
      <c r="A61">
        <v>54</v>
      </c>
      <c r="B61">
        <v>18</v>
      </c>
      <c r="C61" t="str">
        <f t="shared" si="1"/>
        <v>0</v>
      </c>
      <c r="D61" t="str">
        <f t="shared" si="0"/>
        <v>00000001011</v>
      </c>
    </row>
    <row r="62" spans="1:4" x14ac:dyDescent="0.25">
      <c r="A62">
        <v>55</v>
      </c>
      <c r="B62">
        <v>58</v>
      </c>
      <c r="C62" t="str">
        <f t="shared" si="1"/>
        <v>0</v>
      </c>
      <c r="D62" t="str">
        <f t="shared" si="0"/>
        <v>0000001011</v>
      </c>
    </row>
    <row r="63" spans="1:4" x14ac:dyDescent="0.25">
      <c r="A63">
        <v>56</v>
      </c>
      <c r="B63">
        <v>26</v>
      </c>
      <c r="C63" t="str">
        <f t="shared" si="1"/>
        <v>0</v>
      </c>
      <c r="D63" t="str">
        <f t="shared" si="0"/>
        <v>000001011</v>
      </c>
    </row>
    <row r="64" spans="1:4" x14ac:dyDescent="0.25">
      <c r="A64">
        <v>57</v>
      </c>
      <c r="B64">
        <v>33</v>
      </c>
      <c r="C64" t="str">
        <f t="shared" si="1"/>
        <v>0</v>
      </c>
      <c r="D64" t="str">
        <f t="shared" si="0"/>
        <v>00001011</v>
      </c>
    </row>
    <row r="65" spans="1:12" x14ac:dyDescent="0.25">
      <c r="A65">
        <v>58</v>
      </c>
      <c r="B65">
        <v>1</v>
      </c>
      <c r="C65" t="str">
        <f t="shared" si="1"/>
        <v>0</v>
      </c>
      <c r="D65" t="str">
        <f t="shared" si="0"/>
        <v>0001011</v>
      </c>
    </row>
    <row r="66" spans="1:12" x14ac:dyDescent="0.25">
      <c r="A66">
        <v>59</v>
      </c>
      <c r="B66">
        <v>41</v>
      </c>
      <c r="C66" t="str">
        <f t="shared" si="1"/>
        <v>0</v>
      </c>
      <c r="D66" t="str">
        <f t="shared" si="0"/>
        <v>001011</v>
      </c>
    </row>
    <row r="67" spans="1:12" x14ac:dyDescent="0.25">
      <c r="A67">
        <v>60</v>
      </c>
      <c r="B67">
        <v>9</v>
      </c>
      <c r="C67" t="str">
        <f t="shared" si="1"/>
        <v>0</v>
      </c>
      <c r="D67" t="str">
        <f t="shared" si="0"/>
        <v>01011</v>
      </c>
    </row>
    <row r="68" spans="1:12" x14ac:dyDescent="0.25">
      <c r="A68">
        <v>61</v>
      </c>
      <c r="B68">
        <v>49</v>
      </c>
      <c r="C68" t="str">
        <f t="shared" si="1"/>
        <v>1</v>
      </c>
      <c r="D68" t="str">
        <f t="shared" si="0"/>
        <v>1011</v>
      </c>
    </row>
    <row r="69" spans="1:12" x14ac:dyDescent="0.25">
      <c r="A69">
        <v>62</v>
      </c>
      <c r="B69">
        <v>17</v>
      </c>
      <c r="C69" t="str">
        <f t="shared" si="1"/>
        <v>0</v>
      </c>
      <c r="D69" t="str">
        <f>C69&amp;D70</f>
        <v>011</v>
      </c>
    </row>
    <row r="70" spans="1:12" x14ac:dyDescent="0.25">
      <c r="A70">
        <v>63</v>
      </c>
      <c r="B70">
        <v>57</v>
      </c>
      <c r="C70" t="str">
        <f t="shared" si="1"/>
        <v>1</v>
      </c>
      <c r="D70" t="str">
        <f>C70&amp;C71</f>
        <v>11</v>
      </c>
    </row>
    <row r="71" spans="1:12" x14ac:dyDescent="0.25">
      <c r="A71">
        <v>64</v>
      </c>
      <c r="B71">
        <v>25</v>
      </c>
      <c r="C71" t="str">
        <f t="shared" si="1"/>
        <v>1</v>
      </c>
    </row>
    <row r="73" spans="1:12" ht="18.75" x14ac:dyDescent="0.3">
      <c r="B73" t="s">
        <v>179</v>
      </c>
      <c r="C73" s="16" t="str">
        <f>D8</f>
        <v>0001101010111111111101101001110101011010100100111110100000001011</v>
      </c>
      <c r="D73" s="16"/>
      <c r="E73" s="16"/>
      <c r="F73" s="16"/>
      <c r="G73" s="16"/>
      <c r="H73" s="16"/>
      <c r="I73" s="16"/>
      <c r="J73" s="1"/>
      <c r="K73" s="1"/>
      <c r="L73" s="1"/>
    </row>
    <row r="76" spans="1:12" x14ac:dyDescent="0.25">
      <c r="B76" s="7" t="s">
        <v>7</v>
      </c>
      <c r="C76" s="7" t="s">
        <v>7</v>
      </c>
      <c r="D76" s="7" t="s">
        <v>8</v>
      </c>
    </row>
    <row r="77" spans="1:12" x14ac:dyDescent="0.25">
      <c r="B77" s="7">
        <v>1</v>
      </c>
      <c r="C77" s="7" t="str">
        <f>MID($C$73,(B77-1)*8+1,8)</f>
        <v>00011010</v>
      </c>
      <c r="D77" s="7" t="str">
        <f>BIN2HEX(C77,2)</f>
        <v>1A</v>
      </c>
    </row>
    <row r="78" spans="1:12" x14ac:dyDescent="0.25">
      <c r="B78" s="7">
        <v>2</v>
      </c>
      <c r="C78" s="7" t="str">
        <f t="shared" ref="C78:C84" si="2">MID($C$73,(B78-1)*8+1,8)</f>
        <v>10111111</v>
      </c>
      <c r="D78" s="7" t="str">
        <f t="shared" ref="D78:D84" si="3">BIN2HEX(C78,2)</f>
        <v>BF</v>
      </c>
    </row>
    <row r="79" spans="1:12" x14ac:dyDescent="0.25">
      <c r="B79" s="7">
        <v>3</v>
      </c>
      <c r="C79" s="7" t="str">
        <f t="shared" si="2"/>
        <v>11110110</v>
      </c>
      <c r="D79" s="7" t="str">
        <f t="shared" si="3"/>
        <v>F6</v>
      </c>
    </row>
    <row r="80" spans="1:12" x14ac:dyDescent="0.25">
      <c r="B80" s="7">
        <v>4</v>
      </c>
      <c r="C80" s="7" t="str">
        <f t="shared" si="2"/>
        <v>10011101</v>
      </c>
      <c r="D80" s="7" t="str">
        <f t="shared" si="3"/>
        <v>9D</v>
      </c>
    </row>
    <row r="81" spans="1:8" x14ac:dyDescent="0.25">
      <c r="B81" s="7">
        <v>5</v>
      </c>
      <c r="C81" s="7" t="str">
        <f t="shared" si="2"/>
        <v>01011010</v>
      </c>
      <c r="D81" s="7" t="str">
        <f t="shared" si="3"/>
        <v>5A</v>
      </c>
    </row>
    <row r="82" spans="1:8" x14ac:dyDescent="0.25">
      <c r="B82" s="7">
        <v>6</v>
      </c>
      <c r="C82" s="7" t="str">
        <f t="shared" si="2"/>
        <v>10010011</v>
      </c>
      <c r="D82" s="7" t="str">
        <f t="shared" si="3"/>
        <v>93</v>
      </c>
    </row>
    <row r="83" spans="1:8" x14ac:dyDescent="0.25">
      <c r="B83" s="7">
        <v>7</v>
      </c>
      <c r="C83" s="7" t="str">
        <f t="shared" si="2"/>
        <v>11101000</v>
      </c>
      <c r="D83" s="7" t="str">
        <f t="shared" si="3"/>
        <v>E8</v>
      </c>
    </row>
    <row r="84" spans="1:8" x14ac:dyDescent="0.25">
      <c r="B84" s="7">
        <v>8</v>
      </c>
      <c r="C84" s="7" t="str">
        <f t="shared" si="2"/>
        <v>00001011</v>
      </c>
      <c r="D84" s="7" t="str">
        <f t="shared" si="3"/>
        <v>0B</v>
      </c>
    </row>
    <row r="86" spans="1:8" ht="34.5" x14ac:dyDescent="0.55000000000000004">
      <c r="A86" s="23" t="s">
        <v>232</v>
      </c>
      <c r="B86" s="24"/>
      <c r="C86" s="23"/>
      <c r="D86" s="23" t="str">
        <f>D77&amp;D78&amp;D79&amp;D80&amp;D81&amp;D82&amp;D83&amp;D84</f>
        <v>1ABFF69D5A93E80B</v>
      </c>
      <c r="E86" s="24"/>
      <c r="F86" s="24"/>
      <c r="G86" s="24"/>
      <c r="H86" s="2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F0FFA-C08D-47F4-91C6-324AC92174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PC1</vt:lpstr>
      <vt:lpstr>K1</vt:lpstr>
      <vt:lpstr>Sheet3</vt:lpstr>
      <vt:lpstr>K2</vt:lpstr>
      <vt:lpstr>L2R2</vt:lpstr>
      <vt:lpstr>k3</vt:lpstr>
      <vt:lpstr>L3R3</vt:lpstr>
      <vt:lpstr>K4</vt:lpstr>
      <vt:lpstr>L4R4</vt:lpstr>
      <vt:lpstr>K5</vt:lpstr>
      <vt:lpstr>L5R5</vt:lpstr>
      <vt:lpstr>K6</vt:lpstr>
      <vt:lpstr>L6R6</vt:lpstr>
      <vt:lpstr>K7</vt:lpstr>
      <vt:lpstr>L7R7</vt:lpstr>
      <vt:lpstr>K8</vt:lpstr>
      <vt:lpstr>L8R8</vt:lpstr>
      <vt:lpstr>K9</vt:lpstr>
      <vt:lpstr>L9R9</vt:lpstr>
      <vt:lpstr>K10</vt:lpstr>
      <vt:lpstr>L10R10</vt:lpstr>
      <vt:lpstr>K11</vt:lpstr>
      <vt:lpstr>L11R11</vt:lpstr>
      <vt:lpstr>K12</vt:lpstr>
      <vt:lpstr>L12R12</vt:lpstr>
      <vt:lpstr>K13</vt:lpstr>
      <vt:lpstr>L13R13</vt:lpstr>
      <vt:lpstr>K14</vt:lpstr>
      <vt:lpstr>L14R14</vt:lpstr>
      <vt:lpstr>K15</vt:lpstr>
      <vt:lpstr>L15R15</vt:lpstr>
      <vt:lpstr>K16</vt:lpstr>
      <vt:lpstr>L16R16</vt:lpstr>
      <vt:lpstr>IP^-1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Hoàng - 67CS2</dc:creator>
  <cp:lastModifiedBy>Nguyễn Chí Hoàng - 67CS2</cp:lastModifiedBy>
  <dcterms:created xsi:type="dcterms:W3CDTF">2025-08-20T15:34:22Z</dcterms:created>
  <dcterms:modified xsi:type="dcterms:W3CDTF">2025-08-27T08:28:06Z</dcterms:modified>
</cp:coreProperties>
</file>