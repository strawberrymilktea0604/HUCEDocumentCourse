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Điểm giữa kỳ" sheetId="2" r:id="rId5"/>
    <sheet state="visible" name="Bảng điểm chính thức" sheetId="3" r:id="rId6"/>
    <sheet state="visible" name="Tính Điểm thi cuối kỳ" sheetId="4" r:id="rId7"/>
    <sheet state="visible" name="Điểm danh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tc={97480367-d3d4-4418-aa95-b704f49b9bde}</author>
    <author>tc={d663706b-6a14-4359-a5ad-6388297afb9e}</author>
    <author>tc={e2ed5fc4-1d3a-4499-9d1e-0e422f404b40}</author>
    <author>tc={ed33f70a-81bd-4158-9a7c-b684d323e718}</author>
  </authors>
  <commentList>
    <comment authorId="0" xr:uid="{97480367-d3d4-4418-aa95-b704f49b9bde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thầy có thể xem lại bài cho em k ạ
Reply:
	9h sáng nay lên t cho xem
</t>
      </text>
    </comment>
    <comment authorId="1" xr:uid="{d663706b-6a14-4359-a5ad-6388297afb9e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thầy cho e xem lại bài được ko ạ
Reply:
	9h sáng nay lên t cho xem
</t>
      </text>
    </comment>
    <comment authorId="2" xr:uid="{e2ed5fc4-1d3a-4499-9d1e-0e422f404b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nhận xét cái gì đó
</t>
      </text>
    </comment>
    <comment authorId="3" xr:uid="{ed33f70a-81bd-4158-9a7c-b684d323e718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thầy ơi cho em xem bài với ạ huhu sao điểm em thấp quá T_T
Reply:
	Sáng mai 9h lên BM t cho xem bài.
Reply:
	vâng ạ &lt;3
</t>
      </text>
    </comment>
  </commentList>
</comments>
</file>

<file path=xl/sharedStrings.xml><?xml version="1.0" encoding="utf-8"?>
<sst xmlns="http://schemas.openxmlformats.org/spreadsheetml/2006/main" count="1031" uniqueCount="317">
  <si>
    <t>STT</t>
  </si>
  <si>
    <t>Mã sinh viên</t>
  </si>
  <si>
    <t>Tên sinh viên</t>
  </si>
  <si>
    <t>Mã lớp</t>
  </si>
  <si>
    <t>Điểm giữa kỳ</t>
  </si>
  <si>
    <t>Số buổi đi học có điểm danh</t>
  </si>
  <si>
    <t>Điểm điểm danh</t>
  </si>
  <si>
    <t>Điểm Quá trình</t>
  </si>
  <si>
    <t>Điểm cộng vào bài thi cuối kỳ</t>
  </si>
  <si>
    <t>Điểm bài thi cuối kỳ thật</t>
  </si>
  <si>
    <t>Điểm bài thi cuối kỳ + 0.5</t>
  </si>
  <si>
    <t>Điểm tổng kết</t>
  </si>
  <si>
    <t>Kết quả</t>
  </si>
  <si>
    <t>Điểm chữ</t>
  </si>
  <si>
    <t>Thiếu</t>
  </si>
  <si>
    <t>Điểm cần cộng thêm (nếu có)</t>
  </si>
  <si>
    <t>Điểm cuối</t>
  </si>
  <si>
    <t>Check (Điểm tổng kết)</t>
  </si>
  <si>
    <t>Điểm chữ sau khi nâng điểm</t>
  </si>
  <si>
    <t>Note</t>
  </si>
  <si>
    <t xml:space="preserve">Danh sách uốn nướt tè: </t>
  </si>
  <si>
    <t>Đoàn Việt Anh</t>
  </si>
  <si>
    <t>60PM1</t>
  </si>
  <si>
    <t>BỎ HỌC, BỎ THI</t>
  </si>
  <si>
    <t>Nguyễn Tuấn Anh</t>
  </si>
  <si>
    <t>61PM1</t>
  </si>
  <si>
    <t>Trần Xuân Ba</t>
  </si>
  <si>
    <t>Đoàn Quốc Bảo</t>
  </si>
  <si>
    <t>Nguyễn Mạnh Cường</t>
  </si>
  <si>
    <t>60PM2</t>
  </si>
  <si>
    <t>Nguyễn Văn Đạt</t>
  </si>
  <si>
    <t>Đậu Viết Đức</t>
  </si>
  <si>
    <t>Lê Đức Giáp</t>
  </si>
  <si>
    <t>Lê Trung Hiếu</t>
  </si>
  <si>
    <t>Trần Văn Hiếu</t>
  </si>
  <si>
    <t>Nguyễn Văn Hĩu</t>
  </si>
  <si>
    <t>Nguyễn Hữu Hoàng</t>
  </si>
  <si>
    <t>Vũ Minh Hoàng</t>
  </si>
  <si>
    <t>57PM2</t>
  </si>
  <si>
    <t>Khúc Gia Huy</t>
  </si>
  <si>
    <t>Lê Minh Huy</t>
  </si>
  <si>
    <t>Phạm Ngọc Huy</t>
  </si>
  <si>
    <t>Hoàng Việt Hưng</t>
  </si>
  <si>
    <t>Hà Bảo Khánh</t>
  </si>
  <si>
    <t>59PM1</t>
  </si>
  <si>
    <t>Nguyễn Kim Lâm</t>
  </si>
  <si>
    <t>Nguyễn Văn Lâm</t>
  </si>
  <si>
    <t>Lại Hoàng Lê</t>
  </si>
  <si>
    <t>Đoàn Bảo Linh</t>
  </si>
  <si>
    <t>Nguyễn Mỹ Linh</t>
  </si>
  <si>
    <t>Nguyễn Thành Long</t>
  </si>
  <si>
    <t>Ngô Văn Luân</t>
  </si>
  <si>
    <t>Đào Quang Minh</t>
  </si>
  <si>
    <t>Phạm Văn Minh</t>
  </si>
  <si>
    <t>Huỳnh Hoàng Nam</t>
  </si>
  <si>
    <t>BỎ THI GK</t>
  </si>
  <si>
    <t>Nguyễn Sơn Nam</t>
  </si>
  <si>
    <t>Mai Thị Kim Ngân</t>
  </si>
  <si>
    <t>Đỗ Văn Phiêu</t>
  </si>
  <si>
    <t>Nguyễn Viết Quân</t>
  </si>
  <si>
    <t>Phạm Văn Tâm</t>
  </si>
  <si>
    <t>Nguyễn Thanh Thản</t>
  </si>
  <si>
    <t>Nguyễn Quốc Thắng</t>
  </si>
  <si>
    <t>Trần Hữu Tòng</t>
  </si>
  <si>
    <t>Đặng Trường Trúc</t>
  </si>
  <si>
    <t>Phạm Ngọc Trung</t>
  </si>
  <si>
    <t>Đinh Minh Tuấn</t>
  </si>
  <si>
    <t>Trần Văn Tuấn</t>
  </si>
  <si>
    <t>Phan Bá Tuyến</t>
  </si>
  <si>
    <t>Trương Hải Yến</t>
  </si>
  <si>
    <t>F=</t>
  </si>
  <si>
    <t xml:space="preserve">Tổng = </t>
  </si>
  <si>
    <t>A=</t>
  </si>
  <si>
    <t>B+=</t>
  </si>
  <si>
    <t>B=</t>
  </si>
  <si>
    <t>Count "BỎ HỌC,BỎ THI"</t>
  </si>
  <si>
    <t>C+=</t>
  </si>
  <si>
    <t>Ghi chú</t>
  </si>
  <si>
    <t>C =</t>
  </si>
  <si>
    <t>Count "Bỏ THI"</t>
  </si>
  <si>
    <t>D+ =</t>
  </si>
  <si>
    <t>D =</t>
  </si>
  <si>
    <t>Count UP</t>
  </si>
  <si>
    <t>Sinh viên bỏ học</t>
  </si>
  <si>
    <t xml:space="preserve">SUM = </t>
  </si>
  <si>
    <t>Sinh viên bỏ thi cuối kỳ</t>
  </si>
  <si>
    <t>Đạt</t>
  </si>
  <si>
    <t>Nếu điểm tổng kết thiếu &lt;0.2 điểm để lên 1 điểm chữ thì cho phép nâng thêm điểm thiếu tương ứng để lên điểm chữ &lt;Đã thống nhất trước với lớp&gt;</t>
  </si>
  <si>
    <t>Sinh viên đang chờ xử lý</t>
  </si>
  <si>
    <t>Trượt</t>
  </si>
  <si>
    <t>Trong diện được cộng điểm để nâng điểm chữ</t>
  </si>
  <si>
    <t>Điểm cần cộng vào điểm thi cuối kỳ để lên 1 điểm chữ</t>
  </si>
  <si>
    <t>Đã được nâng điểm chữ</t>
  </si>
  <si>
    <t>TT</t>
  </si>
  <si>
    <t>Số báo danh</t>
  </si>
  <si>
    <t>Họ tên</t>
  </si>
  <si>
    <t>Mã đề thi</t>
  </si>
  <si>
    <t>Lớp</t>
  </si>
  <si>
    <t>Điểm thô</t>
  </si>
  <si>
    <t>Điểm GK Quy đổi</t>
  </si>
  <si>
    <t>CT_01</t>
  </si>
  <si>
    <t>Trần Văn Hoạt</t>
  </si>
  <si>
    <t>CT_02</t>
  </si>
  <si>
    <t>Phạm Văn Tình</t>
  </si>
  <si>
    <t>CT_03</t>
  </si>
  <si>
    <t>CT_04</t>
  </si>
  <si>
    <t>CT_05</t>
  </si>
  <si>
    <t>CT_06</t>
  </si>
  <si>
    <t>CT_07</t>
  </si>
  <si>
    <t>CT_08</t>
  </si>
  <si>
    <t>CT_09</t>
  </si>
  <si>
    <t>Phạm Thanh Dương</t>
  </si>
  <si>
    <t>CT_10</t>
  </si>
  <si>
    <t>CT_11</t>
  </si>
  <si>
    <t>CT_12</t>
  </si>
  <si>
    <t>Nguyễn Mạnh Hưng</t>
  </si>
  <si>
    <t>CT_13</t>
  </si>
  <si>
    <t>CT_14</t>
  </si>
  <si>
    <t>Nguyễn Anh Tú</t>
  </si>
  <si>
    <t>CT_15</t>
  </si>
  <si>
    <t>Nguyễn Hải Hà</t>
  </si>
  <si>
    <t>CT_16</t>
  </si>
  <si>
    <t>CT_17</t>
  </si>
  <si>
    <t>CT_18</t>
  </si>
  <si>
    <t>CT_19</t>
  </si>
  <si>
    <t>CT_22</t>
  </si>
  <si>
    <t>CT_23</t>
  </si>
  <si>
    <t>Nguyễn Hữu Thọ</t>
  </si>
  <si>
    <t>CT_24</t>
  </si>
  <si>
    <t>Cao Thành Trung</t>
  </si>
  <si>
    <t>CT_25</t>
  </si>
  <si>
    <t>CT_26</t>
  </si>
  <si>
    <t>CT_27</t>
  </si>
  <si>
    <t>CT_28</t>
  </si>
  <si>
    <t>CT_29</t>
  </si>
  <si>
    <t>CT_33</t>
  </si>
  <si>
    <t>Đoàn Nhật Hưng</t>
  </si>
  <si>
    <t>CT_34</t>
  </si>
  <si>
    <t>Nguyễn Thị Hiền</t>
  </si>
  <si>
    <t>CT_35</t>
  </si>
  <si>
    <t>Đỗ Xuân Hưng</t>
  </si>
  <si>
    <t>CT_36</t>
  </si>
  <si>
    <t>Hoàng Thị Phương Hoa</t>
  </si>
  <si>
    <t>CT_37</t>
  </si>
  <si>
    <t>Nguyễn Thanh Luật</t>
  </si>
  <si>
    <t>CT_38</t>
  </si>
  <si>
    <t>Phạm Thanh Tùng</t>
  </si>
  <si>
    <t>CT_39</t>
  </si>
  <si>
    <t>Phan Thanh Mai</t>
  </si>
  <si>
    <t>CT_42</t>
  </si>
  <si>
    <t>CT_43</t>
  </si>
  <si>
    <t>CT_44</t>
  </si>
  <si>
    <t>Vũ Đức Thịnh</t>
  </si>
  <si>
    <t>CT_45</t>
  </si>
  <si>
    <t>Nguyễn Bảo Long</t>
  </si>
  <si>
    <t>CT_46</t>
  </si>
  <si>
    <t>Trần Ngọc Hoàng Anh</t>
  </si>
  <si>
    <t>CT_47</t>
  </si>
  <si>
    <t>CT_48</t>
  </si>
  <si>
    <t>CT_49</t>
  </si>
  <si>
    <t>CT_50</t>
  </si>
  <si>
    <t>CT_51</t>
  </si>
  <si>
    <t>CT_52</t>
  </si>
  <si>
    <t>CT_53</t>
  </si>
  <si>
    <t>CT_54</t>
  </si>
  <si>
    <t>Lê Quang Tuấn Anh</t>
  </si>
  <si>
    <t>CT_55</t>
  </si>
  <si>
    <t>Mai Trọng Đạt</t>
  </si>
  <si>
    <t>CT_56</t>
  </si>
  <si>
    <t>Nguyễn Thạch Hưng</t>
  </si>
  <si>
    <t>CT_57</t>
  </si>
  <si>
    <t>CT_61</t>
  </si>
  <si>
    <t>CT_62</t>
  </si>
  <si>
    <t>Mạch Quang Trọng</t>
  </si>
  <si>
    <t>CT_63</t>
  </si>
  <si>
    <t>CT_64</t>
  </si>
  <si>
    <t>Phạm Minh Chiến</t>
  </si>
  <si>
    <t>CT_65</t>
  </si>
  <si>
    <t>CT_66</t>
  </si>
  <si>
    <t>Tống Đức Thắng</t>
  </si>
  <si>
    <t>CT_67</t>
  </si>
  <si>
    <t>Nguyễn Trọng Thắng</t>
  </si>
  <si>
    <t>CT_72</t>
  </si>
  <si>
    <t>CT_73</t>
  </si>
  <si>
    <t>Nguyễn Xuân Hiếu</t>
  </si>
  <si>
    <t>CT_74</t>
  </si>
  <si>
    <t>Nguyễn Trung Hiếu</t>
  </si>
  <si>
    <t>CT_75</t>
  </si>
  <si>
    <t>CT_76</t>
  </si>
  <si>
    <t>Trương Thị Hiền</t>
  </si>
  <si>
    <t>CT_77</t>
  </si>
  <si>
    <t>Lê Đình Nam</t>
  </si>
  <si>
    <t>CT_78</t>
  </si>
  <si>
    <t>Nguyễn Tiến Quân</t>
  </si>
  <si>
    <t>CT_79</t>
  </si>
  <si>
    <t>Lý Ngọc Vũ</t>
  </si>
  <si>
    <t>CT_70</t>
  </si>
  <si>
    <t>CT_71</t>
  </si>
  <si>
    <t>Nguyễn Văn Dũng</t>
  </si>
  <si>
    <t>CT_80</t>
  </si>
  <si>
    <t>Trần Xuân Bộ</t>
  </si>
  <si>
    <t>CT_81</t>
  </si>
  <si>
    <t>CT_82</t>
  </si>
  <si>
    <t>Dương Thế Anh</t>
  </si>
  <si>
    <t>CT_83</t>
  </si>
  <si>
    <t>CT_84</t>
  </si>
  <si>
    <t>CT_85</t>
  </si>
  <si>
    <t>CT_86</t>
  </si>
  <si>
    <t>Nguyễn Đức Long</t>
  </si>
  <si>
    <t>CT_87</t>
  </si>
  <si>
    <t>Vương Bá Quang</t>
  </si>
  <si>
    <t>CT_90</t>
  </si>
  <si>
    <t>Nguyễn Cảnh Đạt</t>
  </si>
  <si>
    <t>CT_91</t>
  </si>
  <si>
    <t>Đoàn Văn Đại</t>
  </si>
  <si>
    <t>CT_92</t>
  </si>
  <si>
    <t>Nguyễn Đình Hiệp</t>
  </si>
  <si>
    <t>CT_93</t>
  </si>
  <si>
    <t>Vũ Đức Hoàn</t>
  </si>
  <si>
    <t>CT_94</t>
  </si>
  <si>
    <t>59TH2</t>
  </si>
  <si>
    <t>Nguyễn Văn Bổn</t>
  </si>
  <si>
    <t>CT_95</t>
  </si>
  <si>
    <t>53PM2</t>
  </si>
  <si>
    <t>Lê Hữu Quân</t>
  </si>
  <si>
    <t>CT_96</t>
  </si>
  <si>
    <t>CT_97</t>
  </si>
  <si>
    <t>CT_98</t>
  </si>
  <si>
    <t>Mã SV</t>
  </si>
  <si>
    <t>Họ và Tên</t>
  </si>
  <si>
    <t>Lớp Q.Lý</t>
  </si>
  <si>
    <t>ĐQT</t>
  </si>
  <si>
    <t>ĐKT</t>
  </si>
  <si>
    <t>Đoàn Việt</t>
  </si>
  <si>
    <t>Anh</t>
  </si>
  <si>
    <t>Nguyễn Tuấn</t>
  </si>
  <si>
    <t>Trần Xuân</t>
  </si>
  <si>
    <t>Ba</t>
  </si>
  <si>
    <t>Đoàn Quốc</t>
  </si>
  <si>
    <t>Bảo</t>
  </si>
  <si>
    <t>Nguyễn Mạnh</t>
  </si>
  <si>
    <t>Cường</t>
  </si>
  <si>
    <t>Nguyễn Văn</t>
  </si>
  <si>
    <t>Đậu Viết</t>
  </si>
  <si>
    <t>Đức</t>
  </si>
  <si>
    <t>Lê Đức</t>
  </si>
  <si>
    <t>Giáp</t>
  </si>
  <si>
    <t>Lê Trung</t>
  </si>
  <si>
    <t>Hiếu</t>
  </si>
  <si>
    <t>Trần Văn</t>
  </si>
  <si>
    <t>Hĩu</t>
  </si>
  <si>
    <t>Nguyễn Hữu</t>
  </si>
  <si>
    <t>Hoàng</t>
  </si>
  <si>
    <t>Vũ Minh</t>
  </si>
  <si>
    <t>Khúc Gia</t>
  </si>
  <si>
    <t>Huy</t>
  </si>
  <si>
    <t>Lê Minh</t>
  </si>
  <si>
    <t>Phạm Ngọc</t>
  </si>
  <si>
    <t>Hoàng Việt</t>
  </si>
  <si>
    <t>Hưng</t>
  </si>
  <si>
    <t>Hà Bảo</t>
  </si>
  <si>
    <t>Khánh</t>
  </si>
  <si>
    <t>Nguyễn Kim</t>
  </si>
  <si>
    <t>Lâm</t>
  </si>
  <si>
    <t>Lại Hoàng</t>
  </si>
  <si>
    <t>Lê</t>
  </si>
  <si>
    <t>Đoàn Bảo</t>
  </si>
  <si>
    <t>Linh</t>
  </si>
  <si>
    <t>Nguyễn Mỹ</t>
  </si>
  <si>
    <t>Nguyễn Thành</t>
  </si>
  <si>
    <t>Long</t>
  </si>
  <si>
    <t>Ngô Văn</t>
  </si>
  <si>
    <t>Luân</t>
  </si>
  <si>
    <t>Đào Quang</t>
  </si>
  <si>
    <t>Minh</t>
  </si>
  <si>
    <t>Phạm Văn</t>
  </si>
  <si>
    <t>Huỳnh Hoàng</t>
  </si>
  <si>
    <t>Nam</t>
  </si>
  <si>
    <t>Nguyễn Sơn</t>
  </si>
  <si>
    <t>Mai Thị Kim</t>
  </si>
  <si>
    <t>Ngân</t>
  </si>
  <si>
    <t>Đỗ Văn</t>
  </si>
  <si>
    <t>Phiêu</t>
  </si>
  <si>
    <t>Nguyễn Viết</t>
  </si>
  <si>
    <t>Quân</t>
  </si>
  <si>
    <t>Tâm</t>
  </si>
  <si>
    <t>Nguyễn Thanh</t>
  </si>
  <si>
    <t>Thản</t>
  </si>
  <si>
    <t>Nguyễn Quốc</t>
  </si>
  <si>
    <t>Thắng</t>
  </si>
  <si>
    <t>Trần Hữu</t>
  </si>
  <si>
    <t>Tòng</t>
  </si>
  <si>
    <t>Đặng Trường</t>
  </si>
  <si>
    <t>Trúc</t>
  </si>
  <si>
    <t>Trung</t>
  </si>
  <si>
    <t>Đinh Minh</t>
  </si>
  <si>
    <t>Tuấn</t>
  </si>
  <si>
    <t>Phan Bá</t>
  </si>
  <si>
    <t>Tuyến</t>
  </si>
  <si>
    <t>Trương Hải</t>
  </si>
  <si>
    <t>Yến</t>
  </si>
  <si>
    <t>MSSV</t>
  </si>
  <si>
    <t>Họ và tên</t>
  </si>
  <si>
    <t>Điểm thực</t>
  </si>
  <si>
    <t>Tổng số bài thi</t>
  </si>
  <si>
    <t>Họ lót</t>
  </si>
  <si>
    <t>Tên</t>
  </si>
  <si>
    <t>B1</t>
  </si>
  <si>
    <t>B2</t>
  </si>
  <si>
    <t>B3</t>
  </si>
  <si>
    <t>B4</t>
  </si>
  <si>
    <t>B5</t>
  </si>
  <si>
    <t>B6</t>
  </si>
  <si>
    <t>B7</t>
  </si>
  <si>
    <t>v</t>
  </si>
  <si>
    <t>p</t>
  </si>
  <si>
    <t>bv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</si>
</sst>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16">
    <font>
      <sz val="10.0"/>
      <color rgb="FF000000"/>
      <name val="Arial"/>
    </font>
    <font>
      <b/>
      <sz val="14.0"/>
      <color rgb="FFFFFFFF"/>
      <name val="Times New Roman"/>
    </font>
    <font>
      <b/>
      <sz val="14.0"/>
      <color rgb="FF000000"/>
      <name val="Times New Roman"/>
    </font>
    <font>
      <b/>
      <sz val="14.0"/>
      <color rgb="FFFF0000"/>
      <name val="Times New Roman"/>
    </font>
    <font>
      <b/>
      <sz val="14.0"/>
      <color rgb="FFFF0000"/>
    </font>
    <font/>
    <font>
      <b/>
      <sz val="10.0"/>
      <color rgb="FFFF0000"/>
      <name val="Arial"/>
    </font>
    <font>
      <b/>
      <sz val="10.0"/>
      <color rgb="FF000000"/>
      <name val="Arial"/>
    </font>
    <font>
      <sz val="14.0"/>
      <name val="Times New Roman"/>
    </font>
    <font>
      <name val="Arial"/>
    </font>
    <font>
      <sz val="14.0"/>
      <color rgb="FF000000"/>
      <name val="Times New Roman"/>
    </font>
    <font>
      <sz val="11.0"/>
      <color rgb="FF008000"/>
      <name val="Inconsolata"/>
    </font>
    <font>
      <sz val="14.0"/>
      <color rgb="FF000080"/>
      <name val="Times New Roman"/>
    </font>
    <font>
      <sz val="11.0"/>
      <color rgb="FF000000"/>
      <name val="Calibri"/>
    </font>
    <font>
      <b/>
      <sz val="11.0"/>
      <color rgb="FF000000"/>
      <name val="Calibri"/>
    </font>
    <font>
      <b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2D8ECE"/>
        <bgColor rgb="FF2D8ECE"/>
      </patternFill>
    </fill>
    <fill>
      <patternFill patternType="solid">
        <fgColor rgb="FFF9F9F9"/>
        <bgColor rgb="FFF9F9F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</border>
    <border>
      <left style="hair">
        <color rgb="FFFF0000"/>
      </left>
      <right style="hair">
        <color rgb="FFFF0000"/>
      </right>
      <top style="hair">
        <color rgb="FFFF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FF0000"/>
      </left>
      <right style="hair">
        <color rgb="FFFF0000"/>
      </right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</border>
    <border>
      <left style="hair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FF0000"/>
      </right>
      <top style="hair">
        <color rgb="FFFF0000"/>
      </top>
      <bottom style="hair">
        <color rgb="FFFF0000"/>
      </bottom>
    </border>
    <border>
      <bottom style="thin">
        <color rgb="FF000000"/>
      </bottom>
    </border>
    <border>
      <left style="hair">
        <color rgb="FFFF0000"/>
      </left>
      <right style="hair">
        <color rgb="FFFF0000"/>
      </right>
      <bottom style="hair">
        <color rgb="FFFF0000"/>
      </bottom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3" fontId="1" numFmtId="4" xfId="0" applyAlignment="1" applyBorder="1" applyFont="1" applyNumberFormat="1">
      <alignment horizontal="center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1" fillId="6" fontId="6" numFmtId="0" xfId="0" applyAlignment="1" applyBorder="1" applyFill="1" applyFont="1">
      <alignment horizontal="center" readingOrder="0" shrinkToFit="0" wrapText="1"/>
    </xf>
    <xf borderId="1" fillId="0" fontId="0" numFmtId="0" xfId="0" applyAlignment="1" applyBorder="1" applyFont="1">
      <alignment horizontal="center" readingOrder="0" shrinkToFit="0" wrapText="1"/>
    </xf>
    <xf borderId="3" fillId="0" fontId="0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horizontal="right" shrinkToFit="0" wrapText="1"/>
    </xf>
    <xf borderId="6" fillId="7" fontId="6" numFmtId="0" xfId="0" applyAlignment="1" applyBorder="1" applyFill="1" applyFont="1">
      <alignment horizontal="right" shrinkToFit="0" wrapText="1"/>
    </xf>
    <xf borderId="6" fillId="8" fontId="6" numFmtId="0" xfId="0" applyAlignment="1" applyBorder="1" applyFill="1" applyFont="1">
      <alignment horizontal="center" readingOrder="0" shrinkToFit="0" wrapText="1"/>
    </xf>
    <xf borderId="6" fillId="4" fontId="6" numFmtId="0" xfId="0" applyAlignment="1" applyBorder="1" applyFont="1">
      <alignment horizontal="center" readingOrder="0" shrinkToFit="0" wrapText="1"/>
    </xf>
    <xf borderId="6" fillId="5" fontId="6" numFmtId="0" xfId="0" applyAlignment="1" applyBorder="1" applyFont="1">
      <alignment shrinkToFit="0" wrapText="1"/>
    </xf>
    <xf borderId="4" fillId="0" fontId="0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0" fontId="7" numFmtId="4" xfId="0" applyAlignment="1" applyBorder="1" applyFont="1" applyNumberFormat="1">
      <alignment shrinkToFit="0" wrapText="1"/>
    </xf>
    <xf borderId="6" fillId="3" fontId="0" numFmtId="4" xfId="0" applyAlignment="1" applyBorder="1" applyFont="1" applyNumberFormat="1">
      <alignment shrinkToFit="0" wrapText="1"/>
    </xf>
    <xf borderId="6" fillId="4" fontId="6" numFmtId="164" xfId="0" applyAlignment="1" applyBorder="1" applyFont="1" applyNumberFormat="1">
      <alignment horizontal="center" shrinkToFit="0" wrapText="1"/>
    </xf>
    <xf borderId="5" fillId="0" fontId="7" numFmtId="0" xfId="0" applyAlignment="1" applyBorder="1" applyFont="1">
      <alignment horizontal="center" shrinkToFit="0" wrapText="1"/>
    </xf>
    <xf borderId="1" fillId="9" fontId="8" numFmtId="0" xfId="0" applyAlignment="1" applyBorder="1" applyFill="1" applyFont="1">
      <alignment horizontal="center" readingOrder="0" shrinkToFit="0" wrapText="0"/>
    </xf>
    <xf borderId="1" fillId="9" fontId="9" numFmtId="0" xfId="0" applyAlignment="1" applyBorder="1" applyFont="1">
      <alignment readingOrder="0" shrinkToFit="0" vertical="bottom" wrapText="0"/>
    </xf>
    <xf borderId="1" fillId="9" fontId="10" numFmtId="0" xfId="0" applyAlignment="1" applyBorder="1" applyFont="1">
      <alignment readingOrder="0" shrinkToFit="0" vertical="bottom" wrapText="0"/>
    </xf>
    <xf borderId="1" fillId="9" fontId="9" numFmtId="0" xfId="0" applyAlignment="1" applyBorder="1" applyFont="1">
      <alignment horizontal="right" readingOrder="0" shrinkToFit="0" vertical="bottom" wrapText="0"/>
    </xf>
    <xf borderId="3" fillId="9" fontId="0" numFmtId="0" xfId="0" applyAlignment="1" applyBorder="1" applyFont="1">
      <alignment horizontal="center" shrinkToFit="0" wrapText="1"/>
    </xf>
    <xf borderId="6" fillId="9" fontId="6" numFmtId="0" xfId="0" applyAlignment="1" applyBorder="1" applyFont="1">
      <alignment horizontal="right" shrinkToFit="0" wrapText="1"/>
    </xf>
    <xf borderId="6" fillId="9" fontId="6" numFmtId="0" xfId="0" applyAlignment="1" applyBorder="1" applyFont="1">
      <alignment horizontal="center" readingOrder="0" shrinkToFit="0" wrapText="1"/>
    </xf>
    <xf borderId="6" fillId="9" fontId="6" numFmtId="4" xfId="0" applyAlignment="1" applyBorder="1" applyFont="1" applyNumberFormat="1">
      <alignment shrinkToFit="0" wrapText="1"/>
    </xf>
    <xf borderId="4" fillId="9" fontId="0" numFmtId="0" xfId="0" applyAlignment="1" applyBorder="1" applyFont="1">
      <alignment horizontal="center" shrinkToFit="0" wrapText="1"/>
    </xf>
    <xf borderId="4" fillId="9" fontId="7" numFmtId="0" xfId="0" applyAlignment="1" applyBorder="1" applyFont="1">
      <alignment horizontal="center" shrinkToFit="0" wrapText="1"/>
    </xf>
    <xf borderId="4" fillId="9" fontId="7" numFmtId="4" xfId="0" applyAlignment="1" applyBorder="1" applyFont="1" applyNumberFormat="1">
      <alignment shrinkToFit="0" wrapText="1"/>
    </xf>
    <xf borderId="6" fillId="9" fontId="0" numFmtId="4" xfId="0" applyAlignment="1" applyBorder="1" applyFont="1" applyNumberFormat="1">
      <alignment shrinkToFit="0" wrapText="1"/>
    </xf>
    <xf borderId="6" fillId="9" fontId="6" numFmtId="164" xfId="0" applyAlignment="1" applyBorder="1" applyFont="1" applyNumberFormat="1">
      <alignment horizontal="center" shrinkToFit="0" wrapText="1"/>
    </xf>
    <xf borderId="6" fillId="9" fontId="6" numFmtId="0" xfId="0" applyAlignment="1" applyBorder="1" applyFont="1">
      <alignment shrinkToFit="0" wrapText="1"/>
    </xf>
    <xf borderId="0" fillId="6" fontId="11" numFmtId="0" xfId="0" applyAlignment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readingOrder="0" shrinkToFit="0" vertical="bottom" wrapText="0"/>
    </xf>
    <xf borderId="1" fillId="6" fontId="10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3" fillId="0" fontId="0" numFmtId="0" xfId="0" applyAlignment="1" applyBorder="1" applyFont="1">
      <alignment horizontal="center" shrinkToFit="0" wrapText="1"/>
    </xf>
    <xf borderId="6" fillId="7" fontId="6" numFmtId="0" xfId="0" applyAlignment="1" applyBorder="1" applyFont="1">
      <alignment horizontal="center" readingOrder="0" shrinkToFit="0" wrapText="1"/>
    </xf>
    <xf borderId="6" fillId="5" fontId="6" numFmtId="4" xfId="0" applyAlignment="1" applyBorder="1" applyFont="1" applyNumberFormat="1">
      <alignment shrinkToFit="0" wrapText="1"/>
    </xf>
    <xf borderId="1" fillId="6" fontId="8" numFmtId="0" xfId="0" applyAlignment="1" applyBorder="1" applyFont="1">
      <alignment horizontal="center" readingOrder="0" shrinkToFit="0" wrapText="0"/>
    </xf>
    <xf borderId="1" fillId="6" fontId="9" numFmtId="0" xfId="0" applyAlignment="1" applyBorder="1" applyFont="1">
      <alignment readingOrder="0" shrinkToFit="0" vertical="bottom" wrapText="0"/>
    </xf>
    <xf borderId="1" fillId="6" fontId="9" numFmtId="0" xfId="0" applyAlignment="1" applyBorder="1" applyFont="1">
      <alignment horizontal="right" readingOrder="0" shrinkToFit="0" vertical="bottom" wrapText="0"/>
    </xf>
    <xf borderId="3" fillId="6" fontId="0" numFmtId="0" xfId="0" applyAlignment="1" applyBorder="1" applyFont="1">
      <alignment horizontal="center" shrinkToFit="0" wrapText="1"/>
    </xf>
    <xf borderId="6" fillId="6" fontId="6" numFmtId="0" xfId="0" applyAlignment="1" applyBorder="1" applyFont="1">
      <alignment horizontal="right" shrinkToFit="0" wrapText="1"/>
    </xf>
    <xf borderId="6" fillId="6" fontId="6" numFmtId="0" xfId="0" applyAlignment="1" applyBorder="1" applyFont="1">
      <alignment horizontal="center" readingOrder="0" shrinkToFit="0" wrapText="1"/>
    </xf>
    <xf borderId="6" fillId="6" fontId="6" numFmtId="4" xfId="0" applyAlignment="1" applyBorder="1" applyFont="1" applyNumberFormat="1">
      <alignment shrinkToFit="0" wrapText="1"/>
    </xf>
    <xf borderId="4" fillId="6" fontId="0" numFmtId="0" xfId="0" applyAlignment="1" applyBorder="1" applyFont="1">
      <alignment horizontal="center" shrinkToFit="0" wrapText="1"/>
    </xf>
    <xf borderId="4" fillId="6" fontId="7" numFmtId="0" xfId="0" applyAlignment="1" applyBorder="1" applyFont="1">
      <alignment horizontal="center" shrinkToFit="0" wrapText="1"/>
    </xf>
    <xf borderId="4" fillId="6" fontId="7" numFmtId="4" xfId="0" applyAlignment="1" applyBorder="1" applyFont="1" applyNumberFormat="1">
      <alignment shrinkToFit="0" wrapText="1"/>
    </xf>
    <xf borderId="6" fillId="6" fontId="0" numFmtId="4" xfId="0" applyAlignment="1" applyBorder="1" applyFont="1" applyNumberFormat="1">
      <alignment shrinkToFit="0" wrapText="1"/>
    </xf>
    <xf borderId="6" fillId="6" fontId="6" numFmtId="164" xfId="0" applyAlignment="1" applyBorder="1" applyFont="1" applyNumberFormat="1">
      <alignment horizontal="center" shrinkToFit="0" wrapText="1"/>
    </xf>
    <xf borderId="6" fillId="6" fontId="6" numFmtId="0" xfId="0" applyAlignment="1" applyBorder="1" applyFont="1">
      <alignment shrinkToFit="0" wrapText="1"/>
    </xf>
    <xf borderId="1" fillId="10" fontId="8" numFmtId="0" xfId="0" applyAlignment="1" applyBorder="1" applyFill="1" applyFont="1">
      <alignment horizontal="center" readingOrder="0" shrinkToFit="0" wrapText="0"/>
    </xf>
    <xf borderId="1" fillId="10" fontId="9" numFmtId="0" xfId="0" applyAlignment="1" applyBorder="1" applyFont="1">
      <alignment readingOrder="0" shrinkToFit="0" vertical="bottom" wrapText="0"/>
    </xf>
    <xf borderId="1" fillId="10" fontId="10" numFmtId="0" xfId="0" applyAlignment="1" applyBorder="1" applyFont="1">
      <alignment readingOrder="0" shrinkToFit="0" vertical="bottom" wrapText="0"/>
    </xf>
    <xf borderId="1" fillId="10" fontId="9" numFmtId="0" xfId="0" applyAlignment="1" applyBorder="1" applyFont="1">
      <alignment horizontal="right" readingOrder="0" shrinkToFit="0" vertical="bottom" wrapText="0"/>
    </xf>
    <xf borderId="3" fillId="10" fontId="0" numFmtId="0" xfId="0" applyAlignment="1" applyBorder="1" applyFont="1">
      <alignment horizontal="center" shrinkToFit="0" wrapText="1"/>
    </xf>
    <xf borderId="6" fillId="10" fontId="6" numFmtId="0" xfId="0" applyAlignment="1" applyBorder="1" applyFont="1">
      <alignment horizontal="right" shrinkToFit="0" wrapText="1"/>
    </xf>
    <xf borderId="6" fillId="10" fontId="6" numFmtId="0" xfId="0" applyAlignment="1" applyBorder="1" applyFont="1">
      <alignment horizontal="center" readingOrder="0" shrinkToFit="0" wrapText="1"/>
    </xf>
    <xf borderId="6" fillId="10" fontId="6" numFmtId="4" xfId="0" applyAlignment="1" applyBorder="1" applyFont="1" applyNumberFormat="1">
      <alignment shrinkToFit="0" wrapText="1"/>
    </xf>
    <xf borderId="4" fillId="10" fontId="0" numFmtId="0" xfId="0" applyAlignment="1" applyBorder="1" applyFont="1">
      <alignment horizontal="center" shrinkToFit="0" wrapText="1"/>
    </xf>
    <xf borderId="4" fillId="10" fontId="7" numFmtId="0" xfId="0" applyAlignment="1" applyBorder="1" applyFont="1">
      <alignment horizontal="center" shrinkToFit="0" wrapText="1"/>
    </xf>
    <xf borderId="4" fillId="10" fontId="7" numFmtId="4" xfId="0" applyAlignment="1" applyBorder="1" applyFont="1" applyNumberFormat="1">
      <alignment shrinkToFit="0" wrapText="1"/>
    </xf>
    <xf borderId="6" fillId="10" fontId="0" numFmtId="4" xfId="0" applyAlignment="1" applyBorder="1" applyFont="1" applyNumberFormat="1">
      <alignment shrinkToFit="0" wrapText="1"/>
    </xf>
    <xf borderId="6" fillId="10" fontId="6" numFmtId="164" xfId="0" applyAlignment="1" applyBorder="1" applyFont="1" applyNumberFormat="1">
      <alignment horizontal="center" shrinkToFit="0" wrapText="1"/>
    </xf>
    <xf borderId="6" fillId="10" fontId="6" numFmtId="0" xfId="0" applyAlignment="1" applyBorder="1" applyFont="1">
      <alignment shrinkToFit="0" wrapText="1"/>
    </xf>
    <xf borderId="5" fillId="10" fontId="7" numFmtId="0" xfId="0" applyAlignment="1" applyBorder="1" applyFont="1">
      <alignment horizontal="center" shrinkToFit="0" wrapText="1"/>
    </xf>
    <xf borderId="3" fillId="10" fontId="0" numFmtId="0" xfId="0" applyAlignment="1" applyBorder="1" applyFont="1">
      <alignment horizontal="center" readingOrder="0" shrinkToFit="0" wrapText="1"/>
    </xf>
    <xf borderId="1" fillId="11" fontId="8" numFmtId="0" xfId="0" applyAlignment="1" applyBorder="1" applyFill="1" applyFont="1">
      <alignment horizontal="center" readingOrder="0" shrinkToFit="0" wrapText="0"/>
    </xf>
    <xf borderId="1" fillId="11" fontId="9" numFmtId="0" xfId="0" applyAlignment="1" applyBorder="1" applyFont="1">
      <alignment readingOrder="0" shrinkToFit="0" vertical="bottom" wrapText="0"/>
    </xf>
    <xf borderId="1" fillId="11" fontId="10" numFmtId="0" xfId="0" applyAlignment="1" applyBorder="1" applyFont="1">
      <alignment readingOrder="0" shrinkToFit="0" vertical="bottom" wrapText="0"/>
    </xf>
    <xf borderId="1" fillId="11" fontId="9" numFmtId="0" xfId="0" applyAlignment="1" applyBorder="1" applyFont="1">
      <alignment horizontal="right" readingOrder="0" shrinkToFit="0" vertical="bottom" wrapText="0"/>
    </xf>
    <xf borderId="3" fillId="11" fontId="0" numFmtId="0" xfId="0" applyAlignment="1" applyBorder="1" applyFont="1">
      <alignment horizontal="center" shrinkToFit="0" wrapText="1"/>
    </xf>
    <xf borderId="6" fillId="11" fontId="6" numFmtId="0" xfId="0" applyAlignment="1" applyBorder="1" applyFont="1">
      <alignment horizontal="right" shrinkToFit="0" wrapText="1"/>
    </xf>
    <xf borderId="6" fillId="11" fontId="6" numFmtId="0" xfId="0" applyAlignment="1" applyBorder="1" applyFont="1">
      <alignment horizontal="center" readingOrder="0" shrinkToFit="0" wrapText="1"/>
    </xf>
    <xf borderId="6" fillId="11" fontId="6" numFmtId="4" xfId="0" applyAlignment="1" applyBorder="1" applyFont="1" applyNumberFormat="1">
      <alignment shrinkToFit="0" wrapText="1"/>
    </xf>
    <xf borderId="4" fillId="11" fontId="0" numFmtId="0" xfId="0" applyAlignment="1" applyBorder="1" applyFont="1">
      <alignment horizontal="center" shrinkToFit="0" wrapText="1"/>
    </xf>
    <xf borderId="4" fillId="11" fontId="7" numFmtId="0" xfId="0" applyAlignment="1" applyBorder="1" applyFont="1">
      <alignment horizontal="center" shrinkToFit="0" wrapText="1"/>
    </xf>
    <xf borderId="4" fillId="11" fontId="7" numFmtId="4" xfId="0" applyAlignment="1" applyBorder="1" applyFont="1" applyNumberFormat="1">
      <alignment shrinkToFit="0" wrapText="1"/>
    </xf>
    <xf borderId="6" fillId="11" fontId="0" numFmtId="4" xfId="0" applyAlignment="1" applyBorder="1" applyFont="1" applyNumberFormat="1">
      <alignment shrinkToFit="0" wrapText="1"/>
    </xf>
    <xf borderId="6" fillId="11" fontId="6" numFmtId="164" xfId="0" applyAlignment="1" applyBorder="1" applyFont="1" applyNumberFormat="1">
      <alignment horizontal="center" shrinkToFit="0" wrapText="1"/>
    </xf>
    <xf borderId="6" fillId="11" fontId="6" numFmtId="0" xfId="0" applyAlignment="1" applyBorder="1" applyFont="1">
      <alignment shrinkToFit="0" wrapText="1"/>
    </xf>
    <xf borderId="1" fillId="9" fontId="10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ont="1">
      <alignment horizontal="left" readingOrder="0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left" readingOrder="0" shrinkToFit="0" vertical="center" wrapText="1"/>
    </xf>
    <xf borderId="5" fillId="6" fontId="6" numFmtId="0" xfId="0" applyAlignment="1" applyBorder="1" applyFont="1">
      <alignment horizontal="center" readingOrder="0" shrinkToFit="0" wrapText="1"/>
    </xf>
    <xf borderId="1" fillId="6" fontId="0" numFmtId="0" xfId="0" applyAlignment="1" applyBorder="1" applyFont="1">
      <alignment horizontal="center" shrinkToFit="0" wrapText="1"/>
    </xf>
    <xf borderId="3" fillId="6" fontId="0" numFmtId="0" xfId="0" applyAlignment="1" applyBorder="1" applyFont="1">
      <alignment horizontal="center" shrinkToFit="0" wrapText="1"/>
    </xf>
    <xf borderId="6" fillId="6" fontId="6" numFmtId="0" xfId="0" applyAlignment="1" applyBorder="1" applyFont="1">
      <alignment horizontal="right" readingOrder="0" shrinkToFit="0" wrapText="1"/>
    </xf>
    <xf borderId="4" fillId="6" fontId="6" numFmtId="0" xfId="0" applyAlignment="1" applyBorder="1" applyFont="1">
      <alignment horizontal="right" shrinkToFit="0" wrapText="1"/>
    </xf>
    <xf borderId="4" fillId="0" fontId="0" numFmtId="0" xfId="0" applyAlignment="1" applyBorder="1" applyFont="1">
      <alignment shrinkToFit="0" wrapText="1"/>
    </xf>
    <xf borderId="7" fillId="6" fontId="6" numFmtId="164" xfId="0" applyAlignment="1" applyBorder="1" applyFont="1" applyNumberFormat="1">
      <alignment horizontal="center" shrinkToFit="0" wrapText="1"/>
    </xf>
    <xf borderId="0" fillId="10" fontId="6" numFmtId="0" xfId="0" applyAlignment="1" applyFont="1">
      <alignment readingOrder="0" shrinkToFit="0" wrapText="1"/>
    </xf>
    <xf borderId="0" fillId="10" fontId="7" numFmtId="0" xfId="0" applyAlignment="1" applyFont="1">
      <alignment horizontal="center" shrinkToFit="0" wrapText="1"/>
    </xf>
    <xf borderId="8" fillId="10" fontId="7" numFmtId="0" xfId="0" applyAlignment="1" applyBorder="1" applyFont="1">
      <alignment horizontal="center" shrinkToFit="0" wrapText="1"/>
    </xf>
    <xf borderId="1" fillId="0" fontId="0" numFmtId="0" xfId="0" applyAlignment="1" applyBorder="1" applyFont="1">
      <alignment horizontal="center" shrinkToFit="0" wrapText="1"/>
    </xf>
    <xf borderId="6" fillId="6" fontId="0" numFmtId="0" xfId="0" applyAlignment="1" applyBorder="1" applyFont="1">
      <alignment horizontal="center" shrinkToFit="0" wrapText="1"/>
    </xf>
    <xf borderId="8" fillId="10" fontId="6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9" fillId="5" fontId="12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center" readingOrder="0" shrinkToFit="0" vertical="center" wrapText="1"/>
    </xf>
    <xf borderId="11" fillId="4" fontId="12" numFmtId="0" xfId="0" applyAlignment="1" applyBorder="1" applyFont="1">
      <alignment horizontal="left" readingOrder="0" shrinkToFit="0" vertical="center" wrapText="1"/>
    </xf>
    <xf borderId="12" fillId="6" fontId="12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shrinkToFit="0" wrapText="1"/>
    </xf>
    <xf borderId="14" fillId="4" fontId="12" numFmtId="0" xfId="0" applyAlignment="1" applyBorder="1" applyFont="1">
      <alignment horizontal="left" readingOrder="0" shrinkToFit="0" vertical="center" wrapText="1"/>
    </xf>
    <xf borderId="15" fillId="6" fontId="12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3" fillId="0" fontId="0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right" shrinkToFit="0" vertical="center" wrapText="1"/>
    </xf>
    <xf borderId="4" fillId="6" fontId="6" numFmtId="0" xfId="0" applyAlignment="1" applyBorder="1" applyFont="1">
      <alignment horizontal="right" shrinkToFit="0" vertical="center" wrapText="1"/>
    </xf>
    <xf borderId="4" fillId="0" fontId="0" numFmtId="0" xfId="0" applyAlignment="1" applyBorder="1" applyFont="1">
      <alignment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6" fontId="0" numFmtId="0" xfId="0" applyAlignment="1" applyBorder="1" applyFont="1">
      <alignment shrinkToFit="0" vertical="center" wrapText="1"/>
    </xf>
    <xf borderId="4" fillId="0" fontId="0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4" xfId="0" applyAlignment="1" applyBorder="1" applyFont="1" applyNumberFormat="1">
      <alignment shrinkToFit="0" vertical="center" wrapText="1"/>
    </xf>
    <xf borderId="6" fillId="6" fontId="0" numFmtId="4" xfId="0" applyAlignment="1" applyBorder="1" applyFont="1" applyNumberFormat="1">
      <alignment shrinkToFit="0" vertical="center" wrapText="1"/>
    </xf>
    <xf borderId="7" fillId="6" fontId="6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shrinkToFit="0" wrapText="1"/>
    </xf>
    <xf borderId="16" fillId="4" fontId="12" numFmtId="0" xfId="0" applyAlignment="1" applyBorder="1" applyFont="1">
      <alignment horizontal="left" readingOrder="0" shrinkToFit="0" vertical="center" wrapText="1"/>
    </xf>
    <xf borderId="15" fillId="6" fontId="12" numFmtId="0" xfId="0" applyAlignment="1" applyBorder="1" applyFont="1">
      <alignment horizontal="center" shrinkToFit="0" vertical="center" wrapText="1"/>
    </xf>
    <xf borderId="15" fillId="11" fontId="0" numFmtId="0" xfId="0" applyAlignment="1" applyBorder="1" applyFont="1">
      <alignment horizontal="center" shrinkToFit="0" vertical="center" wrapText="0"/>
    </xf>
    <xf borderId="16" fillId="6" fontId="12" numFmtId="0" xfId="0" applyAlignment="1" applyBorder="1" applyFont="1">
      <alignment horizontal="left" shrinkToFit="0" vertical="center" wrapText="1"/>
    </xf>
    <xf borderId="8" fillId="10" fontId="0" numFmtId="0" xfId="0" applyAlignment="1" applyBorder="1" applyFont="1">
      <alignment shrinkToFit="0" vertical="center" wrapText="1"/>
    </xf>
    <xf borderId="15" fillId="12" fontId="0" numFmtId="0" xfId="0" applyAlignment="1" applyBorder="1" applyFill="1" applyFont="1">
      <alignment horizontal="center" shrinkToFit="0" vertical="center" wrapText="0"/>
    </xf>
    <xf borderId="6" fillId="4" fontId="0" numFmtId="0" xfId="0" applyAlignment="1" applyBorder="1" applyFont="1">
      <alignment horizontal="center" shrinkToFit="0" vertical="center" wrapText="1"/>
    </xf>
    <xf borderId="4" fillId="0" fontId="7" numFmtId="4" xfId="0" applyAlignment="1" applyBorder="1" applyFont="1" applyNumberFormat="1">
      <alignment readingOrder="0" shrinkToFit="0" vertical="center" wrapText="1"/>
    </xf>
    <xf borderId="6" fillId="6" fontId="6" numFmtId="164" xfId="0" applyAlignment="1" applyBorder="1" applyFont="1" applyNumberFormat="1">
      <alignment horizontal="center" shrinkToFit="0" vertical="center" wrapText="1"/>
    </xf>
    <xf borderId="17" fillId="6" fontId="0" numFmtId="0" xfId="0" applyAlignment="1" applyBorder="1" applyFont="1">
      <alignment shrinkToFit="0" vertical="center" wrapText="1"/>
    </xf>
    <xf borderId="17" fillId="0" fontId="0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shrinkToFit="0" wrapText="1"/>
    </xf>
    <xf borderId="15" fillId="5" fontId="0" numFmtId="0" xfId="0" applyAlignment="1" applyBorder="1" applyFont="1">
      <alignment horizontal="center" shrinkToFit="0" vertical="center" wrapText="0"/>
    </xf>
    <xf borderId="6" fillId="9" fontId="0" numFmtId="0" xfId="0" applyAlignment="1" applyBorder="1" applyFont="1">
      <alignment horizontal="center" shrinkToFit="0" vertical="center" wrapText="1"/>
    </xf>
    <xf borderId="6" fillId="9" fontId="7" numFmtId="4" xfId="0" applyAlignment="1" applyBorder="1" applyFont="1" applyNumberFormat="1">
      <alignment shrinkToFit="0" vertical="center" wrapText="1"/>
    </xf>
    <xf borderId="4" fillId="6" fontId="0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3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right" shrinkToFit="0" vertical="bottom" wrapText="0"/>
    </xf>
    <xf borderId="3" fillId="0" fontId="9" numFmtId="164" xfId="0" applyAlignment="1" applyBorder="1" applyFont="1" applyNumberFormat="1">
      <alignment horizontal="right" shrinkToFit="0" vertical="bottom" wrapText="0"/>
    </xf>
    <xf borderId="3" fillId="0" fontId="9" numFmtId="0" xfId="0" applyAlignment="1" applyBorder="1" applyFont="1">
      <alignment shrinkToFit="0" vertical="bottom" wrapText="1"/>
    </xf>
    <xf borderId="0" fillId="5" fontId="14" numFmtId="0" xfId="0" applyAlignment="1" applyFont="1">
      <alignment readingOrder="0" shrinkToFit="0" vertical="bottom" wrapText="0"/>
    </xf>
    <xf borderId="0" fillId="6" fontId="14" numFmtId="0" xfId="0" applyAlignment="1" applyFont="1">
      <alignment readingOrder="0" shrinkToFit="0" vertical="bottom" wrapText="0"/>
    </xf>
    <xf borderId="0" fillId="6" fontId="9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6" fontId="15" numFmtId="0" xfId="0" applyAlignment="1" applyFont="1">
      <alignment readingOrder="0" shrinkToFit="0" vertical="bottom" wrapText="0"/>
    </xf>
    <xf borderId="1" fillId="13" fontId="13" numFmtId="0" xfId="0" applyAlignment="1" applyBorder="1" applyFill="1" applyFont="1">
      <alignment readingOrder="0" shrinkToFit="0" vertical="bottom" wrapText="0"/>
    </xf>
    <xf borderId="19" fillId="14" fontId="13" numFmtId="0" xfId="0" applyAlignment="1" applyBorder="1" applyFill="1" applyFont="1">
      <alignment readingOrder="0" shrinkToFit="0" vertical="bottom" wrapText="0"/>
    </xf>
    <xf borderId="19" fillId="14" fontId="13" numFmtId="0" xfId="0" applyAlignment="1" applyBorder="1" applyFont="1">
      <alignment shrinkToFit="0" vertical="bottom" wrapText="0"/>
    </xf>
    <xf borderId="20" fillId="14" fontId="13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6" fontId="13" numFmtId="0" xfId="0" applyAlignment="1" applyBorder="1" applyFont="1">
      <alignment readingOrder="0" shrinkToFit="0" vertical="bottom" wrapText="0"/>
    </xf>
    <xf borderId="20" fillId="14" fontId="13" numFmtId="0" xfId="0" applyAlignment="1" applyBorder="1" applyFont="1">
      <alignment readingOrder="0" shrinkToFit="0" vertical="bottom" wrapText="0"/>
    </xf>
    <xf borderId="19" fillId="14" fontId="13" numFmtId="0" xfId="0" applyAlignment="1" applyBorder="1" applyFont="1">
      <alignment shrinkToFit="0" vertical="bottom" wrapText="0"/>
    </xf>
    <xf borderId="1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ương Nguyễn Hải" id="{f5649a11-0bdc-4f0e-b140-f5f7aa04fe25}" providerId="google-sheets"/>
  <x18tc:person displayName="Duongnhyt Caoiucuu" id="{861fab20-d4d8-4cbc-8587-1bb3c2f958e4}" providerId="google-sheets"/>
  <x18tc:person displayName="Lê Hiếu" id="{013bf37e-4e60-4104-b8eb-7e15f852994c}" providerId="google-sheets"/>
  <x18tc:person displayName="Pham Huy" id="{460bd2e0-ff32-4b93-a0f8-691f58cd7548}" providerId="google-sheets"/>
  <x18tc:person displayName="lâm nguyễn" id="{5bb811da-ba70-4fbb-86a5-b572b2e46472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" dT="2017-06-14T14:18:35.00" personId="{5bb811da-ba70-4fbb-86a5-b572b2e46472}" id="{97480367-d3d4-4418-aa95-b704f49b9bde}" done="0">
    <x18tc:text xml:space="preserve">thầy có thể xem lại bài cho em k ạ</x18tc:text>
  </x18tc:threadedComment>
  <x18tc:threadedComment ref="C22" dT="2017-06-15T01:28:23.00" personId="{861fab20-d4d8-4cbc-8587-1bb3c2f958e4}" id="{fde72144-519d-4dc3-b5d2-96495468ffd6}" parentId="{97480367-d3d4-4418-aa95-b704f49b9bde}">
    <x18tc:text xml:space="preserve">9h sáng nay lên t cho xem</x18tc:text>
  </x18tc:threadedComment>
  <x18tc:threadedComment ref="A1" dT="2017-06-14T08:31:35.00" personId="{f5649a11-0bdc-4f0e-b140-f5f7aa04fe25}" id="{e2ed5fc4-1d3a-4499-9d1e-0e422f404b40}" done="0">
    <x18tc:text xml:space="preserve">nhận xét cái gì đó</x18tc:text>
  </x18tc:threadedComment>
  <x18tc:threadedComment ref="C11" dT="2017-06-14T17:17:57.00" personId="{013bf37e-4e60-4104-b8eb-7e15f852994c}" id="{d663706b-6a14-4359-a5ad-6388297afb9e}" done="0">
    <x18tc:text xml:space="preserve">thầy cho e xem lại bài được ko ạ</x18tc:text>
  </x18tc:threadedComment>
  <x18tc:threadedComment ref="C11" dT="2017-06-15T01:28:09.00" personId="{861fab20-d4d8-4cbc-8587-1bb3c2f958e4}" id="{5cd2b3dd-1c00-45c0-89e9-fecf2de4056b}" parentId="{d663706b-6a14-4359-a5ad-6388297afb9e}">
    <x18tc:text xml:space="preserve">9h sáng nay lên t cho xem</x18tc:text>
  </x18tc:threadedComment>
  <x18tc:threadedComment ref="J18" dT="2017-06-14T08:31:27.00" personId="{460bd2e0-ff32-4b93-a0f8-691f58cd7548}" id="{ed33f70a-81bd-4158-9a7c-b684d323e718}" done="1">
    <x18tc:text xml:space="preserve">thầy ơi cho em xem bài với ạ huhu sao điểm em thấp quá T_T</x18tc:text>
  </x18tc:threadedComment>
  <x18tc:threadedComment ref="J18" dT="2017-06-14T09:11:57.00" personId="{861fab20-d4d8-4cbc-8587-1bb3c2f958e4}" id="{032d01fc-260e-4cfd-8998-f896cad01469}" parentId="{ed33f70a-81bd-4158-9a7c-b684d323e718}">
    <x18tc:text xml:space="preserve">Sáng mai 9h lên BM t cho xem bài.</x18tc:text>
  </x18tc:threadedComment>
  <x18tc:threadedComment ref="J18" dT="2017-06-14T09:24:38.00" personId="{460bd2e0-ff32-4b93-a0f8-691f58cd7548}" id="{586fcfd3-67fd-439a-8ea0-8f000ad7acf9}" parentId="{ed33f70a-81bd-4158-9a7c-b684d323e718}">
    <x18tc:text xml:space="preserve">vâng ạ &lt;3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5.13" defaultRowHeight="15.75"/>
  <cols>
    <col customWidth="1" min="1" max="1" width="5.75"/>
    <col customWidth="1" min="2" max="2" width="14.25"/>
    <col customWidth="1" min="3" max="3" width="21.5"/>
    <col customWidth="1" min="4" max="4" width="14.5"/>
    <col customWidth="1" min="5" max="5" width="8.88"/>
    <col customWidth="1" min="6" max="6" width="9.25"/>
    <col customWidth="1" min="7" max="7" width="10.25"/>
    <col customWidth="1" min="8" max="8" width="9.0"/>
    <col customWidth="1" min="9" max="9" width="10.5"/>
    <col customWidth="1" min="10" max="10" width="8.88"/>
    <col customWidth="1" min="11" max="11" width="8.5"/>
    <col customWidth="1" min="12" max="12" width="7.25"/>
    <col customWidth="1" min="13" max="13" width="7.0"/>
    <col customWidth="1" min="14" max="14" width="6.5"/>
    <col customWidth="1" min="15" max="15" width="15.88"/>
    <col customWidth="1" min="16" max="16" width="9.13"/>
    <col customWidth="1" min="17" max="17" width="7.75"/>
    <col customWidth="1" min="18" max="18" width="8.75"/>
    <col customWidth="1" min="19" max="19" width="10.5"/>
    <col customWidth="1" min="20" max="20" width="22.6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6" t="s">
        <v>14</v>
      </c>
      <c r="P1" s="7" t="s">
        <v>15</v>
      </c>
      <c r="Q1" s="8" t="s">
        <v>16</v>
      </c>
      <c r="R1" s="1" t="s">
        <v>17</v>
      </c>
      <c r="S1" s="1" t="s">
        <v>18</v>
      </c>
      <c r="T1" s="9" t="s">
        <v>19</v>
      </c>
    </row>
    <row r="2" ht="39.75" customHeight="1">
      <c r="A2" s="10" t="s">
        <v>20</v>
      </c>
      <c r="B2" s="11"/>
      <c r="C2" s="11"/>
      <c r="D2" s="12"/>
      <c r="E2" s="13"/>
      <c r="F2" s="14"/>
      <c r="G2" s="15"/>
      <c r="H2" s="16"/>
      <c r="I2" s="17"/>
      <c r="J2" s="18"/>
      <c r="K2" s="19"/>
      <c r="L2" s="20"/>
      <c r="M2" s="21"/>
      <c r="N2" s="22"/>
      <c r="O2" s="23"/>
      <c r="P2" s="24"/>
      <c r="Q2" s="25"/>
      <c r="R2" s="20"/>
      <c r="S2" s="22"/>
      <c r="T2" s="26"/>
    </row>
    <row r="3" ht="19.5" customHeight="1">
      <c r="A3" s="27">
        <v>1.0</v>
      </c>
      <c r="B3" s="28">
        <v>1513460.0</v>
      </c>
      <c r="C3" s="29" t="s">
        <v>21</v>
      </c>
      <c r="D3" s="28" t="s">
        <v>22</v>
      </c>
      <c r="E3" s="30" t="str">
        <f>VLOOKUP(B3,'Điểm giữa kỳ'!$B$2:$G$85,6, false)</f>
        <v/>
      </c>
      <c r="F3" s="30">
        <f>VLOOKUP(B3,'Điểm danh'!$B$2:$M$47,12, FALSE)</f>
        <v>0</v>
      </c>
      <c r="G3" s="31">
        <f t="shared" ref="G3:G17" si="1">if(F3=7, F3/7*10, (F3+1)/7*10)</f>
        <v>1.428571429</v>
      </c>
      <c r="H3" s="32">
        <f t="shared" ref="H3:H44" si="2">ceiling(E3*6/10 + G3*4/10, 0.5)</f>
        <v>1</v>
      </c>
      <c r="I3" s="33" t="str">
        <f t="shared" ref="I3:I44" si="3">if(F3=7,0.5,"")</f>
        <v/>
      </c>
      <c r="J3" s="33" t="str">
        <f>VLOOKUP(B3,'Tính Điểm thi cuối kỳ'!$B$2:$J$47,9, FALSE)</f>
        <v/>
      </c>
      <c r="K3" s="33">
        <f t="shared" ref="K3:K44" si="4">J3+I3</f>
        <v>0</v>
      </c>
      <c r="L3" s="34">
        <f t="shared" ref="L3:L44" si="5">(H3*0.3) +(K3*0.7)</f>
        <v>0.3</v>
      </c>
      <c r="M3" s="35" t="str">
        <f t="shared" ref="M3:M44" si="6">IF((L3&lt;4), "Tạch", "Đạt")</f>
        <v>Tạch</v>
      </c>
      <c r="N3" s="36" t="str">
        <f t="shared" ref="N3:N44" si="7">IF((L3&lt;4),"F", if((L3&lt;5),"D",IF((L3&lt;5.5),"D+",IF((L3&lt;6.5),"C",IF((L3&lt;7),"C+",IF((L3&lt;8),"B",IF((L3&lt;8.5),"B+","A")))))))</f>
        <v>F</v>
      </c>
      <c r="O3" s="37">
        <f t="shared" ref="O3:O44" si="8">IF((N3="F"),(4-L3),IF((N3="D"),(5-L3),IF((N3="D+"),(5.5-L3),IF((N3="C"),(6.5-L3),IF((N3="C+"),(7-L3),IF((N3="B"),(8-L3),IF((N3="B+"),(8.5-L3),"Đã bị điểm A -&gt; Không &lt;nâng&gt; đỡ đc nữa")))))))</f>
        <v>3.7</v>
      </c>
      <c r="P3" s="38" t="str">
        <f t="shared" ref="P3:P44" si="9">if((O3&lt;=0.201),( O3/0.6),"")</f>
        <v/>
      </c>
      <c r="Q3" s="39">
        <f t="shared" ref="Q3:Q44" si="10">ceiling(if((P3&gt;0),(K3+P3),K3),0.5)</f>
        <v>0</v>
      </c>
      <c r="R3" s="40">
        <f t="shared" ref="R3:R44" si="11">(H3*0.3)+(Q3*0.7)</f>
        <v>0.3</v>
      </c>
      <c r="S3" s="36" t="str">
        <f t="shared" ref="S3:S44" si="12">if((P3&gt;0), IF((R3&lt;4),"F", if((R3&lt;5),"D",IF((R3&lt;5.5),"D+",IF((R3&lt;6.5),"C",IF((R3&lt;7),"C+",IF((R3&lt;8),"B",IF((R3&lt;8.5),"B+","A"))))))), "")</f>
        <v>F</v>
      </c>
      <c r="T3" s="41" t="s">
        <v>23</v>
      </c>
    </row>
    <row r="4" ht="19.5" customHeight="1">
      <c r="A4" s="27">
        <v>2.0</v>
      </c>
      <c r="B4" s="28">
        <v>1503561.0</v>
      </c>
      <c r="C4" s="29" t="s">
        <v>24</v>
      </c>
      <c r="D4" s="28" t="s">
        <v>25</v>
      </c>
      <c r="E4" s="30" t="str">
        <f>VLOOKUP(B4,'Điểm giữa kỳ'!$B$2:$G$85,6, false)</f>
        <v/>
      </c>
      <c r="F4" s="30">
        <f>VLOOKUP(B4,'Điểm danh'!$B$2:$M$47,12, FALSE)</f>
        <v>0</v>
      </c>
      <c r="G4" s="31">
        <f t="shared" si="1"/>
        <v>1.428571429</v>
      </c>
      <c r="H4" s="32">
        <f t="shared" si="2"/>
        <v>1</v>
      </c>
      <c r="I4" s="33" t="str">
        <f t="shared" si="3"/>
        <v/>
      </c>
      <c r="J4" s="33" t="str">
        <f>VLOOKUP(B4,'Tính Điểm thi cuối kỳ'!$B$2:$J$47,9, FALSE)</f>
        <v/>
      </c>
      <c r="K4" s="33">
        <f t="shared" si="4"/>
        <v>0</v>
      </c>
      <c r="L4" s="34">
        <f t="shared" si="5"/>
        <v>0.3</v>
      </c>
      <c r="M4" s="35" t="str">
        <f t="shared" si="6"/>
        <v>Tạch</v>
      </c>
      <c r="N4" s="36" t="str">
        <f t="shared" si="7"/>
        <v>F</v>
      </c>
      <c r="O4" s="37">
        <f t="shared" si="8"/>
        <v>3.7</v>
      </c>
      <c r="P4" s="38" t="str">
        <f t="shared" si="9"/>
        <v/>
      </c>
      <c r="Q4" s="39">
        <f t="shared" si="10"/>
        <v>0</v>
      </c>
      <c r="R4" s="40">
        <f t="shared" si="11"/>
        <v>0.3</v>
      </c>
      <c r="S4" s="36" t="str">
        <f t="shared" si="12"/>
        <v>F</v>
      </c>
      <c r="T4" s="41" t="s">
        <v>23</v>
      </c>
    </row>
    <row r="5" ht="19.5" customHeight="1">
      <c r="A5" s="42">
        <v>3.0</v>
      </c>
      <c r="B5" s="43">
        <v>1543960.0</v>
      </c>
      <c r="C5" s="44" t="s">
        <v>26</v>
      </c>
      <c r="D5" s="43" t="s">
        <v>22</v>
      </c>
      <c r="E5" s="45">
        <f>VLOOKUP(B5,'Điểm giữa kỳ'!$B$2:$G$85,6, false)</f>
        <v>7.5</v>
      </c>
      <c r="F5" s="45">
        <f>VLOOKUP(B5,'Điểm danh'!$B$2:$M$47,12, FALSE)</f>
        <v>5.5</v>
      </c>
      <c r="G5" s="46">
        <f t="shared" si="1"/>
        <v>9.285714286</v>
      </c>
      <c r="H5" s="16">
        <f t="shared" si="2"/>
        <v>8.5</v>
      </c>
      <c r="I5" s="47" t="str">
        <f t="shared" si="3"/>
        <v/>
      </c>
      <c r="J5" s="18">
        <f>VLOOKUP(B5,'Tính Điểm thi cuối kỳ'!$B$2:$J$47,9, FALSE)</f>
        <v>5</v>
      </c>
      <c r="K5" s="19">
        <f t="shared" si="4"/>
        <v>5</v>
      </c>
      <c r="L5" s="48">
        <f t="shared" si="5"/>
        <v>6.05</v>
      </c>
      <c r="M5" s="21" t="str">
        <f t="shared" si="6"/>
        <v>Đạt</v>
      </c>
      <c r="N5" s="22" t="str">
        <f t="shared" si="7"/>
        <v>C</v>
      </c>
      <c r="O5" s="23">
        <f t="shared" si="8"/>
        <v>0.45</v>
      </c>
      <c r="P5" s="24" t="str">
        <f t="shared" si="9"/>
        <v/>
      </c>
      <c r="Q5" s="25">
        <f t="shared" si="10"/>
        <v>5</v>
      </c>
      <c r="R5" s="20">
        <f t="shared" si="11"/>
        <v>6.05</v>
      </c>
      <c r="S5" s="22" t="str">
        <f t="shared" si="12"/>
        <v>C</v>
      </c>
      <c r="T5" s="26" t="str">
        <f>if((S5=N5),"","Đã được nâng điểm chữ")</f>
        <v/>
      </c>
    </row>
    <row r="6" ht="19.5" customHeight="1">
      <c r="A6" s="49">
        <v>4.0</v>
      </c>
      <c r="B6" s="50">
        <v>174860.0</v>
      </c>
      <c r="C6" s="44" t="s">
        <v>27</v>
      </c>
      <c r="D6" s="50" t="s">
        <v>22</v>
      </c>
      <c r="E6" s="51">
        <v>4.0</v>
      </c>
      <c r="F6" s="51">
        <f>VLOOKUP(B6,'Điểm danh'!$B$2:$M$47,12, FALSE)</f>
        <v>4</v>
      </c>
      <c r="G6" s="52">
        <f t="shared" si="1"/>
        <v>7.142857143</v>
      </c>
      <c r="H6" s="53">
        <f t="shared" si="2"/>
        <v>5.5</v>
      </c>
      <c r="I6" s="54" t="str">
        <f t="shared" si="3"/>
        <v/>
      </c>
      <c r="J6" s="54">
        <f>VLOOKUP(B6,'Tính Điểm thi cuối kỳ'!$B$2:$J$47,9, FALSE)</f>
        <v>5.5</v>
      </c>
      <c r="K6" s="54">
        <f t="shared" si="4"/>
        <v>5.5</v>
      </c>
      <c r="L6" s="55">
        <f t="shared" si="5"/>
        <v>5.5</v>
      </c>
      <c r="M6" s="56" t="str">
        <f t="shared" si="6"/>
        <v>Đạt</v>
      </c>
      <c r="N6" s="57" t="str">
        <f t="shared" si="7"/>
        <v>C</v>
      </c>
      <c r="O6" s="58">
        <f t="shared" si="8"/>
        <v>1</v>
      </c>
      <c r="P6" s="59" t="str">
        <f t="shared" si="9"/>
        <v/>
      </c>
      <c r="Q6" s="60">
        <f t="shared" si="10"/>
        <v>5.5</v>
      </c>
      <c r="R6" s="61">
        <f t="shared" si="11"/>
        <v>5.5</v>
      </c>
      <c r="S6" s="57" t="str">
        <f t="shared" si="12"/>
        <v>C</v>
      </c>
      <c r="T6" s="41"/>
    </row>
    <row r="7" ht="19.5" customHeight="1">
      <c r="A7" s="42">
        <v>5.0</v>
      </c>
      <c r="B7" s="43">
        <v>9460.0</v>
      </c>
      <c r="C7" s="44" t="s">
        <v>28</v>
      </c>
      <c r="D7" s="43" t="s">
        <v>29</v>
      </c>
      <c r="E7" s="45">
        <f>VLOOKUP(B7,'Điểm giữa kỳ'!$B$2:$G$85,6, false)</f>
        <v>7</v>
      </c>
      <c r="F7" s="45">
        <f>VLOOKUP(B7,'Điểm danh'!$B$2:$M$47,12, FALSE)</f>
        <v>7</v>
      </c>
      <c r="G7" s="46">
        <f t="shared" si="1"/>
        <v>10</v>
      </c>
      <c r="H7" s="16">
        <f t="shared" si="2"/>
        <v>8.5</v>
      </c>
      <c r="I7" s="47">
        <f t="shared" si="3"/>
        <v>0.5</v>
      </c>
      <c r="J7" s="18">
        <f>VLOOKUP(B7,'Tính Điểm thi cuối kỳ'!$B$2:$J$47,9, FALSE)</f>
        <v>9</v>
      </c>
      <c r="K7" s="19">
        <f t="shared" si="4"/>
        <v>9.5</v>
      </c>
      <c r="L7" s="48">
        <f t="shared" si="5"/>
        <v>9.2</v>
      </c>
      <c r="M7" s="21" t="str">
        <f t="shared" si="6"/>
        <v>Đạt</v>
      </c>
      <c r="N7" s="22" t="str">
        <f t="shared" si="7"/>
        <v>A</v>
      </c>
      <c r="O7" s="23" t="str">
        <f t="shared" si="8"/>
        <v>Đã bị điểm A -&gt; Không &lt;nâng&gt; đỡ đc nữa</v>
      </c>
      <c r="P7" s="24" t="str">
        <f t="shared" si="9"/>
        <v/>
      </c>
      <c r="Q7" s="25">
        <f t="shared" si="10"/>
        <v>9.5</v>
      </c>
      <c r="R7" s="20">
        <f t="shared" si="11"/>
        <v>9.2</v>
      </c>
      <c r="S7" s="22" t="str">
        <f t="shared" si="12"/>
        <v>A</v>
      </c>
      <c r="T7" s="26" t="str">
        <f t="shared" ref="T7:T18" si="13">if((S7=N7),"","Đã được nâng điểm chữ")</f>
        <v/>
      </c>
    </row>
    <row r="8" ht="19.5" customHeight="1">
      <c r="A8" s="42">
        <v>6.0</v>
      </c>
      <c r="B8" s="43">
        <v>1506260.0</v>
      </c>
      <c r="C8" s="44" t="s">
        <v>30</v>
      </c>
      <c r="D8" s="43" t="s">
        <v>22</v>
      </c>
      <c r="E8" s="45">
        <f>VLOOKUP(B8,'Điểm giữa kỳ'!$B$2:$G$85,6, false)</f>
        <v>8.5</v>
      </c>
      <c r="F8" s="45">
        <f>VLOOKUP(B8,'Điểm danh'!$B$2:$M$47,12, FALSE)</f>
        <v>7</v>
      </c>
      <c r="G8" s="46">
        <f t="shared" si="1"/>
        <v>10</v>
      </c>
      <c r="H8" s="16">
        <f t="shared" si="2"/>
        <v>9.5</v>
      </c>
      <c r="I8" s="47">
        <f t="shared" si="3"/>
        <v>0.5</v>
      </c>
      <c r="J8" s="18">
        <f>VLOOKUP(B8,'Tính Điểm thi cuối kỳ'!$B$2:$J$47,9, FALSE)</f>
        <v>7.5</v>
      </c>
      <c r="K8" s="19">
        <f t="shared" si="4"/>
        <v>8</v>
      </c>
      <c r="L8" s="48">
        <f t="shared" si="5"/>
        <v>8.45</v>
      </c>
      <c r="M8" s="21" t="str">
        <f t="shared" si="6"/>
        <v>Đạt</v>
      </c>
      <c r="N8" s="22" t="str">
        <f t="shared" si="7"/>
        <v>B+</v>
      </c>
      <c r="O8" s="23">
        <f t="shared" si="8"/>
        <v>0.05</v>
      </c>
      <c r="P8" s="24">
        <f t="shared" si="9"/>
        <v>0.08333333333</v>
      </c>
      <c r="Q8" s="25">
        <f t="shared" si="10"/>
        <v>8.5</v>
      </c>
      <c r="R8" s="20">
        <f t="shared" si="11"/>
        <v>8.8</v>
      </c>
      <c r="S8" s="22" t="str">
        <f t="shared" si="12"/>
        <v>A</v>
      </c>
      <c r="T8" s="26" t="str">
        <f t="shared" si="13"/>
        <v>Đã được nâng điểm chữ</v>
      </c>
    </row>
    <row r="9" ht="19.5" customHeight="1">
      <c r="A9" s="42">
        <v>7.0</v>
      </c>
      <c r="B9" s="43">
        <v>1547360.0</v>
      </c>
      <c r="C9" s="44" t="s">
        <v>31</v>
      </c>
      <c r="D9" s="43" t="s">
        <v>22</v>
      </c>
      <c r="E9" s="45">
        <f>VLOOKUP(B9,'Điểm giữa kỳ'!$B$2:$G$85,6, false)</f>
        <v>5.5</v>
      </c>
      <c r="F9" s="45">
        <f>VLOOKUP(B9,'Điểm danh'!$B$2:$M$47,12, FALSE)</f>
        <v>7</v>
      </c>
      <c r="G9" s="46">
        <f t="shared" si="1"/>
        <v>10</v>
      </c>
      <c r="H9" s="16">
        <f t="shared" si="2"/>
        <v>7.5</v>
      </c>
      <c r="I9" s="47">
        <f t="shared" si="3"/>
        <v>0.5</v>
      </c>
      <c r="J9" s="18">
        <f>VLOOKUP(B9,'Tính Điểm thi cuối kỳ'!$B$2:$J$47,9, FALSE)</f>
        <v>7.5</v>
      </c>
      <c r="K9" s="19">
        <f t="shared" si="4"/>
        <v>8</v>
      </c>
      <c r="L9" s="48">
        <f t="shared" si="5"/>
        <v>7.85</v>
      </c>
      <c r="M9" s="21" t="str">
        <f t="shared" si="6"/>
        <v>Đạt</v>
      </c>
      <c r="N9" s="22" t="str">
        <f t="shared" si="7"/>
        <v>B</v>
      </c>
      <c r="O9" s="23">
        <f t="shared" si="8"/>
        <v>0.15</v>
      </c>
      <c r="P9" s="24">
        <f t="shared" si="9"/>
        <v>0.25</v>
      </c>
      <c r="Q9" s="25">
        <f t="shared" si="10"/>
        <v>8.5</v>
      </c>
      <c r="R9" s="20">
        <f t="shared" si="11"/>
        <v>8.2</v>
      </c>
      <c r="S9" s="22" t="str">
        <f t="shared" si="12"/>
        <v>B+</v>
      </c>
      <c r="T9" s="26" t="str">
        <f t="shared" si="13"/>
        <v>Đã được nâng điểm chữ</v>
      </c>
    </row>
    <row r="10" ht="19.5" customHeight="1">
      <c r="A10" s="42">
        <v>8.0</v>
      </c>
      <c r="B10" s="43">
        <v>127160.0</v>
      </c>
      <c r="C10" s="44" t="s">
        <v>32</v>
      </c>
      <c r="D10" s="43" t="s">
        <v>22</v>
      </c>
      <c r="E10" s="45">
        <f>VLOOKUP(B10,'Điểm giữa kỳ'!$B$2:$G$85,6, false)</f>
        <v>8</v>
      </c>
      <c r="F10" s="45">
        <f>VLOOKUP(B10,'Điểm danh'!$B$2:$M$47,12, FALSE)</f>
        <v>3</v>
      </c>
      <c r="G10" s="46">
        <f t="shared" si="1"/>
        <v>5.714285714</v>
      </c>
      <c r="H10" s="16">
        <f t="shared" si="2"/>
        <v>7.5</v>
      </c>
      <c r="I10" s="47" t="str">
        <f t="shared" si="3"/>
        <v/>
      </c>
      <c r="J10" s="18">
        <v>4.0</v>
      </c>
      <c r="K10" s="19">
        <f t="shared" si="4"/>
        <v>4</v>
      </c>
      <c r="L10" s="48">
        <f t="shared" si="5"/>
        <v>5.05</v>
      </c>
      <c r="M10" s="21" t="str">
        <f t="shared" si="6"/>
        <v>Đạt</v>
      </c>
      <c r="N10" s="22" t="str">
        <f t="shared" si="7"/>
        <v>D+</v>
      </c>
      <c r="O10" s="23">
        <f t="shared" si="8"/>
        <v>0.45</v>
      </c>
      <c r="P10" s="24" t="str">
        <f t="shared" si="9"/>
        <v/>
      </c>
      <c r="Q10" s="25">
        <f t="shared" si="10"/>
        <v>4</v>
      </c>
      <c r="R10" s="20">
        <f t="shared" si="11"/>
        <v>5.05</v>
      </c>
      <c r="S10" s="22" t="str">
        <f t="shared" si="12"/>
        <v>D+</v>
      </c>
      <c r="T10" s="26" t="str">
        <f t="shared" si="13"/>
        <v/>
      </c>
    </row>
    <row r="11" ht="19.5" customHeight="1">
      <c r="A11" s="62">
        <v>9.0</v>
      </c>
      <c r="B11" s="63">
        <v>1533860.0</v>
      </c>
      <c r="C11" s="64" t="s">
        <v>33</v>
      </c>
      <c r="D11" s="63" t="s">
        <v>22</v>
      </c>
      <c r="E11" s="65">
        <f>VLOOKUP(B11,'Điểm giữa kỳ'!$B$2:$G$85,6, false)</f>
        <v>5.5</v>
      </c>
      <c r="F11" s="65">
        <f>VLOOKUP(B11,'Điểm danh'!$B$2:$M$47,12, FALSE)</f>
        <v>5.5</v>
      </c>
      <c r="G11" s="66">
        <f t="shared" si="1"/>
        <v>9.285714286</v>
      </c>
      <c r="H11" s="67">
        <f t="shared" si="2"/>
        <v>7.5</v>
      </c>
      <c r="I11" s="68" t="str">
        <f t="shared" si="3"/>
        <v/>
      </c>
      <c r="J11" s="68">
        <f>VLOOKUP(B11,'Tính Điểm thi cuối kỳ'!$B$2:$J$47,9, FALSE)</f>
        <v>2</v>
      </c>
      <c r="K11" s="68">
        <f t="shared" si="4"/>
        <v>2</v>
      </c>
      <c r="L11" s="69">
        <f t="shared" si="5"/>
        <v>3.65</v>
      </c>
      <c r="M11" s="70" t="str">
        <f t="shared" si="6"/>
        <v>Tạch</v>
      </c>
      <c r="N11" s="71" t="str">
        <f t="shared" si="7"/>
        <v>F</v>
      </c>
      <c r="O11" s="72">
        <f t="shared" si="8"/>
        <v>0.35</v>
      </c>
      <c r="P11" s="73" t="str">
        <f t="shared" si="9"/>
        <v/>
      </c>
      <c r="Q11" s="74">
        <f t="shared" si="10"/>
        <v>2</v>
      </c>
      <c r="R11" s="75">
        <f t="shared" si="11"/>
        <v>3.65</v>
      </c>
      <c r="S11" s="71" t="str">
        <f t="shared" si="12"/>
        <v>F</v>
      </c>
      <c r="T11" s="76" t="str">
        <f t="shared" si="13"/>
        <v/>
      </c>
    </row>
    <row r="12" ht="19.5" customHeight="1">
      <c r="A12" s="42">
        <v>10.0</v>
      </c>
      <c r="B12" s="43">
        <v>130260.0</v>
      </c>
      <c r="C12" s="44" t="s">
        <v>34</v>
      </c>
      <c r="D12" s="43" t="s">
        <v>22</v>
      </c>
      <c r="E12" s="45">
        <f>VLOOKUP(B12,'Điểm giữa kỳ'!$B$2:$G$85,6, false)</f>
        <v>6.5</v>
      </c>
      <c r="F12" s="45">
        <f>VLOOKUP(B12,'Điểm danh'!$B$2:$M$47,12, FALSE)</f>
        <v>6</v>
      </c>
      <c r="G12" s="46">
        <f t="shared" si="1"/>
        <v>10</v>
      </c>
      <c r="H12" s="16">
        <f t="shared" si="2"/>
        <v>8</v>
      </c>
      <c r="I12" s="47" t="str">
        <f t="shared" si="3"/>
        <v/>
      </c>
      <c r="J12" s="18">
        <f>VLOOKUP(B12,'Tính Điểm thi cuối kỳ'!$B$2:$J$47,9, FALSE)</f>
        <v>6</v>
      </c>
      <c r="K12" s="19">
        <f t="shared" si="4"/>
        <v>6</v>
      </c>
      <c r="L12" s="48">
        <f t="shared" si="5"/>
        <v>6.6</v>
      </c>
      <c r="M12" s="21" t="str">
        <f t="shared" si="6"/>
        <v>Đạt</v>
      </c>
      <c r="N12" s="22" t="str">
        <f t="shared" si="7"/>
        <v>C+</v>
      </c>
      <c r="O12" s="23">
        <f t="shared" si="8"/>
        <v>0.4</v>
      </c>
      <c r="P12" s="24" t="str">
        <f t="shared" si="9"/>
        <v/>
      </c>
      <c r="Q12" s="25">
        <f t="shared" si="10"/>
        <v>6</v>
      </c>
      <c r="R12" s="20">
        <f t="shared" si="11"/>
        <v>6.6</v>
      </c>
      <c r="S12" s="22" t="str">
        <f t="shared" si="12"/>
        <v>C+</v>
      </c>
      <c r="T12" s="26" t="str">
        <f t="shared" si="13"/>
        <v/>
      </c>
    </row>
    <row r="13" ht="19.5" customHeight="1">
      <c r="A13" s="42">
        <v>11.0</v>
      </c>
      <c r="B13" s="43">
        <v>111060.0</v>
      </c>
      <c r="C13" s="44" t="s">
        <v>35</v>
      </c>
      <c r="D13" s="43" t="s">
        <v>22</v>
      </c>
      <c r="E13" s="45">
        <f>VLOOKUP(B13,'Điểm giữa kỳ'!$B$2:$G$85,6, false)</f>
        <v>5</v>
      </c>
      <c r="F13" s="45">
        <f>VLOOKUP(B13,'Điểm danh'!$B$2:$M$47,12, FALSE)</f>
        <v>7</v>
      </c>
      <c r="G13" s="46">
        <f t="shared" si="1"/>
        <v>10</v>
      </c>
      <c r="H13" s="16">
        <f t="shared" si="2"/>
        <v>7</v>
      </c>
      <c r="I13" s="47">
        <f t="shared" si="3"/>
        <v>0.5</v>
      </c>
      <c r="J13" s="18">
        <f>VLOOKUP(B13,'Tính Điểm thi cuối kỳ'!$B$2:$J$47,9, FALSE)</f>
        <v>5.5</v>
      </c>
      <c r="K13" s="19">
        <f t="shared" si="4"/>
        <v>6</v>
      </c>
      <c r="L13" s="48">
        <f t="shared" si="5"/>
        <v>6.3</v>
      </c>
      <c r="M13" s="21" t="str">
        <f t="shared" si="6"/>
        <v>Đạt</v>
      </c>
      <c r="N13" s="22" t="str">
        <f t="shared" si="7"/>
        <v>C</v>
      </c>
      <c r="O13" s="23">
        <f t="shared" si="8"/>
        <v>0.2</v>
      </c>
      <c r="P13" s="24">
        <f t="shared" si="9"/>
        <v>0.3333333333</v>
      </c>
      <c r="Q13" s="25">
        <f t="shared" si="10"/>
        <v>6.5</v>
      </c>
      <c r="R13" s="20">
        <f t="shared" si="11"/>
        <v>6.65</v>
      </c>
      <c r="S13" s="22" t="str">
        <f t="shared" si="12"/>
        <v>C+</v>
      </c>
      <c r="T13" s="26" t="str">
        <f t="shared" si="13"/>
        <v>Đã được nâng điểm chữ</v>
      </c>
    </row>
    <row r="14" ht="19.5" customHeight="1">
      <c r="A14" s="42">
        <v>12.0</v>
      </c>
      <c r="B14" s="43">
        <v>1518860.0</v>
      </c>
      <c r="C14" s="44" t="s">
        <v>36</v>
      </c>
      <c r="D14" s="43" t="s">
        <v>22</v>
      </c>
      <c r="E14" s="45">
        <f>VLOOKUP(B14,'Điểm giữa kỳ'!$B$2:$G$85,6, false)</f>
        <v>7.5</v>
      </c>
      <c r="F14" s="45">
        <f>VLOOKUP(B14,'Điểm danh'!$B$2:$M$47,12, FALSE)</f>
        <v>7</v>
      </c>
      <c r="G14" s="46">
        <f t="shared" si="1"/>
        <v>10</v>
      </c>
      <c r="H14" s="16">
        <f t="shared" si="2"/>
        <v>8.5</v>
      </c>
      <c r="I14" s="47">
        <f t="shared" si="3"/>
        <v>0.5</v>
      </c>
      <c r="J14" s="18">
        <f>VLOOKUP(B14,'Tính Điểm thi cuối kỳ'!$B$2:$J$47,9, FALSE)</f>
        <v>4</v>
      </c>
      <c r="K14" s="19">
        <f t="shared" si="4"/>
        <v>4.5</v>
      </c>
      <c r="L14" s="48">
        <f t="shared" si="5"/>
        <v>5.7</v>
      </c>
      <c r="M14" s="21" t="str">
        <f t="shared" si="6"/>
        <v>Đạt</v>
      </c>
      <c r="N14" s="22" t="str">
        <f t="shared" si="7"/>
        <v>C</v>
      </c>
      <c r="O14" s="23">
        <f t="shared" si="8"/>
        <v>0.8</v>
      </c>
      <c r="P14" s="24" t="str">
        <f t="shared" si="9"/>
        <v/>
      </c>
      <c r="Q14" s="25">
        <f t="shared" si="10"/>
        <v>4.5</v>
      </c>
      <c r="R14" s="20">
        <f t="shared" si="11"/>
        <v>5.7</v>
      </c>
      <c r="S14" s="22" t="str">
        <f t="shared" si="12"/>
        <v>C</v>
      </c>
      <c r="T14" s="26" t="str">
        <f t="shared" si="13"/>
        <v/>
      </c>
    </row>
    <row r="15" ht="19.5" customHeight="1">
      <c r="A15" s="42">
        <v>13.0</v>
      </c>
      <c r="B15" s="43">
        <v>1506357.0</v>
      </c>
      <c r="C15" s="44" t="s">
        <v>37</v>
      </c>
      <c r="D15" s="43" t="s">
        <v>38</v>
      </c>
      <c r="E15" s="45">
        <f>VLOOKUP(B15,'Điểm giữa kỳ'!$B$2:$G$85,6, false)</f>
        <v>6</v>
      </c>
      <c r="F15" s="45">
        <f>VLOOKUP(B15,'Điểm danh'!$B$2:$M$47,12, FALSE)</f>
        <v>3.5</v>
      </c>
      <c r="G15" s="46">
        <f t="shared" si="1"/>
        <v>6.428571429</v>
      </c>
      <c r="H15" s="16">
        <f t="shared" si="2"/>
        <v>6.5</v>
      </c>
      <c r="I15" s="47" t="str">
        <f t="shared" si="3"/>
        <v/>
      </c>
      <c r="J15" s="18">
        <f>VLOOKUP(B15,'Tính Điểm thi cuối kỳ'!$B$2:$J$47,9, FALSE)</f>
        <v>3</v>
      </c>
      <c r="K15" s="19">
        <f t="shared" si="4"/>
        <v>3</v>
      </c>
      <c r="L15" s="48">
        <f t="shared" si="5"/>
        <v>4.05</v>
      </c>
      <c r="M15" s="21" t="str">
        <f t="shared" si="6"/>
        <v>Đạt</v>
      </c>
      <c r="N15" s="22" t="str">
        <f t="shared" si="7"/>
        <v>D</v>
      </c>
      <c r="O15" s="23">
        <f t="shared" si="8"/>
        <v>0.95</v>
      </c>
      <c r="P15" s="24" t="str">
        <f t="shared" si="9"/>
        <v/>
      </c>
      <c r="Q15" s="25">
        <f t="shared" si="10"/>
        <v>3</v>
      </c>
      <c r="R15" s="20">
        <f t="shared" si="11"/>
        <v>4.05</v>
      </c>
      <c r="S15" s="22" t="str">
        <f t="shared" si="12"/>
        <v>D</v>
      </c>
      <c r="T15" s="26" t="str">
        <f t="shared" si="13"/>
        <v/>
      </c>
    </row>
    <row r="16" ht="19.5" customHeight="1">
      <c r="A16" s="42">
        <v>14.0</v>
      </c>
      <c r="B16" s="43">
        <v>1535160.0</v>
      </c>
      <c r="C16" s="44" t="s">
        <v>39</v>
      </c>
      <c r="D16" s="43" t="s">
        <v>22</v>
      </c>
      <c r="E16" s="45">
        <f>VLOOKUP(B16,'Điểm giữa kỳ'!$B$2:$G$85,6, false)</f>
        <v>7.5</v>
      </c>
      <c r="F16" s="45">
        <f>VLOOKUP(B16,'Điểm danh'!$B$2:$M$47,12, FALSE)</f>
        <v>6</v>
      </c>
      <c r="G16" s="46">
        <f t="shared" si="1"/>
        <v>10</v>
      </c>
      <c r="H16" s="16">
        <f t="shared" si="2"/>
        <v>8.5</v>
      </c>
      <c r="I16" s="47" t="str">
        <f t="shared" si="3"/>
        <v/>
      </c>
      <c r="J16" s="18">
        <f>VLOOKUP(B16,'Tính Điểm thi cuối kỳ'!$B$2:$J$47,9, FALSE)</f>
        <v>4</v>
      </c>
      <c r="K16" s="19">
        <f t="shared" si="4"/>
        <v>4</v>
      </c>
      <c r="L16" s="48">
        <f t="shared" si="5"/>
        <v>5.35</v>
      </c>
      <c r="M16" s="21" t="str">
        <f t="shared" si="6"/>
        <v>Đạt</v>
      </c>
      <c r="N16" s="22" t="str">
        <f t="shared" si="7"/>
        <v>D+</v>
      </c>
      <c r="O16" s="23">
        <f t="shared" si="8"/>
        <v>0.15</v>
      </c>
      <c r="P16" s="24">
        <f t="shared" si="9"/>
        <v>0.25</v>
      </c>
      <c r="Q16" s="25">
        <f t="shared" si="10"/>
        <v>4.5</v>
      </c>
      <c r="R16" s="20">
        <f t="shared" si="11"/>
        <v>5.7</v>
      </c>
      <c r="S16" s="22" t="str">
        <f t="shared" si="12"/>
        <v>C</v>
      </c>
      <c r="T16" s="26" t="str">
        <f t="shared" si="13"/>
        <v>Đã được nâng điểm chữ</v>
      </c>
    </row>
    <row r="17" ht="19.5" customHeight="1">
      <c r="A17" s="42">
        <v>15.0</v>
      </c>
      <c r="B17" s="43">
        <v>170060.0</v>
      </c>
      <c r="C17" s="44" t="s">
        <v>40</v>
      </c>
      <c r="D17" s="43" t="s">
        <v>22</v>
      </c>
      <c r="E17" s="45">
        <f>VLOOKUP(B17,'Điểm giữa kỳ'!$B$2:$G$85,6, false)</f>
        <v>7.5</v>
      </c>
      <c r="F17" s="45">
        <f>VLOOKUP(B17,'Điểm danh'!$B$2:$M$47,12, FALSE)</f>
        <v>7</v>
      </c>
      <c r="G17" s="46">
        <f t="shared" si="1"/>
        <v>10</v>
      </c>
      <c r="H17" s="16">
        <f t="shared" si="2"/>
        <v>8.5</v>
      </c>
      <c r="I17" s="47">
        <f t="shared" si="3"/>
        <v>0.5</v>
      </c>
      <c r="J17" s="18">
        <f>VLOOKUP(B17,'Tính Điểm thi cuối kỳ'!$B$2:$J$47,9, FALSE)</f>
        <v>5.5</v>
      </c>
      <c r="K17" s="19">
        <f t="shared" si="4"/>
        <v>6</v>
      </c>
      <c r="L17" s="48">
        <f t="shared" si="5"/>
        <v>6.75</v>
      </c>
      <c r="M17" s="21" t="str">
        <f t="shared" si="6"/>
        <v>Đạt</v>
      </c>
      <c r="N17" s="22" t="str">
        <f t="shared" si="7"/>
        <v>C+</v>
      </c>
      <c r="O17" s="23">
        <f t="shared" si="8"/>
        <v>0.25</v>
      </c>
      <c r="P17" s="24" t="str">
        <f t="shared" si="9"/>
        <v/>
      </c>
      <c r="Q17" s="25">
        <f t="shared" si="10"/>
        <v>6</v>
      </c>
      <c r="R17" s="20">
        <f t="shared" si="11"/>
        <v>6.75</v>
      </c>
      <c r="S17" s="22" t="str">
        <f t="shared" si="12"/>
        <v>C+</v>
      </c>
      <c r="T17" s="26" t="str">
        <f t="shared" si="13"/>
        <v/>
      </c>
    </row>
    <row r="18" ht="19.5" customHeight="1">
      <c r="A18" s="62">
        <v>16.0</v>
      </c>
      <c r="B18" s="63">
        <v>1511460.0</v>
      </c>
      <c r="C18" s="64" t="s">
        <v>41</v>
      </c>
      <c r="D18" s="63" t="s">
        <v>22</v>
      </c>
      <c r="E18" s="65">
        <f>VLOOKUP(B18,'Điểm giữa kỳ'!$B$2:$G$85,6, false)</f>
        <v>8</v>
      </c>
      <c r="F18" s="65">
        <f>VLOOKUP(B18,'Điểm danh'!$B$2:$M$47,12, FALSE)</f>
        <v>6.5</v>
      </c>
      <c r="G18" s="77">
        <v>10.0</v>
      </c>
      <c r="H18" s="67">
        <f t="shared" si="2"/>
        <v>9</v>
      </c>
      <c r="I18" s="68" t="str">
        <f t="shared" si="3"/>
        <v/>
      </c>
      <c r="J18" s="68">
        <f>VLOOKUP(B18,'Tính Điểm thi cuối kỳ'!$B$2:$J$47,9, FALSE)</f>
        <v>5.5</v>
      </c>
      <c r="K18" s="68">
        <f t="shared" si="4"/>
        <v>5.5</v>
      </c>
      <c r="L18" s="69">
        <f t="shared" si="5"/>
        <v>6.55</v>
      </c>
      <c r="M18" s="70" t="str">
        <f t="shared" si="6"/>
        <v>Đạt</v>
      </c>
      <c r="N18" s="71" t="str">
        <f t="shared" si="7"/>
        <v>C+</v>
      </c>
      <c r="O18" s="72">
        <f t="shared" si="8"/>
        <v>0.45</v>
      </c>
      <c r="P18" s="73" t="str">
        <f t="shared" si="9"/>
        <v/>
      </c>
      <c r="Q18" s="74">
        <f t="shared" si="10"/>
        <v>5.5</v>
      </c>
      <c r="R18" s="75">
        <f t="shared" si="11"/>
        <v>6.55</v>
      </c>
      <c r="S18" s="71" t="str">
        <f t="shared" si="12"/>
        <v>C+</v>
      </c>
      <c r="T18" s="76" t="str">
        <f t="shared" si="13"/>
        <v/>
      </c>
    </row>
    <row r="19" ht="19.5" customHeight="1">
      <c r="A19" s="27">
        <v>17.0</v>
      </c>
      <c r="B19" s="28">
        <v>1565360.0</v>
      </c>
      <c r="C19" s="29" t="s">
        <v>42</v>
      </c>
      <c r="D19" s="28" t="s">
        <v>22</v>
      </c>
      <c r="E19" s="30" t="str">
        <f>VLOOKUP(B19,'Điểm giữa kỳ'!$B$2:$G$85,6, false)</f>
        <v/>
      </c>
      <c r="F19" s="30">
        <f>VLOOKUP(B19,'Điểm danh'!$B$2:$M$47,12, FALSE)</f>
        <v>0</v>
      </c>
      <c r="G19" s="31">
        <f t="shared" ref="G19:G44" si="14">if(F19=7, F19/7*10, (F19+1)/7*10)</f>
        <v>1.428571429</v>
      </c>
      <c r="H19" s="32">
        <f t="shared" si="2"/>
        <v>1</v>
      </c>
      <c r="I19" s="33" t="str">
        <f t="shared" si="3"/>
        <v/>
      </c>
      <c r="J19" s="33" t="str">
        <f>VLOOKUP(B19,'Tính Điểm thi cuối kỳ'!$B$2:$J$47,9, FALSE)</f>
        <v/>
      </c>
      <c r="K19" s="33">
        <f t="shared" si="4"/>
        <v>0</v>
      </c>
      <c r="L19" s="34">
        <f t="shared" si="5"/>
        <v>0.3</v>
      </c>
      <c r="M19" s="35" t="str">
        <f t="shared" si="6"/>
        <v>Tạch</v>
      </c>
      <c r="N19" s="36" t="str">
        <f t="shared" si="7"/>
        <v>F</v>
      </c>
      <c r="O19" s="37">
        <f t="shared" si="8"/>
        <v>3.7</v>
      </c>
      <c r="P19" s="38" t="str">
        <f t="shared" si="9"/>
        <v/>
      </c>
      <c r="Q19" s="39">
        <f t="shared" si="10"/>
        <v>0</v>
      </c>
      <c r="R19" s="40">
        <f t="shared" si="11"/>
        <v>0.3</v>
      </c>
      <c r="S19" s="36" t="str">
        <f t="shared" si="12"/>
        <v>F</v>
      </c>
      <c r="T19" s="41" t="s">
        <v>23</v>
      </c>
    </row>
    <row r="20" ht="19.5" customHeight="1">
      <c r="A20" s="27">
        <v>18.0</v>
      </c>
      <c r="B20" s="28">
        <v>1504559.0</v>
      </c>
      <c r="C20" s="29" t="s">
        <v>43</v>
      </c>
      <c r="D20" s="28" t="s">
        <v>44</v>
      </c>
      <c r="E20" s="30" t="str">
        <f>VLOOKUP(B20,'Điểm giữa kỳ'!$B$2:$G$85,6, false)</f>
        <v/>
      </c>
      <c r="F20" s="30">
        <f>VLOOKUP(B20,'Điểm danh'!$B$2:$M$47,12, FALSE)</f>
        <v>2</v>
      </c>
      <c r="G20" s="31">
        <f t="shared" si="14"/>
        <v>4.285714286</v>
      </c>
      <c r="H20" s="32">
        <f t="shared" si="2"/>
        <v>2</v>
      </c>
      <c r="I20" s="33" t="str">
        <f t="shared" si="3"/>
        <v/>
      </c>
      <c r="J20" s="33" t="str">
        <f>VLOOKUP(B20,'Tính Điểm thi cuối kỳ'!$B$2:$J$47,9, FALSE)</f>
        <v/>
      </c>
      <c r="K20" s="33">
        <f t="shared" si="4"/>
        <v>0</v>
      </c>
      <c r="L20" s="34">
        <f t="shared" si="5"/>
        <v>0.6</v>
      </c>
      <c r="M20" s="35" t="str">
        <f t="shared" si="6"/>
        <v>Tạch</v>
      </c>
      <c r="N20" s="36" t="str">
        <f t="shared" si="7"/>
        <v>F</v>
      </c>
      <c r="O20" s="37">
        <f t="shared" si="8"/>
        <v>3.4</v>
      </c>
      <c r="P20" s="38" t="str">
        <f t="shared" si="9"/>
        <v/>
      </c>
      <c r="Q20" s="39">
        <f t="shared" si="10"/>
        <v>0</v>
      </c>
      <c r="R20" s="40">
        <f t="shared" si="11"/>
        <v>0.6</v>
      </c>
      <c r="S20" s="36" t="str">
        <f t="shared" si="12"/>
        <v>F</v>
      </c>
      <c r="T20" s="41" t="s">
        <v>23</v>
      </c>
    </row>
    <row r="21" ht="19.5" customHeight="1">
      <c r="A21" s="42">
        <v>19.0</v>
      </c>
      <c r="B21" s="43">
        <v>1519760.0</v>
      </c>
      <c r="C21" s="44" t="s">
        <v>45</v>
      </c>
      <c r="D21" s="43" t="s">
        <v>22</v>
      </c>
      <c r="E21" s="45">
        <f>VLOOKUP(B21,'Điểm giữa kỳ'!$B$2:$G$85,6, false)</f>
        <v>7.5</v>
      </c>
      <c r="F21" s="45">
        <f>VLOOKUP(B21,'Điểm danh'!$B$2:$M$47,12, FALSE)</f>
        <v>7</v>
      </c>
      <c r="G21" s="46">
        <f t="shared" si="14"/>
        <v>10</v>
      </c>
      <c r="H21" s="16">
        <f t="shared" si="2"/>
        <v>8.5</v>
      </c>
      <c r="I21" s="47">
        <f t="shared" si="3"/>
        <v>0.5</v>
      </c>
      <c r="J21" s="18">
        <f>VLOOKUP(B21,'Tính Điểm thi cuối kỳ'!$B$2:$J$47,9, FALSE)</f>
        <v>6</v>
      </c>
      <c r="K21" s="19">
        <f t="shared" si="4"/>
        <v>6.5</v>
      </c>
      <c r="L21" s="48">
        <f t="shared" si="5"/>
        <v>7.1</v>
      </c>
      <c r="M21" s="21" t="str">
        <f t="shared" si="6"/>
        <v>Đạt</v>
      </c>
      <c r="N21" s="22" t="str">
        <f t="shared" si="7"/>
        <v>B</v>
      </c>
      <c r="O21" s="23">
        <f t="shared" si="8"/>
        <v>0.9</v>
      </c>
      <c r="P21" s="24" t="str">
        <f t="shared" si="9"/>
        <v/>
      </c>
      <c r="Q21" s="25">
        <f t="shared" si="10"/>
        <v>6.5</v>
      </c>
      <c r="R21" s="20">
        <f t="shared" si="11"/>
        <v>7.1</v>
      </c>
      <c r="S21" s="22" t="str">
        <f t="shared" si="12"/>
        <v>B</v>
      </c>
      <c r="T21" s="26" t="str">
        <f t="shared" ref="T21:T29" si="15">if((S21=N21),"","Đã được nâng điểm chữ")</f>
        <v/>
      </c>
    </row>
    <row r="22" ht="19.5" customHeight="1">
      <c r="A22" s="62">
        <v>20.0</v>
      </c>
      <c r="B22" s="63">
        <v>1539760.0</v>
      </c>
      <c r="C22" s="64" t="s">
        <v>46</v>
      </c>
      <c r="D22" s="63" t="s">
        <v>22</v>
      </c>
      <c r="E22" s="65">
        <f>VLOOKUP(B22,'Điểm giữa kỳ'!$B$2:$G$85,6, false)</f>
        <v>8</v>
      </c>
      <c r="F22" s="65">
        <f>VLOOKUP(B22,'Điểm danh'!$B$2:$M$47,12, FALSE)</f>
        <v>7</v>
      </c>
      <c r="G22" s="66">
        <f t="shared" si="14"/>
        <v>10</v>
      </c>
      <c r="H22" s="67">
        <f t="shared" si="2"/>
        <v>9</v>
      </c>
      <c r="I22" s="68">
        <f t="shared" si="3"/>
        <v>0.5</v>
      </c>
      <c r="J22" s="68">
        <f>VLOOKUP(B22,'Tính Điểm thi cuối kỳ'!$B$2:$J$47,9, FALSE)</f>
        <v>5.5</v>
      </c>
      <c r="K22" s="68">
        <f t="shared" si="4"/>
        <v>6</v>
      </c>
      <c r="L22" s="69">
        <f t="shared" si="5"/>
        <v>6.9</v>
      </c>
      <c r="M22" s="70" t="str">
        <f t="shared" si="6"/>
        <v>Đạt</v>
      </c>
      <c r="N22" s="71" t="str">
        <f t="shared" si="7"/>
        <v>C+</v>
      </c>
      <c r="O22" s="72">
        <f t="shared" si="8"/>
        <v>0.1</v>
      </c>
      <c r="P22" s="73">
        <f t="shared" si="9"/>
        <v>0.1666666667</v>
      </c>
      <c r="Q22" s="74">
        <f t="shared" si="10"/>
        <v>6.5</v>
      </c>
      <c r="R22" s="75">
        <f t="shared" si="11"/>
        <v>7.25</v>
      </c>
      <c r="S22" s="71" t="str">
        <f t="shared" si="12"/>
        <v>B</v>
      </c>
      <c r="T22" s="76" t="str">
        <f t="shared" si="15"/>
        <v>Đã được nâng điểm chữ</v>
      </c>
    </row>
    <row r="23" ht="19.5" customHeight="1">
      <c r="A23" s="42">
        <v>21.0</v>
      </c>
      <c r="B23" s="43">
        <v>1512660.0</v>
      </c>
      <c r="C23" s="44" t="s">
        <v>47</v>
      </c>
      <c r="D23" s="43" t="s">
        <v>22</v>
      </c>
      <c r="E23" s="45">
        <f>VLOOKUP(B23,'Điểm giữa kỳ'!$B$2:$G$85,6, false) + 0.5</f>
        <v>9.5</v>
      </c>
      <c r="F23" s="45">
        <f>VLOOKUP(B23,'Điểm danh'!$B$2:$M$47,12, FALSE)</f>
        <v>7</v>
      </c>
      <c r="G23" s="46">
        <f t="shared" si="14"/>
        <v>10</v>
      </c>
      <c r="H23" s="16">
        <f t="shared" si="2"/>
        <v>10</v>
      </c>
      <c r="I23" s="47">
        <f t="shared" si="3"/>
        <v>0.5</v>
      </c>
      <c r="J23" s="18">
        <f>VLOOKUP(B23,'Tính Điểm thi cuối kỳ'!$B$2:$J$47,9, FALSE)</f>
        <v>9</v>
      </c>
      <c r="K23" s="19">
        <f t="shared" si="4"/>
        <v>9.5</v>
      </c>
      <c r="L23" s="48">
        <f t="shared" si="5"/>
        <v>9.65</v>
      </c>
      <c r="M23" s="21" t="str">
        <f t="shared" si="6"/>
        <v>Đạt</v>
      </c>
      <c r="N23" s="22" t="str">
        <f t="shared" si="7"/>
        <v>A</v>
      </c>
      <c r="O23" s="23" t="str">
        <f t="shared" si="8"/>
        <v>Đã bị điểm A -&gt; Không &lt;nâng&gt; đỡ đc nữa</v>
      </c>
      <c r="P23" s="24" t="str">
        <f t="shared" si="9"/>
        <v/>
      </c>
      <c r="Q23" s="25">
        <f t="shared" si="10"/>
        <v>9.5</v>
      </c>
      <c r="R23" s="20">
        <f t="shared" si="11"/>
        <v>9.65</v>
      </c>
      <c r="S23" s="22" t="str">
        <f t="shared" si="12"/>
        <v>A</v>
      </c>
      <c r="T23" s="26" t="str">
        <f t="shared" si="15"/>
        <v/>
      </c>
    </row>
    <row r="24" ht="19.5" customHeight="1">
      <c r="A24" s="42">
        <v>22.0</v>
      </c>
      <c r="B24" s="43">
        <v>1536360.0</v>
      </c>
      <c r="C24" s="44" t="s">
        <v>48</v>
      </c>
      <c r="D24" s="43" t="s">
        <v>22</v>
      </c>
      <c r="E24" s="45">
        <f>VLOOKUP(B24,'Điểm giữa kỳ'!$B$2:$G$85,6, false)</f>
        <v>6</v>
      </c>
      <c r="F24" s="45">
        <f>VLOOKUP(B24,'Điểm danh'!$B$2:$M$47,12, FALSE)</f>
        <v>7</v>
      </c>
      <c r="G24" s="46">
        <f t="shared" si="14"/>
        <v>10</v>
      </c>
      <c r="H24" s="16">
        <f t="shared" si="2"/>
        <v>8</v>
      </c>
      <c r="I24" s="47">
        <f t="shared" si="3"/>
        <v>0.5</v>
      </c>
      <c r="J24" s="18">
        <f>VLOOKUP(B24,'Tính Điểm thi cuối kỳ'!$B$2:$J$47,9, FALSE)</f>
        <v>9</v>
      </c>
      <c r="K24" s="19">
        <f t="shared" si="4"/>
        <v>9.5</v>
      </c>
      <c r="L24" s="48">
        <f t="shared" si="5"/>
        <v>9.05</v>
      </c>
      <c r="M24" s="21" t="str">
        <f t="shared" si="6"/>
        <v>Đạt</v>
      </c>
      <c r="N24" s="22" t="str">
        <f t="shared" si="7"/>
        <v>A</v>
      </c>
      <c r="O24" s="23" t="str">
        <f t="shared" si="8"/>
        <v>Đã bị điểm A -&gt; Không &lt;nâng&gt; đỡ đc nữa</v>
      </c>
      <c r="P24" s="24" t="str">
        <f t="shared" si="9"/>
        <v/>
      </c>
      <c r="Q24" s="25">
        <f t="shared" si="10"/>
        <v>9.5</v>
      </c>
      <c r="R24" s="20">
        <f t="shared" si="11"/>
        <v>9.05</v>
      </c>
      <c r="S24" s="22" t="str">
        <f t="shared" si="12"/>
        <v>A</v>
      </c>
      <c r="T24" s="26" t="str">
        <f t="shared" si="15"/>
        <v/>
      </c>
    </row>
    <row r="25" ht="19.5" customHeight="1">
      <c r="A25" s="42">
        <v>23.0</v>
      </c>
      <c r="B25" s="43">
        <v>1538660.0</v>
      </c>
      <c r="C25" s="44" t="s">
        <v>49</v>
      </c>
      <c r="D25" s="43" t="s">
        <v>22</v>
      </c>
      <c r="E25" s="45">
        <f>VLOOKUP(B25,'Điểm giữa kỳ'!$B$2:$G$85,6, false)</f>
        <v>8</v>
      </c>
      <c r="F25" s="45">
        <f>VLOOKUP(B25,'Điểm danh'!$B$2:$M$47,12, FALSE)</f>
        <v>7</v>
      </c>
      <c r="G25" s="46">
        <f t="shared" si="14"/>
        <v>10</v>
      </c>
      <c r="H25" s="16">
        <f t="shared" si="2"/>
        <v>9</v>
      </c>
      <c r="I25" s="47">
        <f t="shared" si="3"/>
        <v>0.5</v>
      </c>
      <c r="J25" s="18">
        <f>VLOOKUP(B25,'Tính Điểm thi cuối kỳ'!$B$2:$J$47,9, FALSE)</f>
        <v>6</v>
      </c>
      <c r="K25" s="19">
        <f t="shared" si="4"/>
        <v>6.5</v>
      </c>
      <c r="L25" s="48">
        <f t="shared" si="5"/>
        <v>7.25</v>
      </c>
      <c r="M25" s="21" t="str">
        <f t="shared" si="6"/>
        <v>Đạt</v>
      </c>
      <c r="N25" s="22" t="str">
        <f t="shared" si="7"/>
        <v>B</v>
      </c>
      <c r="O25" s="23">
        <f t="shared" si="8"/>
        <v>0.75</v>
      </c>
      <c r="P25" s="24" t="str">
        <f t="shared" si="9"/>
        <v/>
      </c>
      <c r="Q25" s="25">
        <f t="shared" si="10"/>
        <v>6.5</v>
      </c>
      <c r="R25" s="20">
        <f t="shared" si="11"/>
        <v>7.25</v>
      </c>
      <c r="S25" s="22" t="str">
        <f t="shared" si="12"/>
        <v>B</v>
      </c>
      <c r="T25" s="26" t="str">
        <f t="shared" si="15"/>
        <v/>
      </c>
    </row>
    <row r="26" ht="19.5" customHeight="1">
      <c r="A26" s="42">
        <v>24.0</v>
      </c>
      <c r="B26" s="43">
        <v>1520260.0</v>
      </c>
      <c r="C26" s="44" t="s">
        <v>50</v>
      </c>
      <c r="D26" s="43" t="s">
        <v>22</v>
      </c>
      <c r="E26" s="45">
        <f>VLOOKUP(B26,'Điểm giữa kỳ'!$B$2:$G$85,6, false)</f>
        <v>6</v>
      </c>
      <c r="F26" s="45">
        <f>VLOOKUP(B26,'Điểm danh'!$B$2:$M$47,12, FALSE)</f>
        <v>7</v>
      </c>
      <c r="G26" s="46">
        <f t="shared" si="14"/>
        <v>10</v>
      </c>
      <c r="H26" s="16">
        <f t="shared" si="2"/>
        <v>8</v>
      </c>
      <c r="I26" s="47">
        <f t="shared" si="3"/>
        <v>0.5</v>
      </c>
      <c r="J26" s="18">
        <f>VLOOKUP(B26,'Tính Điểm thi cuối kỳ'!$B$2:$J$47,9, FALSE)</f>
        <v>5</v>
      </c>
      <c r="K26" s="19">
        <f t="shared" si="4"/>
        <v>5.5</v>
      </c>
      <c r="L26" s="48">
        <f t="shared" si="5"/>
        <v>6.25</v>
      </c>
      <c r="M26" s="21" t="str">
        <f t="shared" si="6"/>
        <v>Đạt</v>
      </c>
      <c r="N26" s="22" t="str">
        <f t="shared" si="7"/>
        <v>C</v>
      </c>
      <c r="O26" s="23">
        <f t="shared" si="8"/>
        <v>0.25</v>
      </c>
      <c r="P26" s="24" t="str">
        <f t="shared" si="9"/>
        <v/>
      </c>
      <c r="Q26" s="25">
        <f t="shared" si="10"/>
        <v>5.5</v>
      </c>
      <c r="R26" s="20">
        <f t="shared" si="11"/>
        <v>6.25</v>
      </c>
      <c r="S26" s="22" t="str">
        <f t="shared" si="12"/>
        <v>C</v>
      </c>
      <c r="T26" s="26" t="str">
        <f t="shared" si="15"/>
        <v/>
      </c>
    </row>
    <row r="27" ht="19.5" customHeight="1">
      <c r="A27" s="42">
        <v>25.0</v>
      </c>
      <c r="B27" s="43">
        <v>119160.0</v>
      </c>
      <c r="C27" s="44" t="s">
        <v>51</v>
      </c>
      <c r="D27" s="43" t="s">
        <v>22</v>
      </c>
      <c r="E27" s="45">
        <f>VLOOKUP(B27,'Điểm giữa kỳ'!$B$2:$G$85,6, false)</f>
        <v>8.5</v>
      </c>
      <c r="F27" s="45">
        <f>VLOOKUP(B27,'Điểm danh'!$B$2:$M$47,12, FALSE)</f>
        <v>7</v>
      </c>
      <c r="G27" s="46">
        <f t="shared" si="14"/>
        <v>10</v>
      </c>
      <c r="H27" s="16">
        <f t="shared" si="2"/>
        <v>9.5</v>
      </c>
      <c r="I27" s="47">
        <f t="shared" si="3"/>
        <v>0.5</v>
      </c>
      <c r="J27" s="18">
        <f>VLOOKUP(B27,'Tính Điểm thi cuối kỳ'!$B$2:$J$47,9, FALSE)</f>
        <v>5.5</v>
      </c>
      <c r="K27" s="19">
        <f t="shared" si="4"/>
        <v>6</v>
      </c>
      <c r="L27" s="48">
        <f t="shared" si="5"/>
        <v>7.05</v>
      </c>
      <c r="M27" s="21" t="str">
        <f t="shared" si="6"/>
        <v>Đạt</v>
      </c>
      <c r="N27" s="22" t="str">
        <f t="shared" si="7"/>
        <v>B</v>
      </c>
      <c r="O27" s="23">
        <f t="shared" si="8"/>
        <v>0.95</v>
      </c>
      <c r="P27" s="24" t="str">
        <f t="shared" si="9"/>
        <v/>
      </c>
      <c r="Q27" s="25">
        <f t="shared" si="10"/>
        <v>6</v>
      </c>
      <c r="R27" s="20">
        <f t="shared" si="11"/>
        <v>7.05</v>
      </c>
      <c r="S27" s="22" t="str">
        <f t="shared" si="12"/>
        <v>B</v>
      </c>
      <c r="T27" s="26" t="str">
        <f t="shared" si="15"/>
        <v/>
      </c>
    </row>
    <row r="28" ht="19.5" customHeight="1">
      <c r="A28" s="42">
        <v>26.0</v>
      </c>
      <c r="B28" s="43">
        <v>1531460.0</v>
      </c>
      <c r="C28" s="44" t="s">
        <v>52</v>
      </c>
      <c r="D28" s="43" t="s">
        <v>22</v>
      </c>
      <c r="E28" s="45">
        <f>VLOOKUP(B28,'Điểm giữa kỳ'!$B$2:$G$85,6, false)</f>
        <v>7.5</v>
      </c>
      <c r="F28" s="45">
        <f>VLOOKUP(B28,'Điểm danh'!$B$2:$M$47,12, FALSE)</f>
        <v>7</v>
      </c>
      <c r="G28" s="46">
        <f t="shared" si="14"/>
        <v>10</v>
      </c>
      <c r="H28" s="16">
        <f t="shared" si="2"/>
        <v>8.5</v>
      </c>
      <c r="I28" s="47">
        <f t="shared" si="3"/>
        <v>0.5</v>
      </c>
      <c r="J28" s="18">
        <f>VLOOKUP(B28,'Tính Điểm thi cuối kỳ'!$B$2:$J$47,9, FALSE)</f>
        <v>4.5</v>
      </c>
      <c r="K28" s="19">
        <f t="shared" si="4"/>
        <v>5</v>
      </c>
      <c r="L28" s="48">
        <f t="shared" si="5"/>
        <v>6.05</v>
      </c>
      <c r="M28" s="21" t="str">
        <f t="shared" si="6"/>
        <v>Đạt</v>
      </c>
      <c r="N28" s="22" t="str">
        <f t="shared" si="7"/>
        <v>C</v>
      </c>
      <c r="O28" s="23">
        <f t="shared" si="8"/>
        <v>0.45</v>
      </c>
      <c r="P28" s="24" t="str">
        <f t="shared" si="9"/>
        <v/>
      </c>
      <c r="Q28" s="25">
        <f t="shared" si="10"/>
        <v>5</v>
      </c>
      <c r="R28" s="20">
        <f t="shared" si="11"/>
        <v>6.05</v>
      </c>
      <c r="S28" s="22" t="str">
        <f t="shared" si="12"/>
        <v>C</v>
      </c>
      <c r="T28" s="26" t="str">
        <f t="shared" si="15"/>
        <v/>
      </c>
    </row>
    <row r="29" ht="19.5" customHeight="1">
      <c r="A29" s="42">
        <v>27.0</v>
      </c>
      <c r="B29" s="43">
        <v>125960.0</v>
      </c>
      <c r="C29" s="44" t="s">
        <v>53</v>
      </c>
      <c r="D29" s="43" t="s">
        <v>22</v>
      </c>
      <c r="E29" s="45">
        <f>VLOOKUP(B29,'Điểm giữa kỳ'!$B$2:$G$85,6, false)</f>
        <v>5</v>
      </c>
      <c r="F29" s="45">
        <f>VLOOKUP(B29,'Điểm danh'!$B$2:$M$47,12, FALSE)</f>
        <v>5</v>
      </c>
      <c r="G29" s="46">
        <f t="shared" si="14"/>
        <v>8.571428571</v>
      </c>
      <c r="H29" s="16">
        <f t="shared" si="2"/>
        <v>6.5</v>
      </c>
      <c r="I29" s="47" t="str">
        <f t="shared" si="3"/>
        <v/>
      </c>
      <c r="J29" s="18">
        <f>VLOOKUP(B29,'Tính Điểm thi cuối kỳ'!$B$2:$J$47,9, FALSE)</f>
        <v>6</v>
      </c>
      <c r="K29" s="19">
        <f t="shared" si="4"/>
        <v>6</v>
      </c>
      <c r="L29" s="48">
        <f t="shared" si="5"/>
        <v>6.15</v>
      </c>
      <c r="M29" s="21" t="str">
        <f t="shared" si="6"/>
        <v>Đạt</v>
      </c>
      <c r="N29" s="22" t="str">
        <f t="shared" si="7"/>
        <v>C</v>
      </c>
      <c r="O29" s="23">
        <f t="shared" si="8"/>
        <v>0.35</v>
      </c>
      <c r="P29" s="24" t="str">
        <f t="shared" si="9"/>
        <v/>
      </c>
      <c r="Q29" s="25">
        <f t="shared" si="10"/>
        <v>6</v>
      </c>
      <c r="R29" s="20">
        <f t="shared" si="11"/>
        <v>6.15</v>
      </c>
      <c r="S29" s="22" t="str">
        <f t="shared" si="12"/>
        <v>C</v>
      </c>
      <c r="T29" s="26" t="str">
        <f t="shared" si="15"/>
        <v/>
      </c>
    </row>
    <row r="30" ht="19.5" customHeight="1">
      <c r="A30" s="78">
        <v>28.0</v>
      </c>
      <c r="B30" s="79">
        <v>1536260.0</v>
      </c>
      <c r="C30" s="80" t="s">
        <v>54</v>
      </c>
      <c r="D30" s="79" t="s">
        <v>22</v>
      </c>
      <c r="E30" s="81" t="str">
        <f>VLOOKUP(B30,'Điểm giữa kỳ'!$B$2:$G$85,6, false)</f>
        <v/>
      </c>
      <c r="F30" s="81">
        <f>VLOOKUP(B30,'Điểm danh'!$B$2:$M$47,12, FALSE)</f>
        <v>3</v>
      </c>
      <c r="G30" s="82">
        <f t="shared" si="14"/>
        <v>5.714285714</v>
      </c>
      <c r="H30" s="83">
        <f t="shared" si="2"/>
        <v>2.5</v>
      </c>
      <c r="I30" s="84" t="str">
        <f t="shared" si="3"/>
        <v/>
      </c>
      <c r="J30" s="84">
        <f>VLOOKUP(B30,'Tính Điểm thi cuối kỳ'!$B$2:$J$47,9, FALSE)</f>
        <v>1</v>
      </c>
      <c r="K30" s="84">
        <f t="shared" si="4"/>
        <v>1</v>
      </c>
      <c r="L30" s="85">
        <f t="shared" si="5"/>
        <v>1.45</v>
      </c>
      <c r="M30" s="86" t="str">
        <f t="shared" si="6"/>
        <v>Tạch</v>
      </c>
      <c r="N30" s="87" t="str">
        <f t="shared" si="7"/>
        <v>F</v>
      </c>
      <c r="O30" s="88">
        <f t="shared" si="8"/>
        <v>2.55</v>
      </c>
      <c r="P30" s="89" t="str">
        <f t="shared" si="9"/>
        <v/>
      </c>
      <c r="Q30" s="90">
        <f t="shared" si="10"/>
        <v>1</v>
      </c>
      <c r="R30" s="91">
        <f t="shared" si="11"/>
        <v>1.45</v>
      </c>
      <c r="S30" s="87" t="str">
        <f t="shared" si="12"/>
        <v>F</v>
      </c>
      <c r="T30" s="41" t="s">
        <v>55</v>
      </c>
    </row>
    <row r="31" ht="19.5" customHeight="1">
      <c r="A31" s="27">
        <v>29.0</v>
      </c>
      <c r="B31" s="28">
        <v>1531360.0</v>
      </c>
      <c r="C31" s="92" t="s">
        <v>56</v>
      </c>
      <c r="D31" s="28" t="s">
        <v>22</v>
      </c>
      <c r="E31" s="30" t="str">
        <f>VLOOKUP(B31,'Điểm giữa kỳ'!$B$2:$G$85,6, false)</f>
        <v/>
      </c>
      <c r="F31" s="30">
        <f>VLOOKUP(B31,'Điểm danh'!$B$2:$M$47,12, FALSE)</f>
        <v>0</v>
      </c>
      <c r="G31" s="31">
        <f t="shared" si="14"/>
        <v>1.428571429</v>
      </c>
      <c r="H31" s="32">
        <f t="shared" si="2"/>
        <v>1</v>
      </c>
      <c r="I31" s="33" t="str">
        <f t="shared" si="3"/>
        <v/>
      </c>
      <c r="J31" s="33" t="str">
        <f>VLOOKUP(B31,'Tính Điểm thi cuối kỳ'!$B$2:$J$47,9, FALSE)</f>
        <v/>
      </c>
      <c r="K31" s="33">
        <f t="shared" si="4"/>
        <v>0</v>
      </c>
      <c r="L31" s="34">
        <f t="shared" si="5"/>
        <v>0.3</v>
      </c>
      <c r="M31" s="35" t="str">
        <f t="shared" si="6"/>
        <v>Tạch</v>
      </c>
      <c r="N31" s="36" t="str">
        <f t="shared" si="7"/>
        <v>F</v>
      </c>
      <c r="O31" s="37">
        <f t="shared" si="8"/>
        <v>3.7</v>
      </c>
      <c r="P31" s="38" t="str">
        <f t="shared" si="9"/>
        <v/>
      </c>
      <c r="Q31" s="39">
        <f t="shared" si="10"/>
        <v>0</v>
      </c>
      <c r="R31" s="40">
        <f t="shared" si="11"/>
        <v>0.3</v>
      </c>
      <c r="S31" s="36" t="str">
        <f t="shared" si="12"/>
        <v>F</v>
      </c>
      <c r="T31" s="41" t="s">
        <v>23</v>
      </c>
    </row>
    <row r="32" ht="19.5" customHeight="1">
      <c r="A32" s="42">
        <v>30.0</v>
      </c>
      <c r="B32" s="43">
        <v>1540760.0</v>
      </c>
      <c r="C32" s="93" t="s">
        <v>57</v>
      </c>
      <c r="D32" s="43" t="s">
        <v>22</v>
      </c>
      <c r="E32" s="45">
        <f>VLOOKUP(B32,'Điểm giữa kỳ'!$B$2:$G$85,6, false)</f>
        <v>8.5</v>
      </c>
      <c r="F32" s="45">
        <f>VLOOKUP(B32,'Điểm danh'!$B$2:$M$47,12, FALSE)</f>
        <v>7</v>
      </c>
      <c r="G32" s="46">
        <f t="shared" si="14"/>
        <v>10</v>
      </c>
      <c r="H32" s="16">
        <f t="shared" si="2"/>
        <v>9.5</v>
      </c>
      <c r="I32" s="47">
        <f t="shared" si="3"/>
        <v>0.5</v>
      </c>
      <c r="J32" s="18">
        <f>VLOOKUP(B32,'Tính Điểm thi cuối kỳ'!$B$2:$J$47,9, FALSE)</f>
        <v>7</v>
      </c>
      <c r="K32" s="19">
        <f t="shared" si="4"/>
        <v>7.5</v>
      </c>
      <c r="L32" s="48">
        <f t="shared" si="5"/>
        <v>8.1</v>
      </c>
      <c r="M32" s="21" t="str">
        <f t="shared" si="6"/>
        <v>Đạt</v>
      </c>
      <c r="N32" s="22" t="str">
        <f t="shared" si="7"/>
        <v>B+</v>
      </c>
      <c r="O32" s="23">
        <f t="shared" si="8"/>
        <v>0.4</v>
      </c>
      <c r="P32" s="24" t="str">
        <f t="shared" si="9"/>
        <v/>
      </c>
      <c r="Q32" s="25">
        <f t="shared" si="10"/>
        <v>7.5</v>
      </c>
      <c r="R32" s="20">
        <f t="shared" si="11"/>
        <v>8.1</v>
      </c>
      <c r="S32" s="22" t="str">
        <f t="shared" si="12"/>
        <v>B+</v>
      </c>
      <c r="T32" s="26" t="str">
        <f t="shared" ref="T32:T44" si="16">if((S32=N32),"","Đã được nâng điểm chữ")</f>
        <v/>
      </c>
    </row>
    <row r="33" ht="19.5" customHeight="1">
      <c r="A33" s="42">
        <v>31.0</v>
      </c>
      <c r="B33" s="43">
        <v>150160.0</v>
      </c>
      <c r="C33" s="93" t="s">
        <v>58</v>
      </c>
      <c r="D33" s="43" t="s">
        <v>22</v>
      </c>
      <c r="E33" s="45">
        <f>VLOOKUP(B33,'Điểm giữa kỳ'!$B$2:$G$85,6, false)</f>
        <v>4.5</v>
      </c>
      <c r="F33" s="45">
        <f>VLOOKUP(B33,'Điểm danh'!$B$2:$M$47,12, FALSE)</f>
        <v>2.5</v>
      </c>
      <c r="G33" s="46">
        <f t="shared" si="14"/>
        <v>5</v>
      </c>
      <c r="H33" s="16">
        <f t="shared" si="2"/>
        <v>5</v>
      </c>
      <c r="I33" s="47" t="str">
        <f t="shared" si="3"/>
        <v/>
      </c>
      <c r="J33" s="18">
        <f>VLOOKUP(B33,'Tính Điểm thi cuối kỳ'!$B$2:$J$47,9, FALSE)</f>
        <v>4</v>
      </c>
      <c r="K33" s="19">
        <f t="shared" si="4"/>
        <v>4</v>
      </c>
      <c r="L33" s="48">
        <f t="shared" si="5"/>
        <v>4.3</v>
      </c>
      <c r="M33" s="21" t="str">
        <f t="shared" si="6"/>
        <v>Đạt</v>
      </c>
      <c r="N33" s="22" t="str">
        <f t="shared" si="7"/>
        <v>D</v>
      </c>
      <c r="O33" s="23">
        <f t="shared" si="8"/>
        <v>0.7</v>
      </c>
      <c r="P33" s="24" t="str">
        <f t="shared" si="9"/>
        <v/>
      </c>
      <c r="Q33" s="25">
        <f t="shared" si="10"/>
        <v>4</v>
      </c>
      <c r="R33" s="20">
        <f t="shared" si="11"/>
        <v>4.3</v>
      </c>
      <c r="S33" s="22" t="str">
        <f t="shared" si="12"/>
        <v>D</v>
      </c>
      <c r="T33" s="26" t="str">
        <f t="shared" si="16"/>
        <v/>
      </c>
    </row>
    <row r="34" ht="19.5" customHeight="1">
      <c r="A34" s="42">
        <v>32.0</v>
      </c>
      <c r="B34" s="43">
        <v>212360.0</v>
      </c>
      <c r="C34" s="93" t="s">
        <v>59</v>
      </c>
      <c r="D34" s="43" t="s">
        <v>22</v>
      </c>
      <c r="E34" s="45">
        <f>VLOOKUP(B34,'Điểm giữa kỳ'!$B$2:$G$85,6, false)</f>
        <v>6</v>
      </c>
      <c r="F34" s="45">
        <f>VLOOKUP(B34,'Điểm danh'!$B$2:$M$47,12, FALSE)</f>
        <v>7</v>
      </c>
      <c r="G34" s="46">
        <f t="shared" si="14"/>
        <v>10</v>
      </c>
      <c r="H34" s="16">
        <f t="shared" si="2"/>
        <v>8</v>
      </c>
      <c r="I34" s="47">
        <f t="shared" si="3"/>
        <v>0.5</v>
      </c>
      <c r="J34" s="18">
        <f>VLOOKUP(B34,'Tính Điểm thi cuối kỳ'!$B$2:$J$47,9, FALSE)</f>
        <v>8.5</v>
      </c>
      <c r="K34" s="19">
        <f t="shared" si="4"/>
        <v>9</v>
      </c>
      <c r="L34" s="48">
        <f t="shared" si="5"/>
        <v>8.7</v>
      </c>
      <c r="M34" s="21" t="str">
        <f t="shared" si="6"/>
        <v>Đạt</v>
      </c>
      <c r="N34" s="22" t="str">
        <f t="shared" si="7"/>
        <v>A</v>
      </c>
      <c r="O34" s="23" t="str">
        <f t="shared" si="8"/>
        <v>Đã bị điểm A -&gt; Không &lt;nâng&gt; đỡ đc nữa</v>
      </c>
      <c r="P34" s="24" t="str">
        <f t="shared" si="9"/>
        <v/>
      </c>
      <c r="Q34" s="25">
        <f t="shared" si="10"/>
        <v>9</v>
      </c>
      <c r="R34" s="20">
        <f t="shared" si="11"/>
        <v>8.7</v>
      </c>
      <c r="S34" s="22" t="str">
        <f t="shared" si="12"/>
        <v>A</v>
      </c>
      <c r="T34" s="26" t="str">
        <f t="shared" si="16"/>
        <v/>
      </c>
    </row>
    <row r="35" ht="19.5" customHeight="1">
      <c r="A35" s="42">
        <v>33.0</v>
      </c>
      <c r="B35" s="43">
        <v>134760.0</v>
      </c>
      <c r="C35" s="93" t="s">
        <v>60</v>
      </c>
      <c r="D35" s="43" t="s">
        <v>22</v>
      </c>
      <c r="E35" s="45">
        <f>VLOOKUP(B35,'Điểm giữa kỳ'!$B$2:$G$85,6, false)</f>
        <v>5</v>
      </c>
      <c r="F35" s="45">
        <f>VLOOKUP(B35,'Điểm danh'!$B$2:$M$47,12, FALSE)</f>
        <v>6</v>
      </c>
      <c r="G35" s="46">
        <f t="shared" si="14"/>
        <v>10</v>
      </c>
      <c r="H35" s="16">
        <f t="shared" si="2"/>
        <v>7</v>
      </c>
      <c r="I35" s="47" t="str">
        <f t="shared" si="3"/>
        <v/>
      </c>
      <c r="J35" s="18">
        <f>VLOOKUP(B35,'Tính Điểm thi cuối kỳ'!$B$2:$J$47,9, FALSE)</f>
        <v>7</v>
      </c>
      <c r="K35" s="19">
        <f t="shared" si="4"/>
        <v>7</v>
      </c>
      <c r="L35" s="48">
        <f t="shared" si="5"/>
        <v>7</v>
      </c>
      <c r="M35" s="21" t="str">
        <f t="shared" si="6"/>
        <v>Đạt</v>
      </c>
      <c r="N35" s="22" t="str">
        <f t="shared" si="7"/>
        <v>B</v>
      </c>
      <c r="O35" s="23">
        <f t="shared" si="8"/>
        <v>1</v>
      </c>
      <c r="P35" s="24" t="str">
        <f t="shared" si="9"/>
        <v/>
      </c>
      <c r="Q35" s="25">
        <f t="shared" si="10"/>
        <v>7</v>
      </c>
      <c r="R35" s="20">
        <f t="shared" si="11"/>
        <v>7</v>
      </c>
      <c r="S35" s="22" t="str">
        <f t="shared" si="12"/>
        <v>B</v>
      </c>
      <c r="T35" s="26" t="str">
        <f t="shared" si="16"/>
        <v/>
      </c>
    </row>
    <row r="36" ht="19.5" customHeight="1">
      <c r="A36" s="42">
        <v>34.0</v>
      </c>
      <c r="B36" s="43">
        <v>209460.0</v>
      </c>
      <c r="C36" s="93" t="s">
        <v>61</v>
      </c>
      <c r="D36" s="43" t="s">
        <v>22</v>
      </c>
      <c r="E36" s="45">
        <f>VLOOKUP(B36,'Điểm giữa kỳ'!$B$2:$G$85,6, false)</f>
        <v>4</v>
      </c>
      <c r="F36" s="45">
        <f>VLOOKUP(B36,'Điểm danh'!$B$2:$M$47,12, FALSE)</f>
        <v>7</v>
      </c>
      <c r="G36" s="46">
        <f t="shared" si="14"/>
        <v>10</v>
      </c>
      <c r="H36" s="16">
        <f t="shared" si="2"/>
        <v>6.5</v>
      </c>
      <c r="I36" s="47">
        <f t="shared" si="3"/>
        <v>0.5</v>
      </c>
      <c r="J36" s="18">
        <f>VLOOKUP(B36,'Tính Điểm thi cuối kỳ'!$B$2:$J$47,9, FALSE)</f>
        <v>4.5</v>
      </c>
      <c r="K36" s="19">
        <f t="shared" si="4"/>
        <v>5</v>
      </c>
      <c r="L36" s="48">
        <f t="shared" si="5"/>
        <v>5.45</v>
      </c>
      <c r="M36" s="21" t="str">
        <f t="shared" si="6"/>
        <v>Đạt</v>
      </c>
      <c r="N36" s="22" t="str">
        <f t="shared" si="7"/>
        <v>D+</v>
      </c>
      <c r="O36" s="23">
        <f t="shared" si="8"/>
        <v>0.05</v>
      </c>
      <c r="P36" s="24">
        <f t="shared" si="9"/>
        <v>0.08333333333</v>
      </c>
      <c r="Q36" s="25">
        <f t="shared" si="10"/>
        <v>5.5</v>
      </c>
      <c r="R36" s="20">
        <f t="shared" si="11"/>
        <v>5.8</v>
      </c>
      <c r="S36" s="22" t="str">
        <f t="shared" si="12"/>
        <v>C</v>
      </c>
      <c r="T36" s="26" t="str">
        <f t="shared" si="16"/>
        <v>Đã được nâng điểm chữ</v>
      </c>
    </row>
    <row r="37" ht="19.5" customHeight="1">
      <c r="A37" s="42">
        <v>35.0</v>
      </c>
      <c r="B37" s="43">
        <v>92760.0</v>
      </c>
      <c r="C37" s="93" t="s">
        <v>62</v>
      </c>
      <c r="D37" s="43" t="s">
        <v>22</v>
      </c>
      <c r="E37" s="45">
        <f>VLOOKUP(B37,'Điểm giữa kỳ'!$B$2:$G$85,6, false)</f>
        <v>3</v>
      </c>
      <c r="F37" s="45">
        <f>VLOOKUP(B37,'Điểm danh'!$B$2:$M$47,12, FALSE)</f>
        <v>7</v>
      </c>
      <c r="G37" s="46">
        <f t="shared" si="14"/>
        <v>10</v>
      </c>
      <c r="H37" s="16">
        <f t="shared" si="2"/>
        <v>6</v>
      </c>
      <c r="I37" s="47">
        <f t="shared" si="3"/>
        <v>0.5</v>
      </c>
      <c r="J37" s="18">
        <f>VLOOKUP(B37,'Tính Điểm thi cuối kỳ'!$B$2:$J$47,9, FALSE)</f>
        <v>4</v>
      </c>
      <c r="K37" s="19">
        <f t="shared" si="4"/>
        <v>4.5</v>
      </c>
      <c r="L37" s="48">
        <f t="shared" si="5"/>
        <v>4.95</v>
      </c>
      <c r="M37" s="21" t="str">
        <f t="shared" si="6"/>
        <v>Đạt</v>
      </c>
      <c r="N37" s="22" t="str">
        <f t="shared" si="7"/>
        <v>D</v>
      </c>
      <c r="O37" s="23">
        <f t="shared" si="8"/>
        <v>0.05</v>
      </c>
      <c r="P37" s="24">
        <f t="shared" si="9"/>
        <v>0.08333333333</v>
      </c>
      <c r="Q37" s="25">
        <f t="shared" si="10"/>
        <v>5</v>
      </c>
      <c r="R37" s="20">
        <f t="shared" si="11"/>
        <v>5.3</v>
      </c>
      <c r="S37" s="22" t="str">
        <f t="shared" si="12"/>
        <v>D+</v>
      </c>
      <c r="T37" s="26" t="str">
        <f t="shared" si="16"/>
        <v>Đã được nâng điểm chữ</v>
      </c>
    </row>
    <row r="38" ht="19.5" customHeight="1">
      <c r="A38" s="42">
        <v>36.0</v>
      </c>
      <c r="B38" s="43">
        <v>1537160.0</v>
      </c>
      <c r="C38" s="93" t="s">
        <v>63</v>
      </c>
      <c r="D38" s="43" t="s">
        <v>22</v>
      </c>
      <c r="E38" s="45">
        <f>VLOOKUP(B38,'Điểm giữa kỳ'!$B$2:$G$85,6, false)</f>
        <v>6.5</v>
      </c>
      <c r="F38" s="45">
        <f>VLOOKUP(B38,'Điểm danh'!$B$2:$M$47,12, FALSE)</f>
        <v>1</v>
      </c>
      <c r="G38" s="46">
        <f t="shared" si="14"/>
        <v>2.857142857</v>
      </c>
      <c r="H38" s="16">
        <f t="shared" si="2"/>
        <v>5.5</v>
      </c>
      <c r="I38" s="47" t="str">
        <f t="shared" si="3"/>
        <v/>
      </c>
      <c r="J38" s="18">
        <f>VLOOKUP(B38,'Tính Điểm thi cuối kỳ'!$B$2:$J$47,9, FALSE)</f>
        <v>6</v>
      </c>
      <c r="K38" s="19">
        <f t="shared" si="4"/>
        <v>6</v>
      </c>
      <c r="L38" s="48">
        <f t="shared" si="5"/>
        <v>5.85</v>
      </c>
      <c r="M38" s="21" t="str">
        <f t="shared" si="6"/>
        <v>Đạt</v>
      </c>
      <c r="N38" s="22" t="str">
        <f t="shared" si="7"/>
        <v>C</v>
      </c>
      <c r="O38" s="23">
        <f t="shared" si="8"/>
        <v>0.65</v>
      </c>
      <c r="P38" s="24" t="str">
        <f t="shared" si="9"/>
        <v/>
      </c>
      <c r="Q38" s="25">
        <f t="shared" si="10"/>
        <v>6</v>
      </c>
      <c r="R38" s="20">
        <f t="shared" si="11"/>
        <v>5.85</v>
      </c>
      <c r="S38" s="22" t="str">
        <f t="shared" si="12"/>
        <v>C</v>
      </c>
      <c r="T38" s="26" t="str">
        <f t="shared" si="16"/>
        <v/>
      </c>
    </row>
    <row r="39" ht="19.5" customHeight="1">
      <c r="A39" s="42">
        <v>37.0</v>
      </c>
      <c r="B39" s="43">
        <v>1509760.0</v>
      </c>
      <c r="C39" s="93" t="s">
        <v>64</v>
      </c>
      <c r="D39" s="43" t="s">
        <v>22</v>
      </c>
      <c r="E39" s="45">
        <f>VLOOKUP(B39,'Điểm giữa kỳ'!$B$2:$G$85,6, false)</f>
        <v>7.5</v>
      </c>
      <c r="F39" s="45">
        <f>VLOOKUP(B39,'Điểm danh'!$B$2:$M$47,12, FALSE)</f>
        <v>6</v>
      </c>
      <c r="G39" s="46">
        <f t="shared" si="14"/>
        <v>10</v>
      </c>
      <c r="H39" s="16">
        <f t="shared" si="2"/>
        <v>8.5</v>
      </c>
      <c r="I39" s="47" t="str">
        <f t="shared" si="3"/>
        <v/>
      </c>
      <c r="J39" s="18">
        <f>VLOOKUP(B39,'Tính Điểm thi cuối kỳ'!$B$2:$J$47,9, FALSE)</f>
        <v>6</v>
      </c>
      <c r="K39" s="19">
        <f t="shared" si="4"/>
        <v>6</v>
      </c>
      <c r="L39" s="48">
        <f t="shared" si="5"/>
        <v>6.75</v>
      </c>
      <c r="M39" s="21" t="str">
        <f t="shared" si="6"/>
        <v>Đạt</v>
      </c>
      <c r="N39" s="22" t="str">
        <f t="shared" si="7"/>
        <v>C+</v>
      </c>
      <c r="O39" s="23">
        <f t="shared" si="8"/>
        <v>0.25</v>
      </c>
      <c r="P39" s="24" t="str">
        <f t="shared" si="9"/>
        <v/>
      </c>
      <c r="Q39" s="25">
        <f t="shared" si="10"/>
        <v>6</v>
      </c>
      <c r="R39" s="20">
        <f t="shared" si="11"/>
        <v>6.75</v>
      </c>
      <c r="S39" s="22" t="str">
        <f t="shared" si="12"/>
        <v>C+</v>
      </c>
      <c r="T39" s="26" t="str">
        <f t="shared" si="16"/>
        <v/>
      </c>
    </row>
    <row r="40" ht="19.5" customHeight="1">
      <c r="A40" s="42">
        <v>38.0</v>
      </c>
      <c r="B40" s="43">
        <v>1535760.0</v>
      </c>
      <c r="C40" s="93" t="s">
        <v>65</v>
      </c>
      <c r="D40" s="43" t="s">
        <v>22</v>
      </c>
      <c r="E40" s="45">
        <f>VLOOKUP(B40,'Điểm giữa kỳ'!$B$2:$G$85,6, false)</f>
        <v>6</v>
      </c>
      <c r="F40" s="45">
        <f>VLOOKUP(B40,'Điểm danh'!$B$2:$M$47,12, FALSE)</f>
        <v>7</v>
      </c>
      <c r="G40" s="46">
        <f t="shared" si="14"/>
        <v>10</v>
      </c>
      <c r="H40" s="16">
        <f t="shared" si="2"/>
        <v>8</v>
      </c>
      <c r="I40" s="47">
        <f t="shared" si="3"/>
        <v>0.5</v>
      </c>
      <c r="J40" s="18">
        <f>VLOOKUP(B40,'Tính Điểm thi cuối kỳ'!$B$2:$J$47,9, FALSE)</f>
        <v>5.5</v>
      </c>
      <c r="K40" s="19">
        <f t="shared" si="4"/>
        <v>6</v>
      </c>
      <c r="L40" s="48">
        <f t="shared" si="5"/>
        <v>6.6</v>
      </c>
      <c r="M40" s="21" t="str">
        <f t="shared" si="6"/>
        <v>Đạt</v>
      </c>
      <c r="N40" s="22" t="str">
        <f t="shared" si="7"/>
        <v>C+</v>
      </c>
      <c r="O40" s="23">
        <f t="shared" si="8"/>
        <v>0.4</v>
      </c>
      <c r="P40" s="24" t="str">
        <f t="shared" si="9"/>
        <v/>
      </c>
      <c r="Q40" s="25">
        <f t="shared" si="10"/>
        <v>6</v>
      </c>
      <c r="R40" s="20">
        <f t="shared" si="11"/>
        <v>6.6</v>
      </c>
      <c r="S40" s="22" t="str">
        <f t="shared" si="12"/>
        <v>C+</v>
      </c>
      <c r="T40" s="26" t="str">
        <f t="shared" si="16"/>
        <v/>
      </c>
    </row>
    <row r="41" ht="19.5" customHeight="1">
      <c r="A41" s="42">
        <v>39.0</v>
      </c>
      <c r="B41" s="43">
        <v>1534560.0</v>
      </c>
      <c r="C41" s="93" t="s">
        <v>66</v>
      </c>
      <c r="D41" s="43" t="s">
        <v>22</v>
      </c>
      <c r="E41" s="45">
        <f>VLOOKUP(B41,'Điểm giữa kỳ'!$B$2:$G$85,6, false)</f>
        <v>5.5</v>
      </c>
      <c r="F41" s="45">
        <f>VLOOKUP(B41,'Điểm danh'!$B$2:$M$47,12, FALSE)</f>
        <v>7</v>
      </c>
      <c r="G41" s="46">
        <f t="shared" si="14"/>
        <v>10</v>
      </c>
      <c r="H41" s="16">
        <f t="shared" si="2"/>
        <v>7.5</v>
      </c>
      <c r="I41" s="47">
        <f t="shared" si="3"/>
        <v>0.5</v>
      </c>
      <c r="J41" s="18">
        <f>VLOOKUP(B41,'Tính Điểm thi cuối kỳ'!$B$2:$J$47,9, FALSE)</f>
        <v>5</v>
      </c>
      <c r="K41" s="19">
        <f t="shared" si="4"/>
        <v>5.5</v>
      </c>
      <c r="L41" s="48">
        <f t="shared" si="5"/>
        <v>6.1</v>
      </c>
      <c r="M41" s="21" t="str">
        <f t="shared" si="6"/>
        <v>Đạt</v>
      </c>
      <c r="N41" s="22" t="str">
        <f t="shared" si="7"/>
        <v>C</v>
      </c>
      <c r="O41" s="23">
        <f t="shared" si="8"/>
        <v>0.4</v>
      </c>
      <c r="P41" s="24" t="str">
        <f t="shared" si="9"/>
        <v/>
      </c>
      <c r="Q41" s="25">
        <f t="shared" si="10"/>
        <v>5.5</v>
      </c>
      <c r="R41" s="20">
        <f t="shared" si="11"/>
        <v>6.1</v>
      </c>
      <c r="S41" s="22" t="str">
        <f t="shared" si="12"/>
        <v>C</v>
      </c>
      <c r="T41" s="26" t="str">
        <f t="shared" si="16"/>
        <v/>
      </c>
    </row>
    <row r="42" ht="19.5" customHeight="1">
      <c r="A42" s="42">
        <v>40.0</v>
      </c>
      <c r="B42" s="43">
        <v>1510560.0</v>
      </c>
      <c r="C42" s="93" t="s">
        <v>67</v>
      </c>
      <c r="D42" s="43" t="s">
        <v>22</v>
      </c>
      <c r="E42" s="45">
        <f>VLOOKUP(B42,'Điểm giữa kỳ'!$B$2:$G$85,6, false)</f>
        <v>7</v>
      </c>
      <c r="F42" s="45">
        <f>VLOOKUP(B42,'Điểm danh'!$B$2:$M$47,12, FALSE)</f>
        <v>7</v>
      </c>
      <c r="G42" s="46">
        <f t="shared" si="14"/>
        <v>10</v>
      </c>
      <c r="H42" s="16">
        <f t="shared" si="2"/>
        <v>8.5</v>
      </c>
      <c r="I42" s="47">
        <f t="shared" si="3"/>
        <v>0.5</v>
      </c>
      <c r="J42" s="18">
        <f>VLOOKUP(B42,'Tính Điểm thi cuối kỳ'!$B$2:$J$47,9, FALSE)</f>
        <v>6.5</v>
      </c>
      <c r="K42" s="19">
        <f t="shared" si="4"/>
        <v>7</v>
      </c>
      <c r="L42" s="48">
        <f t="shared" si="5"/>
        <v>7.45</v>
      </c>
      <c r="M42" s="21" t="str">
        <f t="shared" si="6"/>
        <v>Đạt</v>
      </c>
      <c r="N42" s="22" t="str">
        <f t="shared" si="7"/>
        <v>B</v>
      </c>
      <c r="O42" s="23">
        <f t="shared" si="8"/>
        <v>0.55</v>
      </c>
      <c r="P42" s="24" t="str">
        <f t="shared" si="9"/>
        <v/>
      </c>
      <c r="Q42" s="25">
        <f t="shared" si="10"/>
        <v>7</v>
      </c>
      <c r="R42" s="20">
        <f t="shared" si="11"/>
        <v>7.45</v>
      </c>
      <c r="S42" s="22" t="str">
        <f t="shared" si="12"/>
        <v>B</v>
      </c>
      <c r="T42" s="26" t="str">
        <f t="shared" si="16"/>
        <v/>
      </c>
    </row>
    <row r="43" ht="19.5" customHeight="1">
      <c r="A43" s="42">
        <v>41.0</v>
      </c>
      <c r="B43" s="43">
        <v>122760.0</v>
      </c>
      <c r="C43" s="93" t="s">
        <v>68</v>
      </c>
      <c r="D43" s="43" t="s">
        <v>22</v>
      </c>
      <c r="E43" s="45">
        <f>VLOOKUP(B43,'Điểm giữa kỳ'!$B$2:$G$85,6, false)</f>
        <v>7.5</v>
      </c>
      <c r="F43" s="45">
        <f>VLOOKUP(B43,'Điểm danh'!$B$2:$M$47,12, FALSE)</f>
        <v>7</v>
      </c>
      <c r="G43" s="46">
        <f t="shared" si="14"/>
        <v>10</v>
      </c>
      <c r="H43" s="16">
        <f t="shared" si="2"/>
        <v>8.5</v>
      </c>
      <c r="I43" s="47">
        <f t="shared" si="3"/>
        <v>0.5</v>
      </c>
      <c r="J43" s="18">
        <f>VLOOKUP(B43,'Tính Điểm thi cuối kỳ'!$B$2:$J$47,9, FALSE)</f>
        <v>6.5</v>
      </c>
      <c r="K43" s="19">
        <f t="shared" si="4"/>
        <v>7</v>
      </c>
      <c r="L43" s="48">
        <f t="shared" si="5"/>
        <v>7.45</v>
      </c>
      <c r="M43" s="21" t="str">
        <f t="shared" si="6"/>
        <v>Đạt</v>
      </c>
      <c r="N43" s="22" t="str">
        <f t="shared" si="7"/>
        <v>B</v>
      </c>
      <c r="O43" s="23">
        <f t="shared" si="8"/>
        <v>0.55</v>
      </c>
      <c r="P43" s="24" t="str">
        <f t="shared" si="9"/>
        <v/>
      </c>
      <c r="Q43" s="25">
        <f t="shared" si="10"/>
        <v>7</v>
      </c>
      <c r="R43" s="20">
        <f t="shared" si="11"/>
        <v>7.45</v>
      </c>
      <c r="S43" s="22" t="str">
        <f t="shared" si="12"/>
        <v>B</v>
      </c>
      <c r="T43" s="26" t="str">
        <f t="shared" si="16"/>
        <v/>
      </c>
    </row>
    <row r="44" ht="19.5" customHeight="1">
      <c r="A44" s="42">
        <v>42.0</v>
      </c>
      <c r="B44" s="43">
        <v>1558460.0</v>
      </c>
      <c r="C44" s="93" t="s">
        <v>69</v>
      </c>
      <c r="D44" s="43" t="s">
        <v>22</v>
      </c>
      <c r="E44" s="45">
        <f>VLOOKUP(B44,'Điểm giữa kỳ'!$B$2:$G$85,6, false)</f>
        <v>4.5</v>
      </c>
      <c r="F44" s="45">
        <f>VLOOKUP(B44,'Điểm danh'!$B$2:$M$47,12, FALSE)</f>
        <v>7</v>
      </c>
      <c r="G44" s="46">
        <f t="shared" si="14"/>
        <v>10</v>
      </c>
      <c r="H44" s="16">
        <f t="shared" si="2"/>
        <v>7</v>
      </c>
      <c r="I44" s="47">
        <f t="shared" si="3"/>
        <v>0.5</v>
      </c>
      <c r="J44" s="18">
        <f>VLOOKUP(B44,'Tính Điểm thi cuối kỳ'!$B$2:$J$47,9, FALSE)</f>
        <v>6.5</v>
      </c>
      <c r="K44" s="19">
        <f t="shared" si="4"/>
        <v>7</v>
      </c>
      <c r="L44" s="48">
        <f t="shared" si="5"/>
        <v>7</v>
      </c>
      <c r="M44" s="21" t="str">
        <f t="shared" si="6"/>
        <v>Đạt</v>
      </c>
      <c r="N44" s="22" t="str">
        <f t="shared" si="7"/>
        <v>B</v>
      </c>
      <c r="O44" s="23">
        <f t="shared" si="8"/>
        <v>1</v>
      </c>
      <c r="P44" s="24" t="str">
        <f t="shared" si="9"/>
        <v/>
      </c>
      <c r="Q44" s="25">
        <f t="shared" si="10"/>
        <v>7</v>
      </c>
      <c r="R44" s="20">
        <f t="shared" si="11"/>
        <v>7</v>
      </c>
      <c r="S44" s="22" t="str">
        <f t="shared" si="12"/>
        <v>B</v>
      </c>
      <c r="T44" s="26" t="str">
        <f t="shared" si="16"/>
        <v/>
      </c>
    </row>
    <row r="45" ht="19.5" customHeight="1">
      <c r="A45" s="94"/>
      <c r="B45" s="95"/>
      <c r="C45" s="96"/>
      <c r="D45" s="94"/>
      <c r="E45" s="97"/>
      <c r="F45" s="98"/>
      <c r="G45" s="99"/>
      <c r="H45" s="100"/>
      <c r="I45" s="101"/>
      <c r="J45" s="102"/>
      <c r="K45" s="54"/>
      <c r="L45" s="61"/>
      <c r="M45" s="56"/>
      <c r="N45" s="22"/>
      <c r="O45" s="23"/>
      <c r="P45" s="59"/>
      <c r="Q45" s="103"/>
      <c r="R45" s="104"/>
      <c r="S45" s="105"/>
      <c r="T45" s="26"/>
    </row>
    <row r="46" ht="19.5" customHeight="1">
      <c r="A46" s="94"/>
      <c r="B46" s="95"/>
      <c r="C46" s="96"/>
      <c r="D46" s="94"/>
      <c r="E46" s="97"/>
      <c r="F46" s="98"/>
      <c r="G46" s="99"/>
      <c r="H46" s="100"/>
      <c r="I46" s="101"/>
      <c r="J46" s="102"/>
      <c r="K46" s="54"/>
      <c r="L46" s="61"/>
      <c r="M46" s="56"/>
      <c r="N46" s="22"/>
      <c r="O46" s="23"/>
      <c r="P46" s="59"/>
      <c r="Q46" s="103"/>
      <c r="R46" s="104"/>
      <c r="S46" s="105"/>
      <c r="T46" s="26"/>
    </row>
    <row r="47" ht="19.5" customHeight="1">
      <c r="A47" s="94"/>
      <c r="B47" s="95"/>
      <c r="C47" s="96"/>
      <c r="D47" s="94"/>
      <c r="E47" s="97"/>
      <c r="F47" s="98"/>
      <c r="G47" s="99"/>
      <c r="H47" s="100"/>
      <c r="I47" s="101"/>
      <c r="J47" s="102"/>
      <c r="K47" s="54"/>
      <c r="L47" s="61"/>
      <c r="M47" s="56"/>
      <c r="N47" s="22"/>
      <c r="O47" s="23"/>
      <c r="P47" s="59"/>
      <c r="Q47" s="103"/>
      <c r="R47" s="104"/>
      <c r="S47" s="105"/>
      <c r="T47" s="26"/>
    </row>
    <row r="48" ht="19.5" customHeight="1">
      <c r="A48" s="94"/>
      <c r="B48" s="95"/>
      <c r="C48" s="96"/>
      <c r="D48" s="94"/>
      <c r="E48" s="97"/>
      <c r="F48" s="98"/>
      <c r="G48" s="99"/>
      <c r="H48" s="100"/>
      <c r="I48" s="101"/>
      <c r="J48" s="102"/>
      <c r="K48" s="54"/>
      <c r="L48" s="61"/>
      <c r="M48" s="56"/>
      <c r="N48" s="22"/>
      <c r="O48" s="23"/>
      <c r="P48" s="59"/>
      <c r="Q48" s="103"/>
      <c r="R48" s="104" t="s">
        <v>70</v>
      </c>
      <c r="S48" s="106">
        <f>COUNTIF(S$2:S$44,"F")</f>
        <v>7</v>
      </c>
      <c r="T48" s="26"/>
    </row>
    <row r="49" ht="19.5" customHeight="1">
      <c r="A49" s="94"/>
      <c r="B49" s="95"/>
      <c r="C49" s="96"/>
      <c r="D49" s="94"/>
      <c r="E49" s="97"/>
      <c r="F49" s="107"/>
      <c r="G49" s="15"/>
      <c r="H49" s="100" t="s">
        <v>71</v>
      </c>
      <c r="I49" s="101">
        <f>COUNTIF(I3:I44,"=0.5")</f>
        <v>23</v>
      </c>
      <c r="J49" s="102">
        <f>COUNTIF(J3:J30,"")</f>
        <v>4</v>
      </c>
      <c r="K49" s="54"/>
      <c r="L49" s="61"/>
      <c r="M49" s="108"/>
      <c r="N49" s="22"/>
      <c r="O49" s="23"/>
      <c r="P49" s="59"/>
      <c r="Q49" s="103"/>
      <c r="R49" s="109" t="s">
        <v>72</v>
      </c>
      <c r="S49" s="106">
        <f>COUNTIF(S$2:S$44,"A")</f>
        <v>5</v>
      </c>
      <c r="T49" s="26"/>
    </row>
    <row r="50" ht="19.5" customHeight="1">
      <c r="A50" s="94"/>
      <c r="B50" s="95"/>
      <c r="C50" s="96"/>
      <c r="D50" s="94"/>
      <c r="E50" s="97"/>
      <c r="F50" s="107"/>
      <c r="G50" s="15"/>
      <c r="H50" s="53"/>
      <c r="I50" s="101"/>
      <c r="J50" s="102"/>
      <c r="K50" s="54"/>
      <c r="L50" s="61"/>
      <c r="M50" s="108"/>
      <c r="N50" s="22"/>
      <c r="O50" s="23"/>
      <c r="P50" s="59"/>
      <c r="Q50" s="103"/>
      <c r="R50" s="109" t="s">
        <v>73</v>
      </c>
      <c r="S50" s="106">
        <f>COUNTIF(S$2:S$44,"B+")</f>
        <v>2</v>
      </c>
      <c r="T50" s="26"/>
    </row>
    <row r="51" ht="19.5" customHeight="1">
      <c r="A51" s="94"/>
      <c r="B51" s="95"/>
      <c r="C51" s="96"/>
      <c r="D51" s="94"/>
      <c r="E51" s="97"/>
      <c r="F51" s="107"/>
      <c r="G51" s="15"/>
      <c r="H51" s="53"/>
      <c r="I51" s="101"/>
      <c r="J51" s="102"/>
      <c r="K51" s="54"/>
      <c r="L51" s="61"/>
      <c r="M51" s="108"/>
      <c r="N51" s="22"/>
      <c r="O51" s="23"/>
      <c r="P51" s="59"/>
      <c r="Q51" s="103"/>
      <c r="R51" s="109" t="s">
        <v>74</v>
      </c>
      <c r="S51" s="106">
        <f>COUNTIF(S$2:S$44,"B")</f>
        <v>8</v>
      </c>
      <c r="T51" s="110" t="s">
        <v>75</v>
      </c>
    </row>
    <row r="52" ht="19.5" customHeight="1">
      <c r="A52" s="94"/>
      <c r="B52" s="95"/>
      <c r="C52" s="96"/>
      <c r="D52" s="94"/>
      <c r="E52" s="97"/>
      <c r="F52" s="107"/>
      <c r="G52" s="15"/>
      <c r="H52" s="53"/>
      <c r="I52" s="101"/>
      <c r="J52" s="102"/>
      <c r="K52" s="54"/>
      <c r="L52" s="61"/>
      <c r="M52" s="108"/>
      <c r="N52" s="22"/>
      <c r="O52" s="23"/>
      <c r="P52" s="59"/>
      <c r="Q52" s="103"/>
      <c r="R52" s="109" t="s">
        <v>76</v>
      </c>
      <c r="S52" s="106">
        <f>COUNTIF(S$2:S$44,"C+")</f>
        <v>6</v>
      </c>
      <c r="T52" s="26">
        <f>COUNTIF(T$2:T$44,"BỎ HỌC, BỎ THI")</f>
        <v>5</v>
      </c>
    </row>
    <row r="53" ht="19.5" customHeight="1">
      <c r="A53" s="111" t="s">
        <v>77</v>
      </c>
      <c r="B53" s="112"/>
      <c r="C53" s="113"/>
      <c r="D53" s="114"/>
      <c r="E53" s="13"/>
      <c r="F53" s="107"/>
      <c r="G53" s="15"/>
      <c r="H53" s="53"/>
      <c r="I53" s="101"/>
      <c r="J53" s="102"/>
      <c r="K53" s="54"/>
      <c r="L53" s="61"/>
      <c r="M53" s="108"/>
      <c r="N53" s="22"/>
      <c r="O53" s="23"/>
      <c r="P53" s="59"/>
      <c r="Q53" s="103"/>
      <c r="R53" s="109" t="s">
        <v>78</v>
      </c>
      <c r="S53" s="106">
        <f>COUNTIF(S$2:S$44,"C")</f>
        <v>10</v>
      </c>
      <c r="T53" s="110" t="s">
        <v>79</v>
      </c>
    </row>
    <row r="54" ht="19.5" customHeight="1">
      <c r="A54" s="115"/>
      <c r="B54" s="116"/>
      <c r="C54" s="117"/>
      <c r="D54" s="118"/>
      <c r="E54" s="119"/>
      <c r="F54" s="120"/>
      <c r="G54" s="121"/>
      <c r="H54" s="122"/>
      <c r="I54" s="123"/>
      <c r="J54" s="124"/>
      <c r="K54" s="125"/>
      <c r="L54" s="126"/>
      <c r="M54" s="127"/>
      <c r="N54" s="128"/>
      <c r="O54" s="129"/>
      <c r="P54" s="130"/>
      <c r="Q54" s="131"/>
      <c r="R54" s="109" t="s">
        <v>80</v>
      </c>
      <c r="S54" s="106">
        <f>COUNTIF(S$2:S$44,"D+")</f>
        <v>2</v>
      </c>
      <c r="T54" s="26">
        <f>COUNTIF(T$2:T$44,"BỎ THI")</f>
        <v>0</v>
      </c>
    </row>
    <row r="55" ht="19.5" customHeight="1">
      <c r="A55" s="115"/>
      <c r="B55" s="132"/>
      <c r="C55" s="133"/>
      <c r="D55" s="134"/>
      <c r="E55" s="119"/>
      <c r="F55" s="120"/>
      <c r="G55" s="121"/>
      <c r="H55" s="122"/>
      <c r="I55" s="123"/>
      <c r="J55" s="124"/>
      <c r="K55" s="125"/>
      <c r="L55" s="126"/>
      <c r="M55" s="127"/>
      <c r="N55" s="128"/>
      <c r="O55" s="129"/>
      <c r="P55" s="130"/>
      <c r="Q55" s="131"/>
      <c r="R55" s="109" t="s">
        <v>81</v>
      </c>
      <c r="S55" s="106">
        <f>COUNTIF(S$2:S$44,"D")</f>
        <v>2</v>
      </c>
      <c r="T55" s="110" t="s">
        <v>82</v>
      </c>
    </row>
    <row r="56" ht="19.5" customHeight="1">
      <c r="A56" s="115"/>
      <c r="B56" s="135"/>
      <c r="C56" s="136" t="s">
        <v>83</v>
      </c>
      <c r="D56" s="134"/>
      <c r="E56" s="119"/>
      <c r="F56" s="120"/>
      <c r="G56" s="121"/>
      <c r="H56" s="122"/>
      <c r="I56" s="123"/>
      <c r="J56" s="124"/>
      <c r="K56" s="125"/>
      <c r="L56" s="126"/>
      <c r="M56" s="127"/>
      <c r="N56" s="128"/>
      <c r="O56" s="129"/>
      <c r="P56" s="130"/>
      <c r="Q56" s="131"/>
      <c r="R56" s="109" t="s">
        <v>84</v>
      </c>
      <c r="S56" s="137">
        <f>SUM(S48:S55)</f>
        <v>42</v>
      </c>
      <c r="T56" s="26">
        <f>COUNTIF(T$2:T$44,"Đã được nâng điểm chữ")</f>
        <v>7</v>
      </c>
    </row>
    <row r="57" ht="19.5" customHeight="1">
      <c r="A57" s="115"/>
      <c r="B57" s="138"/>
      <c r="C57" s="136" t="s">
        <v>85</v>
      </c>
      <c r="D57" s="134"/>
      <c r="E57" s="119"/>
      <c r="F57" s="120"/>
      <c r="G57" s="121"/>
      <c r="H57" s="122"/>
      <c r="I57" s="123"/>
      <c r="J57" s="124"/>
      <c r="K57" s="125"/>
      <c r="L57" s="126"/>
      <c r="M57" s="139" t="s">
        <v>86</v>
      </c>
      <c r="N57" s="128"/>
      <c r="O57" s="140" t="s">
        <v>87</v>
      </c>
      <c r="P57" s="130"/>
      <c r="Q57" s="141"/>
      <c r="R57" s="142"/>
      <c r="S57" s="143"/>
      <c r="T57" s="26" t="str">
        <f>if((S57=N57),"","Đã được nâng điểm chữ")</f>
        <v/>
      </c>
    </row>
    <row r="58" ht="19.5" customHeight="1">
      <c r="A58" s="144"/>
      <c r="B58" s="145"/>
      <c r="C58" s="136" t="s">
        <v>88</v>
      </c>
      <c r="D58" s="134"/>
      <c r="E58" s="119"/>
      <c r="F58" s="120"/>
      <c r="G58" s="121"/>
      <c r="H58" s="122"/>
      <c r="I58" s="123"/>
      <c r="J58" s="124"/>
      <c r="K58" s="125"/>
      <c r="L58" s="126"/>
      <c r="M58" s="146" t="s">
        <v>89</v>
      </c>
      <c r="N58" s="128"/>
      <c r="O58" s="147" t="s">
        <v>90</v>
      </c>
      <c r="P58" s="130" t="s">
        <v>91</v>
      </c>
      <c r="Q58" s="141"/>
      <c r="R58" s="148"/>
      <c r="S58" s="124"/>
      <c r="T58" s="149" t="s">
        <v>92</v>
      </c>
    </row>
  </sheetData>
  <mergeCells count="3">
    <mergeCell ref="A2:D2"/>
    <mergeCell ref="A53:A58"/>
    <mergeCell ref="B53:B55"/>
  </mergeCells>
  <conditionalFormatting sqref="J3:J44">
    <cfRule type="containsBlanks" dxfId="0" priority="1">
      <formula>LEN(TRIM(J3))=0</formula>
    </cfRule>
  </conditionalFormatting>
  <conditionalFormatting sqref="O1:O58">
    <cfRule type="cellIs" dxfId="0" priority="2" operator="lessThan">
      <formula>0.201</formula>
    </cfRule>
  </conditionalFormatting>
  <conditionalFormatting sqref="T1:T58 S45:S55">
    <cfRule type="containsText" dxfId="0" priority="3" operator="containsText" text="Đã được nâng điểm">
      <formula>NOT(ISERROR(SEARCH(("Đã được nâng điểm"),(T1))))</formula>
    </cfRule>
  </conditionalFormatting>
  <conditionalFormatting sqref="P1 R1 S1">
    <cfRule type="cellIs" dxfId="1" priority="4" stopIfTrue="1" operator="lessThan">
      <formula>0.3</formula>
    </cfRule>
  </conditionalFormatting>
  <conditionalFormatting sqref="L1 M1:M58">
    <cfRule type="containsText" dxfId="2" priority="5" operator="containsText" text="Đạt">
      <formula>NOT(ISERROR(SEARCH(("Đạt"),(L1))))</formula>
    </cfRule>
  </conditionalFormatting>
  <conditionalFormatting sqref="L1 M1:M58">
    <cfRule type="containsText" dxfId="0" priority="6" operator="containsText" text="Tạch">
      <formula>NOT(ISERROR(SEARCH(("Tạch"),(L1))))</formula>
    </cfRule>
  </conditionalFormatting>
  <conditionalFormatting sqref="E3:E44">
    <cfRule type="containsBlanks" dxfId="0" priority="7">
      <formula>LEN(TRIM(E3))=0</formula>
    </cfRule>
  </conditionalFormatting>
  <dataValidations>
    <dataValidation type="decimal" allowBlank="1" showInputMessage="1" prompt="Nhập số trong khoảng 0 và 10" sqref="Q2:Q53">
      <formula1>0.0</formula1>
      <formula2>10.0</formula2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75"/>
    <col customWidth="1" min="2" max="2" width="10.0"/>
    <col customWidth="1" min="3" max="3" width="17.75"/>
    <col customWidth="1" min="4" max="4" width="8.0"/>
    <col customWidth="1" min="5" max="5" width="6.13"/>
    <col hidden="1" min="6" max="6" width="15.13"/>
    <col customWidth="1" min="7" max="7" width="13.38"/>
  </cols>
  <sheetData>
    <row r="1">
      <c r="A1" s="150" t="s">
        <v>93</v>
      </c>
      <c r="B1" s="150" t="s">
        <v>94</v>
      </c>
      <c r="C1" s="150" t="s">
        <v>95</v>
      </c>
      <c r="D1" s="150" t="s">
        <v>96</v>
      </c>
      <c r="E1" s="150" t="s">
        <v>97</v>
      </c>
      <c r="F1" s="150" t="s">
        <v>98</v>
      </c>
      <c r="G1" s="150" t="s">
        <v>99</v>
      </c>
    </row>
    <row r="2">
      <c r="A2" s="150">
        <v>1.0</v>
      </c>
      <c r="B2" s="151">
        <v>111060.0</v>
      </c>
      <c r="C2" s="150" t="s">
        <v>35</v>
      </c>
      <c r="D2" s="150" t="s">
        <v>100</v>
      </c>
      <c r="E2" s="150" t="s">
        <v>22</v>
      </c>
      <c r="F2" s="150">
        <v>10.0</v>
      </c>
      <c r="G2" s="150">
        <v>5.0</v>
      </c>
    </row>
    <row r="3">
      <c r="A3" s="150">
        <v>2.0</v>
      </c>
      <c r="B3" s="151">
        <v>112360.0</v>
      </c>
      <c r="C3" s="150" t="s">
        <v>101</v>
      </c>
      <c r="D3" s="150" t="s">
        <v>102</v>
      </c>
      <c r="E3" s="150" t="s">
        <v>29</v>
      </c>
      <c r="F3" s="150">
        <v>15.0</v>
      </c>
      <c r="G3" s="150">
        <v>7.5</v>
      </c>
    </row>
    <row r="4">
      <c r="A4" s="150">
        <v>3.0</v>
      </c>
      <c r="B4" s="151">
        <v>117960.0</v>
      </c>
      <c r="C4" s="150" t="s">
        <v>103</v>
      </c>
      <c r="D4" s="150" t="s">
        <v>104</v>
      </c>
      <c r="E4" s="150" t="s">
        <v>29</v>
      </c>
      <c r="F4" s="150">
        <v>13.0</v>
      </c>
      <c r="G4" s="150">
        <v>6.5</v>
      </c>
    </row>
    <row r="5">
      <c r="A5" s="150">
        <v>4.0</v>
      </c>
      <c r="B5" s="151">
        <v>119160.0</v>
      </c>
      <c r="C5" s="150" t="s">
        <v>51</v>
      </c>
      <c r="D5" s="150" t="s">
        <v>105</v>
      </c>
      <c r="E5" s="150" t="s">
        <v>22</v>
      </c>
      <c r="F5" s="150">
        <v>17.0</v>
      </c>
      <c r="G5" s="150">
        <v>8.5</v>
      </c>
    </row>
    <row r="6">
      <c r="A6" s="150">
        <v>5.0</v>
      </c>
      <c r="B6" s="151">
        <v>122760.0</v>
      </c>
      <c r="C6" s="150" t="s">
        <v>68</v>
      </c>
      <c r="D6" s="150" t="s">
        <v>106</v>
      </c>
      <c r="E6" s="150" t="s">
        <v>22</v>
      </c>
      <c r="F6" s="150">
        <v>15.0</v>
      </c>
      <c r="G6" s="150">
        <v>7.5</v>
      </c>
    </row>
    <row r="7">
      <c r="A7" s="150">
        <v>6.0</v>
      </c>
      <c r="B7" s="151">
        <v>125960.0</v>
      </c>
      <c r="C7" s="150" t="s">
        <v>53</v>
      </c>
      <c r="D7" s="150" t="s">
        <v>107</v>
      </c>
      <c r="E7" s="150" t="s">
        <v>22</v>
      </c>
      <c r="F7" s="150">
        <v>10.0</v>
      </c>
      <c r="G7" s="150">
        <v>5.0</v>
      </c>
    </row>
    <row r="8">
      <c r="A8" s="150">
        <v>7.0</v>
      </c>
      <c r="B8" s="151">
        <v>127160.0</v>
      </c>
      <c r="C8" s="150" t="s">
        <v>32</v>
      </c>
      <c r="D8" s="150" t="s">
        <v>108</v>
      </c>
      <c r="E8" s="150" t="s">
        <v>22</v>
      </c>
      <c r="F8" s="150">
        <v>16.0</v>
      </c>
      <c r="G8" s="150">
        <v>8.0</v>
      </c>
    </row>
    <row r="9">
      <c r="A9" s="150">
        <v>8.0</v>
      </c>
      <c r="B9" s="151">
        <v>130260.0</v>
      </c>
      <c r="C9" s="150" t="s">
        <v>34</v>
      </c>
      <c r="D9" s="150" t="s">
        <v>109</v>
      </c>
      <c r="E9" s="150" t="s">
        <v>22</v>
      </c>
      <c r="F9" s="150">
        <v>13.0</v>
      </c>
      <c r="G9" s="150">
        <v>6.5</v>
      </c>
    </row>
    <row r="10">
      <c r="A10" s="150">
        <v>9.0</v>
      </c>
      <c r="B10" s="151">
        <v>134760.0</v>
      </c>
      <c r="C10" s="150" t="s">
        <v>60</v>
      </c>
      <c r="D10" s="150" t="s">
        <v>110</v>
      </c>
      <c r="E10" s="150" t="s">
        <v>22</v>
      </c>
      <c r="F10" s="150">
        <v>10.0</v>
      </c>
      <c r="G10" s="150">
        <v>5.0</v>
      </c>
    </row>
    <row r="11">
      <c r="A11" s="150">
        <v>10.0</v>
      </c>
      <c r="B11" s="151">
        <v>147860.0</v>
      </c>
      <c r="C11" s="150" t="s">
        <v>111</v>
      </c>
      <c r="D11" s="150" t="s">
        <v>112</v>
      </c>
      <c r="E11" s="150" t="s">
        <v>29</v>
      </c>
      <c r="F11" s="150">
        <v>14.0</v>
      </c>
      <c r="G11" s="150">
        <v>7.0</v>
      </c>
    </row>
    <row r="12">
      <c r="A12" s="150">
        <v>11.0</v>
      </c>
      <c r="B12" s="151">
        <v>150160.0</v>
      </c>
      <c r="C12" s="150" t="s">
        <v>58</v>
      </c>
      <c r="D12" s="150" t="s">
        <v>113</v>
      </c>
      <c r="E12" s="150" t="s">
        <v>22</v>
      </c>
      <c r="F12" s="150">
        <v>9.0</v>
      </c>
      <c r="G12" s="150">
        <v>4.5</v>
      </c>
    </row>
    <row r="13">
      <c r="A13" s="150">
        <v>12.0</v>
      </c>
      <c r="B13" s="151">
        <v>1503561.0</v>
      </c>
      <c r="C13" s="150" t="s">
        <v>24</v>
      </c>
      <c r="D13" s="150" t="s">
        <v>114</v>
      </c>
      <c r="E13" s="150" t="s">
        <v>25</v>
      </c>
      <c r="F13" s="150"/>
      <c r="G13" s="150"/>
    </row>
    <row r="14">
      <c r="A14" s="150">
        <v>13.0</v>
      </c>
      <c r="B14" s="151">
        <v>1504360.0</v>
      </c>
      <c r="C14" s="150" t="s">
        <v>115</v>
      </c>
      <c r="D14" s="150" t="s">
        <v>116</v>
      </c>
      <c r="E14" s="150" t="s">
        <v>29</v>
      </c>
      <c r="F14" s="150">
        <v>10.0</v>
      </c>
      <c r="G14" s="150">
        <v>5.0</v>
      </c>
    </row>
    <row r="15">
      <c r="A15" s="150">
        <v>14.0</v>
      </c>
      <c r="B15" s="151">
        <v>1504559.0</v>
      </c>
      <c r="C15" s="150" t="s">
        <v>43</v>
      </c>
      <c r="D15" s="150" t="s">
        <v>117</v>
      </c>
      <c r="E15" s="150" t="s">
        <v>44</v>
      </c>
      <c r="F15" s="150"/>
      <c r="G15" s="150"/>
    </row>
    <row r="16">
      <c r="A16" s="150">
        <v>15.0</v>
      </c>
      <c r="B16" s="151">
        <v>1506060.0</v>
      </c>
      <c r="C16" s="150" t="s">
        <v>118</v>
      </c>
      <c r="D16" s="150" t="s">
        <v>119</v>
      </c>
      <c r="E16" s="150" t="s">
        <v>29</v>
      </c>
      <c r="F16" s="150">
        <v>12.0</v>
      </c>
      <c r="G16" s="150">
        <v>6.0</v>
      </c>
    </row>
    <row r="17">
      <c r="A17" s="150">
        <v>16.0</v>
      </c>
      <c r="B17" s="151">
        <v>1506257.0</v>
      </c>
      <c r="C17" s="150" t="s">
        <v>120</v>
      </c>
      <c r="D17" s="150" t="s">
        <v>121</v>
      </c>
      <c r="E17" s="150" t="s">
        <v>38</v>
      </c>
      <c r="F17" s="150"/>
      <c r="G17" s="150"/>
    </row>
    <row r="18">
      <c r="A18" s="150">
        <v>17.0</v>
      </c>
      <c r="B18" s="151">
        <v>1506260.0</v>
      </c>
      <c r="C18" s="150" t="s">
        <v>30</v>
      </c>
      <c r="D18" s="150" t="s">
        <v>122</v>
      </c>
      <c r="E18" s="150" t="s">
        <v>22</v>
      </c>
      <c r="F18" s="150">
        <v>17.0</v>
      </c>
      <c r="G18" s="150">
        <v>8.5</v>
      </c>
    </row>
    <row r="19">
      <c r="A19" s="150">
        <v>18.0</v>
      </c>
      <c r="B19" s="151">
        <v>1506357.0</v>
      </c>
      <c r="C19" s="150" t="s">
        <v>37</v>
      </c>
      <c r="D19" s="150" t="s">
        <v>123</v>
      </c>
      <c r="E19" s="150" t="s">
        <v>38</v>
      </c>
      <c r="F19" s="150">
        <v>12.0</v>
      </c>
      <c r="G19" s="150">
        <v>6.0</v>
      </c>
    </row>
    <row r="20">
      <c r="A20" s="150">
        <v>19.0</v>
      </c>
      <c r="B20" s="151">
        <v>1509760.0</v>
      </c>
      <c r="C20" s="150" t="s">
        <v>64</v>
      </c>
      <c r="D20" s="150" t="s">
        <v>124</v>
      </c>
      <c r="E20" s="150" t="s">
        <v>22</v>
      </c>
      <c r="F20" s="150">
        <v>15.0</v>
      </c>
      <c r="G20" s="150">
        <v>7.5</v>
      </c>
    </row>
    <row r="21">
      <c r="A21" s="150">
        <v>20.0</v>
      </c>
      <c r="B21" s="151">
        <v>1510560.0</v>
      </c>
      <c r="C21" s="150" t="s">
        <v>67</v>
      </c>
      <c r="D21" s="150" t="s">
        <v>125</v>
      </c>
      <c r="E21" s="150" t="s">
        <v>22</v>
      </c>
      <c r="F21" s="150">
        <v>14.0</v>
      </c>
      <c r="G21" s="150">
        <v>7.0</v>
      </c>
    </row>
    <row r="22">
      <c r="A22" s="150">
        <v>21.0</v>
      </c>
      <c r="B22" s="151">
        <v>1511460.0</v>
      </c>
      <c r="C22" s="150" t="s">
        <v>41</v>
      </c>
      <c r="D22" s="150" t="s">
        <v>126</v>
      </c>
      <c r="E22" s="150" t="s">
        <v>22</v>
      </c>
      <c r="F22" s="150">
        <v>16.0</v>
      </c>
      <c r="G22" s="150">
        <v>8.0</v>
      </c>
    </row>
    <row r="23">
      <c r="A23" s="150">
        <v>22.0</v>
      </c>
      <c r="B23" s="151">
        <v>1511560.0</v>
      </c>
      <c r="C23" s="150" t="s">
        <v>127</v>
      </c>
      <c r="D23" s="150" t="s">
        <v>128</v>
      </c>
      <c r="E23" s="150" t="s">
        <v>29</v>
      </c>
      <c r="F23" s="150">
        <v>10.0</v>
      </c>
      <c r="G23" s="150">
        <v>5.0</v>
      </c>
    </row>
    <row r="24">
      <c r="A24" s="150">
        <v>23.0</v>
      </c>
      <c r="B24" s="151">
        <v>1512160.0</v>
      </c>
      <c r="C24" s="150" t="s">
        <v>129</v>
      </c>
      <c r="D24" s="150" t="s">
        <v>130</v>
      </c>
      <c r="E24" s="150" t="s">
        <v>29</v>
      </c>
      <c r="F24" s="150">
        <v>15.0</v>
      </c>
      <c r="G24" s="150">
        <v>7.5</v>
      </c>
    </row>
    <row r="25">
      <c r="A25" s="150">
        <v>24.0</v>
      </c>
      <c r="B25" s="151">
        <v>1512660.0</v>
      </c>
      <c r="C25" s="150" t="s">
        <v>47</v>
      </c>
      <c r="D25" s="150" t="s">
        <v>131</v>
      </c>
      <c r="E25" s="150" t="s">
        <v>22</v>
      </c>
      <c r="F25" s="150">
        <v>18.0</v>
      </c>
      <c r="G25" s="150">
        <v>9.0</v>
      </c>
    </row>
    <row r="26">
      <c r="A26" s="150">
        <v>25.0</v>
      </c>
      <c r="B26" s="151">
        <v>1513460.0</v>
      </c>
      <c r="C26" s="150" t="s">
        <v>21</v>
      </c>
      <c r="D26" s="150" t="s">
        <v>132</v>
      </c>
      <c r="E26" s="150" t="s">
        <v>22</v>
      </c>
      <c r="F26" s="150"/>
      <c r="G26" s="150"/>
    </row>
    <row r="27">
      <c r="A27" s="150">
        <v>26.0</v>
      </c>
      <c r="B27" s="151">
        <v>1518860.0</v>
      </c>
      <c r="C27" s="150" t="s">
        <v>36</v>
      </c>
      <c r="D27" s="150" t="s">
        <v>133</v>
      </c>
      <c r="E27" s="150" t="s">
        <v>22</v>
      </c>
      <c r="F27" s="150">
        <v>15.0</v>
      </c>
      <c r="G27" s="150">
        <v>7.5</v>
      </c>
    </row>
    <row r="28">
      <c r="A28" s="150">
        <v>27.0</v>
      </c>
      <c r="B28" s="151">
        <v>1519760.0</v>
      </c>
      <c r="C28" s="150" t="s">
        <v>45</v>
      </c>
      <c r="D28" s="150" t="s">
        <v>134</v>
      </c>
      <c r="E28" s="150" t="s">
        <v>22</v>
      </c>
      <c r="F28" s="150">
        <v>15.0</v>
      </c>
      <c r="G28" s="150">
        <v>7.5</v>
      </c>
    </row>
    <row r="29">
      <c r="A29" s="150">
        <v>28.0</v>
      </c>
      <c r="B29" s="151">
        <v>1520260.0</v>
      </c>
      <c r="C29" s="150" t="s">
        <v>50</v>
      </c>
      <c r="D29" s="150" t="s">
        <v>135</v>
      </c>
      <c r="E29" s="150" t="s">
        <v>22</v>
      </c>
      <c r="F29" s="150">
        <v>12.0</v>
      </c>
      <c r="G29" s="150">
        <v>6.0</v>
      </c>
    </row>
    <row r="30">
      <c r="A30" s="150">
        <v>29.0</v>
      </c>
      <c r="B30" s="151">
        <v>1521460.0</v>
      </c>
      <c r="C30" s="150" t="s">
        <v>136</v>
      </c>
      <c r="D30" s="150" t="s">
        <v>137</v>
      </c>
      <c r="E30" s="150" t="s">
        <v>29</v>
      </c>
      <c r="F30" s="150"/>
      <c r="G30" s="150"/>
    </row>
    <row r="31">
      <c r="A31" s="150">
        <v>30.0</v>
      </c>
      <c r="B31" s="151">
        <v>1522860.0</v>
      </c>
      <c r="C31" s="150" t="s">
        <v>138</v>
      </c>
      <c r="D31" s="150" t="s">
        <v>139</v>
      </c>
      <c r="E31" s="150" t="s">
        <v>29</v>
      </c>
      <c r="F31" s="150">
        <v>14.0</v>
      </c>
      <c r="G31" s="150">
        <v>7.0</v>
      </c>
    </row>
    <row r="32">
      <c r="A32" s="150">
        <v>31.0</v>
      </c>
      <c r="B32" s="151">
        <v>1523760.0</v>
      </c>
      <c r="C32" s="150" t="s">
        <v>140</v>
      </c>
      <c r="D32" s="150" t="s">
        <v>141</v>
      </c>
      <c r="E32" s="150" t="s">
        <v>29</v>
      </c>
      <c r="F32" s="150">
        <v>14.0</v>
      </c>
      <c r="G32" s="150">
        <v>7.0</v>
      </c>
    </row>
    <row r="33">
      <c r="A33" s="150">
        <v>32.0</v>
      </c>
      <c r="B33" s="151">
        <v>1526460.0</v>
      </c>
      <c r="C33" s="150" t="s">
        <v>142</v>
      </c>
      <c r="D33" s="150" t="s">
        <v>143</v>
      </c>
      <c r="E33" s="150" t="s">
        <v>29</v>
      </c>
      <c r="F33" s="150">
        <v>13.0</v>
      </c>
      <c r="G33" s="150">
        <v>6.5</v>
      </c>
    </row>
    <row r="34">
      <c r="A34" s="150">
        <v>33.0</v>
      </c>
      <c r="B34" s="151">
        <v>1529260.0</v>
      </c>
      <c r="C34" s="150" t="s">
        <v>144</v>
      </c>
      <c r="D34" s="150" t="s">
        <v>145</v>
      </c>
      <c r="E34" s="150" t="s">
        <v>29</v>
      </c>
      <c r="F34" s="150">
        <v>13.0</v>
      </c>
      <c r="G34" s="150">
        <v>6.5</v>
      </c>
    </row>
    <row r="35">
      <c r="A35" s="150">
        <v>34.0</v>
      </c>
      <c r="B35" s="151">
        <v>1529460.0</v>
      </c>
      <c r="C35" s="150" t="s">
        <v>146</v>
      </c>
      <c r="D35" s="150" t="s">
        <v>147</v>
      </c>
      <c r="E35" s="150" t="s">
        <v>29</v>
      </c>
      <c r="F35" s="150">
        <v>15.0</v>
      </c>
      <c r="G35" s="150">
        <v>7.5</v>
      </c>
    </row>
    <row r="36">
      <c r="A36" s="150">
        <v>35.0</v>
      </c>
      <c r="B36" s="151">
        <v>1529660.0</v>
      </c>
      <c r="C36" s="150" t="s">
        <v>148</v>
      </c>
      <c r="D36" s="150" t="s">
        <v>149</v>
      </c>
      <c r="E36" s="150" t="s">
        <v>29</v>
      </c>
      <c r="F36" s="150">
        <v>9.0</v>
      </c>
      <c r="G36" s="150">
        <v>4.5</v>
      </c>
    </row>
    <row r="37">
      <c r="A37" s="150">
        <v>36.0</v>
      </c>
      <c r="B37" s="151">
        <v>1531360.0</v>
      </c>
      <c r="C37" s="150" t="s">
        <v>56</v>
      </c>
      <c r="D37" s="150" t="s">
        <v>150</v>
      </c>
      <c r="E37" s="150" t="s">
        <v>22</v>
      </c>
      <c r="F37" s="150"/>
      <c r="G37" s="150"/>
    </row>
    <row r="38">
      <c r="A38" s="150">
        <v>37.0</v>
      </c>
      <c r="B38" s="151">
        <v>1531460.0</v>
      </c>
      <c r="C38" s="150" t="s">
        <v>52</v>
      </c>
      <c r="D38" s="150" t="s">
        <v>151</v>
      </c>
      <c r="E38" s="150" t="s">
        <v>22</v>
      </c>
      <c r="F38" s="150">
        <v>15.0</v>
      </c>
      <c r="G38" s="150">
        <v>7.5</v>
      </c>
    </row>
    <row r="39">
      <c r="A39" s="150">
        <v>38.0</v>
      </c>
      <c r="B39" s="151">
        <v>1531660.0</v>
      </c>
      <c r="C39" s="150" t="s">
        <v>152</v>
      </c>
      <c r="D39" s="150" t="s">
        <v>153</v>
      </c>
      <c r="E39" s="150" t="s">
        <v>29</v>
      </c>
      <c r="F39" s="150">
        <v>11.0</v>
      </c>
      <c r="G39" s="150">
        <v>5.5</v>
      </c>
    </row>
    <row r="40">
      <c r="A40" s="150">
        <v>39.0</v>
      </c>
      <c r="B40" s="151">
        <v>1532660.0</v>
      </c>
      <c r="C40" s="150" t="s">
        <v>154</v>
      </c>
      <c r="D40" s="150" t="s">
        <v>155</v>
      </c>
      <c r="E40" s="150" t="s">
        <v>29</v>
      </c>
      <c r="F40" s="150">
        <v>16.0</v>
      </c>
      <c r="G40" s="150">
        <v>8.0</v>
      </c>
    </row>
    <row r="41">
      <c r="A41" s="150">
        <v>40.0</v>
      </c>
      <c r="B41" s="151">
        <v>1533660.0</v>
      </c>
      <c r="C41" s="150" t="s">
        <v>156</v>
      </c>
      <c r="D41" s="150" t="s">
        <v>157</v>
      </c>
      <c r="E41" s="150" t="s">
        <v>29</v>
      </c>
      <c r="F41" s="150"/>
      <c r="G41" s="150"/>
    </row>
    <row r="42">
      <c r="A42" s="150">
        <v>41.0</v>
      </c>
      <c r="B42" s="151">
        <v>1533860.0</v>
      </c>
      <c r="C42" s="150" t="s">
        <v>33</v>
      </c>
      <c r="D42" s="150" t="s">
        <v>158</v>
      </c>
      <c r="E42" s="150" t="s">
        <v>22</v>
      </c>
      <c r="F42" s="150">
        <v>11.0</v>
      </c>
      <c r="G42" s="150">
        <v>5.5</v>
      </c>
    </row>
    <row r="43">
      <c r="A43" s="150">
        <v>42.0</v>
      </c>
      <c r="B43" s="151">
        <v>1534560.0</v>
      </c>
      <c r="C43" s="150" t="s">
        <v>66</v>
      </c>
      <c r="D43" s="150" t="s">
        <v>159</v>
      </c>
      <c r="E43" s="150" t="s">
        <v>22</v>
      </c>
      <c r="F43" s="150">
        <v>11.0</v>
      </c>
      <c r="G43" s="150">
        <v>5.5</v>
      </c>
    </row>
    <row r="44">
      <c r="A44" s="150">
        <v>43.0</v>
      </c>
      <c r="B44" s="151">
        <v>1535160.0</v>
      </c>
      <c r="C44" s="150" t="s">
        <v>39</v>
      </c>
      <c r="D44" s="150" t="s">
        <v>160</v>
      </c>
      <c r="E44" s="150" t="s">
        <v>22</v>
      </c>
      <c r="F44" s="150">
        <v>15.0</v>
      </c>
      <c r="G44" s="150">
        <v>7.5</v>
      </c>
    </row>
    <row r="45">
      <c r="A45" s="150">
        <v>44.0</v>
      </c>
      <c r="B45" s="151">
        <v>1535760.0</v>
      </c>
      <c r="C45" s="150" t="s">
        <v>65</v>
      </c>
      <c r="D45" s="150" t="s">
        <v>161</v>
      </c>
      <c r="E45" s="150" t="s">
        <v>22</v>
      </c>
      <c r="F45" s="150">
        <v>12.0</v>
      </c>
      <c r="G45" s="150">
        <v>6.0</v>
      </c>
    </row>
    <row r="46">
      <c r="A46" s="150">
        <v>45.0</v>
      </c>
      <c r="B46" s="151">
        <v>1536260.0</v>
      </c>
      <c r="C46" s="150" t="s">
        <v>54</v>
      </c>
      <c r="D46" s="150" t="s">
        <v>162</v>
      </c>
      <c r="E46" s="150" t="s">
        <v>22</v>
      </c>
      <c r="F46" s="150"/>
      <c r="G46" s="150"/>
    </row>
    <row r="47">
      <c r="A47" s="150">
        <v>46.0</v>
      </c>
      <c r="B47" s="151">
        <v>1536360.0</v>
      </c>
      <c r="C47" s="150" t="s">
        <v>48</v>
      </c>
      <c r="D47" s="150" t="s">
        <v>163</v>
      </c>
      <c r="E47" s="150" t="s">
        <v>22</v>
      </c>
      <c r="F47" s="150">
        <v>12.0</v>
      </c>
      <c r="G47" s="150">
        <v>6.0</v>
      </c>
    </row>
    <row r="48">
      <c r="A48" s="150">
        <v>47.0</v>
      </c>
      <c r="B48" s="151">
        <v>1537160.0</v>
      </c>
      <c r="C48" s="150" t="s">
        <v>63</v>
      </c>
      <c r="D48" s="150" t="s">
        <v>164</v>
      </c>
      <c r="E48" s="150" t="s">
        <v>22</v>
      </c>
      <c r="F48" s="150">
        <v>13.0</v>
      </c>
      <c r="G48" s="150">
        <v>6.5</v>
      </c>
    </row>
    <row r="49">
      <c r="A49" s="150">
        <v>48.0</v>
      </c>
      <c r="B49" s="151">
        <v>1537260.0</v>
      </c>
      <c r="C49" s="150" t="s">
        <v>165</v>
      </c>
      <c r="D49" s="150" t="s">
        <v>166</v>
      </c>
      <c r="E49" s="150" t="s">
        <v>29</v>
      </c>
      <c r="F49" s="150">
        <v>11.0</v>
      </c>
      <c r="G49" s="150">
        <v>5.5</v>
      </c>
    </row>
    <row r="50">
      <c r="A50" s="150">
        <v>49.0</v>
      </c>
      <c r="B50" s="151">
        <v>1537360.0</v>
      </c>
      <c r="C50" s="150" t="s">
        <v>167</v>
      </c>
      <c r="D50" s="150" t="s">
        <v>168</v>
      </c>
      <c r="E50" s="150" t="s">
        <v>29</v>
      </c>
      <c r="F50" s="150">
        <v>7.0</v>
      </c>
      <c r="G50" s="150">
        <v>3.5</v>
      </c>
    </row>
    <row r="51">
      <c r="A51" s="150">
        <v>50.0</v>
      </c>
      <c r="B51" s="151">
        <v>1537460.0</v>
      </c>
      <c r="C51" s="150" t="s">
        <v>169</v>
      </c>
      <c r="D51" s="150" t="s">
        <v>170</v>
      </c>
      <c r="E51" s="150" t="s">
        <v>29</v>
      </c>
      <c r="F51" s="150">
        <v>10.0</v>
      </c>
      <c r="G51" s="150">
        <v>5.0</v>
      </c>
    </row>
    <row r="52">
      <c r="A52" s="150">
        <v>51.0</v>
      </c>
      <c r="B52" s="151">
        <v>1538660.0</v>
      </c>
      <c r="C52" s="150" t="s">
        <v>49</v>
      </c>
      <c r="D52" s="150" t="s">
        <v>171</v>
      </c>
      <c r="E52" s="150" t="s">
        <v>22</v>
      </c>
      <c r="F52" s="150">
        <v>16.0</v>
      </c>
      <c r="G52" s="150">
        <v>8.0</v>
      </c>
    </row>
    <row r="53">
      <c r="A53" s="150">
        <v>52.0</v>
      </c>
      <c r="B53" s="151">
        <v>1539760.0</v>
      </c>
      <c r="C53" s="150" t="s">
        <v>46</v>
      </c>
      <c r="D53" s="150" t="s">
        <v>172</v>
      </c>
      <c r="E53" s="150" t="s">
        <v>22</v>
      </c>
      <c r="F53" s="150">
        <v>16.0</v>
      </c>
      <c r="G53" s="150">
        <v>8.0</v>
      </c>
    </row>
    <row r="54">
      <c r="A54" s="150">
        <v>53.0</v>
      </c>
      <c r="B54" s="151">
        <v>1539860.0</v>
      </c>
      <c r="C54" s="150" t="s">
        <v>173</v>
      </c>
      <c r="D54" s="150" t="s">
        <v>174</v>
      </c>
      <c r="E54" s="150" t="s">
        <v>29</v>
      </c>
      <c r="F54" s="150">
        <v>13.0</v>
      </c>
      <c r="G54" s="150">
        <v>6.5</v>
      </c>
    </row>
    <row r="55">
      <c r="A55" s="150">
        <v>54.0</v>
      </c>
      <c r="B55" s="151">
        <v>1540760.0</v>
      </c>
      <c r="C55" s="150" t="s">
        <v>57</v>
      </c>
      <c r="D55" s="150" t="s">
        <v>175</v>
      </c>
      <c r="E55" s="150" t="s">
        <v>22</v>
      </c>
      <c r="F55" s="150">
        <v>17.0</v>
      </c>
      <c r="G55" s="150">
        <v>8.5</v>
      </c>
    </row>
    <row r="56">
      <c r="A56" s="150">
        <v>55.0</v>
      </c>
      <c r="B56" s="151">
        <v>1541360.0</v>
      </c>
      <c r="C56" s="150" t="s">
        <v>176</v>
      </c>
      <c r="D56" s="150" t="s">
        <v>177</v>
      </c>
      <c r="E56" s="150" t="s">
        <v>29</v>
      </c>
      <c r="F56" s="150">
        <v>11.0</v>
      </c>
      <c r="G56" s="150">
        <v>5.5</v>
      </c>
    </row>
    <row r="57">
      <c r="A57" s="150">
        <v>56.0</v>
      </c>
      <c r="B57" s="151">
        <v>1543960.0</v>
      </c>
      <c r="C57" s="150" t="s">
        <v>26</v>
      </c>
      <c r="D57" s="150" t="s">
        <v>178</v>
      </c>
      <c r="E57" s="150" t="s">
        <v>22</v>
      </c>
      <c r="F57" s="150">
        <v>15.0</v>
      </c>
      <c r="G57" s="150">
        <v>7.5</v>
      </c>
    </row>
    <row r="58">
      <c r="A58" s="150">
        <v>57.0</v>
      </c>
      <c r="B58" s="151">
        <v>1545060.0</v>
      </c>
      <c r="C58" s="150" t="s">
        <v>179</v>
      </c>
      <c r="D58" s="150" t="s">
        <v>180</v>
      </c>
      <c r="E58" s="150" t="s">
        <v>29</v>
      </c>
      <c r="F58" s="150">
        <v>16.0</v>
      </c>
      <c r="G58" s="150">
        <v>8.0</v>
      </c>
    </row>
    <row r="59">
      <c r="A59" s="150">
        <v>58.0</v>
      </c>
      <c r="B59" s="151">
        <v>1545760.0</v>
      </c>
      <c r="C59" s="150" t="s">
        <v>181</v>
      </c>
      <c r="D59" s="150" t="s">
        <v>182</v>
      </c>
      <c r="E59" s="150" t="s">
        <v>29</v>
      </c>
      <c r="F59" s="150">
        <v>14.0</v>
      </c>
      <c r="G59" s="150">
        <v>7.0</v>
      </c>
    </row>
    <row r="60">
      <c r="A60" s="150">
        <v>59.0</v>
      </c>
      <c r="B60" s="151">
        <v>1547360.0</v>
      </c>
      <c r="C60" s="150" t="s">
        <v>31</v>
      </c>
      <c r="D60" s="150" t="s">
        <v>183</v>
      </c>
      <c r="E60" s="150" t="s">
        <v>22</v>
      </c>
      <c r="F60" s="150">
        <v>11.0</v>
      </c>
      <c r="G60" s="150">
        <v>5.5</v>
      </c>
    </row>
    <row r="61">
      <c r="A61" s="150">
        <v>60.0</v>
      </c>
      <c r="B61" s="151">
        <v>1548060.0</v>
      </c>
      <c r="C61" s="150" t="s">
        <v>184</v>
      </c>
      <c r="D61" s="150" t="s">
        <v>185</v>
      </c>
      <c r="E61" s="150" t="s">
        <v>29</v>
      </c>
      <c r="F61" s="150">
        <v>11.0</v>
      </c>
      <c r="G61" s="150">
        <v>5.5</v>
      </c>
    </row>
    <row r="62">
      <c r="A62" s="150">
        <v>61.0</v>
      </c>
      <c r="B62" s="151">
        <v>1556760.0</v>
      </c>
      <c r="C62" s="150" t="s">
        <v>186</v>
      </c>
      <c r="D62" s="150" t="s">
        <v>187</v>
      </c>
      <c r="E62" s="150" t="s">
        <v>29</v>
      </c>
      <c r="F62" s="150">
        <v>12.0</v>
      </c>
      <c r="G62" s="150">
        <v>6.0</v>
      </c>
    </row>
    <row r="63">
      <c r="A63" s="150">
        <v>62.0</v>
      </c>
      <c r="B63" s="151">
        <v>1558460.0</v>
      </c>
      <c r="C63" s="150" t="s">
        <v>69</v>
      </c>
      <c r="D63" s="150" t="s">
        <v>188</v>
      </c>
      <c r="E63" s="150" t="s">
        <v>22</v>
      </c>
      <c r="F63" s="150">
        <v>9.0</v>
      </c>
      <c r="G63" s="150">
        <v>4.5</v>
      </c>
    </row>
    <row r="64">
      <c r="A64" s="150">
        <v>63.0</v>
      </c>
      <c r="B64" s="151">
        <v>1562860.0</v>
      </c>
      <c r="C64" s="150" t="s">
        <v>189</v>
      </c>
      <c r="D64" s="150" t="s">
        <v>190</v>
      </c>
      <c r="E64" s="150" t="s">
        <v>29</v>
      </c>
      <c r="F64" s="150">
        <v>11.0</v>
      </c>
      <c r="G64" s="150">
        <v>5.5</v>
      </c>
    </row>
    <row r="65">
      <c r="A65" s="150">
        <v>64.0</v>
      </c>
      <c r="B65" s="151">
        <v>1563760.0</v>
      </c>
      <c r="C65" s="150" t="s">
        <v>191</v>
      </c>
      <c r="D65" s="150" t="s">
        <v>192</v>
      </c>
      <c r="E65" s="150" t="s">
        <v>29</v>
      </c>
      <c r="F65" s="150">
        <v>9.0</v>
      </c>
      <c r="G65" s="150">
        <v>4.5</v>
      </c>
    </row>
    <row r="66">
      <c r="A66" s="150">
        <v>65.0</v>
      </c>
      <c r="B66" s="151">
        <v>1564760.0</v>
      </c>
      <c r="C66" s="150" t="s">
        <v>193</v>
      </c>
      <c r="D66" s="150" t="s">
        <v>194</v>
      </c>
      <c r="E66" s="150" t="s">
        <v>29</v>
      </c>
      <c r="F66" s="150">
        <v>12.0</v>
      </c>
      <c r="G66" s="150">
        <v>6.0</v>
      </c>
    </row>
    <row r="67">
      <c r="A67" s="150">
        <v>66.0</v>
      </c>
      <c r="B67" s="151">
        <v>1565060.0</v>
      </c>
      <c r="C67" s="150" t="s">
        <v>195</v>
      </c>
      <c r="D67" s="150" t="s">
        <v>196</v>
      </c>
      <c r="E67" s="150" t="s">
        <v>29</v>
      </c>
      <c r="F67" s="150">
        <v>15.0</v>
      </c>
      <c r="G67" s="150">
        <v>7.5</v>
      </c>
    </row>
    <row r="68">
      <c r="A68" s="150">
        <v>67.0</v>
      </c>
      <c r="B68" s="151">
        <v>1565360.0</v>
      </c>
      <c r="C68" s="150" t="s">
        <v>42</v>
      </c>
      <c r="D68" s="150" t="s">
        <v>197</v>
      </c>
      <c r="E68" s="150" t="s">
        <v>22</v>
      </c>
      <c r="F68" s="150"/>
      <c r="G68" s="150"/>
    </row>
    <row r="69">
      <c r="A69" s="150">
        <v>68.0</v>
      </c>
      <c r="B69" s="151">
        <v>161360.0</v>
      </c>
      <c r="C69" s="150" t="s">
        <v>198</v>
      </c>
      <c r="D69" s="150" t="s">
        <v>199</v>
      </c>
      <c r="E69" s="150" t="s">
        <v>29</v>
      </c>
      <c r="F69" s="150">
        <v>14.0</v>
      </c>
      <c r="G69" s="150">
        <v>7.0</v>
      </c>
    </row>
    <row r="70">
      <c r="A70" s="150">
        <v>69.0</v>
      </c>
      <c r="B70" s="151">
        <v>167260.0</v>
      </c>
      <c r="C70" s="150" t="s">
        <v>200</v>
      </c>
      <c r="D70" s="150" t="s">
        <v>201</v>
      </c>
      <c r="E70" s="150" t="s">
        <v>29</v>
      </c>
      <c r="F70" s="150">
        <v>11.0</v>
      </c>
      <c r="G70" s="150">
        <v>5.5</v>
      </c>
    </row>
    <row r="71">
      <c r="A71" s="150">
        <v>70.0</v>
      </c>
      <c r="B71" s="151">
        <v>170060.0</v>
      </c>
      <c r="C71" s="150" t="s">
        <v>40</v>
      </c>
      <c r="D71" s="150" t="s">
        <v>202</v>
      </c>
      <c r="E71" s="150" t="s">
        <v>22</v>
      </c>
      <c r="F71" s="150">
        <v>15.0</v>
      </c>
      <c r="G71" s="150">
        <v>7.5</v>
      </c>
    </row>
    <row r="72">
      <c r="A72" s="150">
        <v>71.0</v>
      </c>
      <c r="B72" s="151">
        <v>171860.0</v>
      </c>
      <c r="C72" s="150" t="s">
        <v>203</v>
      </c>
      <c r="D72" s="150" t="s">
        <v>204</v>
      </c>
      <c r="E72" s="150" t="s">
        <v>29</v>
      </c>
      <c r="F72" s="150">
        <v>14.0</v>
      </c>
      <c r="G72" s="150">
        <v>7.0</v>
      </c>
    </row>
    <row r="73">
      <c r="A73" s="150">
        <v>72.0</v>
      </c>
      <c r="B73" s="151">
        <v>174860.0</v>
      </c>
      <c r="C73" s="150" t="s">
        <v>27</v>
      </c>
      <c r="D73" s="150" t="s">
        <v>205</v>
      </c>
      <c r="E73" s="150" t="s">
        <v>22</v>
      </c>
      <c r="F73" s="150"/>
      <c r="G73" s="150"/>
    </row>
    <row r="74">
      <c r="A74" s="150">
        <v>73.0</v>
      </c>
      <c r="B74" s="151">
        <v>209460.0</v>
      </c>
      <c r="C74" s="150" t="s">
        <v>61</v>
      </c>
      <c r="D74" s="150" t="s">
        <v>206</v>
      </c>
      <c r="E74" s="150" t="s">
        <v>22</v>
      </c>
      <c r="F74" s="150">
        <v>8.0</v>
      </c>
      <c r="G74" s="150">
        <v>4.0</v>
      </c>
    </row>
    <row r="75">
      <c r="A75" s="150">
        <v>74.0</v>
      </c>
      <c r="B75" s="151">
        <v>212360.0</v>
      </c>
      <c r="C75" s="150" t="s">
        <v>59</v>
      </c>
      <c r="D75" s="150" t="s">
        <v>207</v>
      </c>
      <c r="E75" s="150" t="s">
        <v>22</v>
      </c>
      <c r="F75" s="150">
        <v>12.0</v>
      </c>
      <c r="G75" s="150">
        <v>6.0</v>
      </c>
    </row>
    <row r="76">
      <c r="A76" s="150">
        <v>75.0</v>
      </c>
      <c r="B76" s="151">
        <v>24260.0</v>
      </c>
      <c r="C76" s="150" t="s">
        <v>208</v>
      </c>
      <c r="D76" s="150" t="s">
        <v>209</v>
      </c>
      <c r="E76" s="150" t="s">
        <v>29</v>
      </c>
      <c r="F76" s="150">
        <v>14.0</v>
      </c>
      <c r="G76" s="150">
        <v>7.0</v>
      </c>
    </row>
    <row r="77">
      <c r="A77" s="150">
        <v>76.0</v>
      </c>
      <c r="B77" s="151">
        <v>24560.0</v>
      </c>
      <c r="C77" s="150" t="s">
        <v>210</v>
      </c>
      <c r="D77" s="150" t="s">
        <v>211</v>
      </c>
      <c r="E77" s="150" t="s">
        <v>29</v>
      </c>
      <c r="F77" s="150">
        <v>12.0</v>
      </c>
      <c r="G77" s="150">
        <v>6.0</v>
      </c>
    </row>
    <row r="78">
      <c r="A78" s="150">
        <v>77.0</v>
      </c>
      <c r="B78" s="151">
        <v>33060.0</v>
      </c>
      <c r="C78" s="150" t="s">
        <v>212</v>
      </c>
      <c r="D78" s="150" t="s">
        <v>213</v>
      </c>
      <c r="E78" s="150" t="s">
        <v>29</v>
      </c>
      <c r="F78" s="150">
        <v>11.0</v>
      </c>
      <c r="G78" s="150">
        <v>5.5</v>
      </c>
    </row>
    <row r="79">
      <c r="A79" s="150">
        <v>78.0</v>
      </c>
      <c r="B79" s="151">
        <v>35760.0</v>
      </c>
      <c r="C79" s="150" t="s">
        <v>214</v>
      </c>
      <c r="D79" s="150" t="s">
        <v>215</v>
      </c>
      <c r="E79" s="150" t="s">
        <v>29</v>
      </c>
      <c r="F79" s="150">
        <v>7.0</v>
      </c>
      <c r="G79" s="150">
        <v>3.5</v>
      </c>
    </row>
    <row r="80">
      <c r="A80" s="150">
        <v>79.0</v>
      </c>
      <c r="B80" s="151">
        <v>45960.0</v>
      </c>
      <c r="C80" s="150" t="s">
        <v>216</v>
      </c>
      <c r="D80" s="150" t="s">
        <v>217</v>
      </c>
      <c r="E80" s="150" t="s">
        <v>29</v>
      </c>
      <c r="F80" s="150">
        <v>14.0</v>
      </c>
      <c r="G80" s="150">
        <v>7.0</v>
      </c>
    </row>
    <row r="81">
      <c r="A81" s="150">
        <v>80.0</v>
      </c>
      <c r="B81" s="151">
        <v>492459.0</v>
      </c>
      <c r="C81" s="150" t="s">
        <v>218</v>
      </c>
      <c r="D81" s="150" t="s">
        <v>219</v>
      </c>
      <c r="E81" s="150" t="s">
        <v>220</v>
      </c>
      <c r="F81" s="150">
        <v>8.0</v>
      </c>
      <c r="G81" s="150">
        <v>4.0</v>
      </c>
    </row>
    <row r="82">
      <c r="A82" s="150">
        <v>81.0</v>
      </c>
      <c r="B82" s="151">
        <v>521152.0</v>
      </c>
      <c r="C82" s="150" t="s">
        <v>221</v>
      </c>
      <c r="D82" s="150" t="s">
        <v>222</v>
      </c>
      <c r="E82" s="150" t="s">
        <v>223</v>
      </c>
      <c r="F82" s="150"/>
      <c r="G82" s="150"/>
    </row>
    <row r="83">
      <c r="A83" s="150">
        <v>82.0</v>
      </c>
      <c r="B83" s="151">
        <v>71860.0</v>
      </c>
      <c r="C83" s="150" t="s">
        <v>224</v>
      </c>
      <c r="D83" s="150" t="s">
        <v>225</v>
      </c>
      <c r="E83" s="150" t="s">
        <v>29</v>
      </c>
      <c r="F83" s="150">
        <v>11.0</v>
      </c>
      <c r="G83" s="150">
        <v>5.5</v>
      </c>
    </row>
    <row r="84">
      <c r="A84" s="150">
        <v>83.0</v>
      </c>
      <c r="B84" s="151">
        <v>92760.0</v>
      </c>
      <c r="C84" s="150" t="s">
        <v>62</v>
      </c>
      <c r="D84" s="150" t="s">
        <v>226</v>
      </c>
      <c r="E84" s="150" t="s">
        <v>22</v>
      </c>
      <c r="F84" s="150">
        <v>6.0</v>
      </c>
      <c r="G84" s="150">
        <v>3.0</v>
      </c>
    </row>
    <row r="85">
      <c r="A85" s="150">
        <v>84.0</v>
      </c>
      <c r="B85" s="151">
        <v>9460.0</v>
      </c>
      <c r="C85" s="150" t="s">
        <v>28</v>
      </c>
      <c r="D85" s="150" t="s">
        <v>227</v>
      </c>
      <c r="E85" s="150" t="s">
        <v>29</v>
      </c>
      <c r="F85" s="150">
        <v>14.0</v>
      </c>
      <c r="G85" s="150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4.0"/>
    <col customWidth="1" min="2" max="2" width="2.13"/>
    <col customWidth="1" min="3" max="3" width="8.88"/>
    <col customWidth="1" min="4" max="4" width="11.5"/>
    <col customWidth="1" min="5" max="5" width="1.38"/>
    <col customWidth="1" min="6" max="6" width="5.13"/>
    <col customWidth="1" min="7" max="7" width="9.25"/>
    <col customWidth="1" min="8" max="9" width="0.38"/>
    <col customWidth="1" min="10" max="10" width="10.25"/>
    <col customWidth="1" min="11" max="11" width="0.38"/>
    <col customWidth="1" min="12" max="12" width="6.75"/>
    <col customWidth="1" min="13" max="13" width="2.88"/>
    <col customWidth="1" min="14" max="14" width="1.63"/>
    <col customWidth="1" min="15" max="15" width="10.38"/>
    <col customWidth="1" min="16" max="16" width="0.38"/>
    <col customWidth="1" min="17" max="18" width="23.13"/>
  </cols>
  <sheetData>
    <row r="1" ht="12.75" customHeight="1">
      <c r="A1" s="152" t="s">
        <v>0</v>
      </c>
      <c r="B1" s="12"/>
      <c r="C1" s="153" t="s">
        <v>228</v>
      </c>
      <c r="D1" s="152" t="s">
        <v>229</v>
      </c>
      <c r="E1" s="11"/>
      <c r="F1" s="11"/>
      <c r="G1" s="11"/>
      <c r="H1" s="12"/>
      <c r="I1" s="152" t="s">
        <v>230</v>
      </c>
      <c r="J1" s="11"/>
      <c r="K1" s="12"/>
      <c r="L1" s="152" t="s">
        <v>231</v>
      </c>
      <c r="M1" s="11"/>
      <c r="N1" s="12"/>
      <c r="O1" s="152" t="s">
        <v>232</v>
      </c>
      <c r="P1" s="12"/>
      <c r="Q1" s="152" t="s">
        <v>77</v>
      </c>
      <c r="R1" s="12"/>
    </row>
    <row r="2" ht="12.75" customHeight="1">
      <c r="A2" s="154">
        <v>1.0</v>
      </c>
      <c r="B2" s="12"/>
      <c r="C2" s="155">
        <v>1513460.0</v>
      </c>
      <c r="D2" s="154" t="s">
        <v>233</v>
      </c>
      <c r="E2" s="11"/>
      <c r="F2" s="156" t="s">
        <v>234</v>
      </c>
      <c r="G2" s="12"/>
      <c r="H2" s="155" t="s">
        <v>22</v>
      </c>
      <c r="K2" s="157"/>
      <c r="L2" s="158">
        <f>VLOOKUP(C2,Sheet1!$B$3:$H$44, 7, FALSE)</f>
        <v>1</v>
      </c>
      <c r="M2" s="11"/>
      <c r="N2" s="12"/>
      <c r="O2" s="159">
        <f>VLOOKUP(C2, Sheet1!$B$3:$T$44, 16,FALSE)</f>
        <v>0</v>
      </c>
      <c r="P2" s="12"/>
      <c r="Q2" s="160" t="str">
        <f>VLOOKUP(C2, Sheet1!$B$3:$T$44, 19,FALSE)</f>
        <v>BỎ HỌC, BỎ THI</v>
      </c>
      <c r="R2" s="12"/>
    </row>
    <row r="3" ht="12.75" customHeight="1">
      <c r="A3" s="154">
        <v>2.0</v>
      </c>
      <c r="B3" s="12"/>
      <c r="C3" s="155">
        <v>1503561.0</v>
      </c>
      <c r="D3" s="154" t="s">
        <v>235</v>
      </c>
      <c r="E3" s="11"/>
      <c r="F3" s="156" t="s">
        <v>234</v>
      </c>
      <c r="G3" s="12"/>
      <c r="H3" s="155" t="s">
        <v>25</v>
      </c>
      <c r="K3" s="157"/>
      <c r="L3" s="158">
        <f>VLOOKUP(C3,Sheet1!$B$3:$H$44, 7, FALSE)</f>
        <v>1</v>
      </c>
      <c r="M3" s="11"/>
      <c r="N3" s="12"/>
      <c r="O3" s="159">
        <f>VLOOKUP(C3, Sheet1!$B$3:$T$44, 16,FALSE)</f>
        <v>0</v>
      </c>
      <c r="P3" s="12"/>
      <c r="Q3" s="160" t="str">
        <f>VLOOKUP(C3, Sheet1!$B$3:$T$44, 19,FALSE)</f>
        <v>BỎ HỌC, BỎ THI</v>
      </c>
      <c r="R3" s="12"/>
    </row>
    <row r="4" ht="12.75" customHeight="1">
      <c r="A4" s="154">
        <v>3.0</v>
      </c>
      <c r="B4" s="12"/>
      <c r="C4" s="155">
        <v>1543960.0</v>
      </c>
      <c r="D4" s="154" t="s">
        <v>236</v>
      </c>
      <c r="E4" s="11"/>
      <c r="F4" s="156" t="s">
        <v>237</v>
      </c>
      <c r="G4" s="12"/>
      <c r="H4" s="155" t="s">
        <v>22</v>
      </c>
      <c r="K4" s="157"/>
      <c r="L4" s="158">
        <f>VLOOKUP(C4,Sheet1!$B$3:$H$44, 7, FALSE)</f>
        <v>8.5</v>
      </c>
      <c r="M4" s="11"/>
      <c r="N4" s="12"/>
      <c r="O4" s="159">
        <f>VLOOKUP(C4, Sheet1!$B$3:$T$44, 16,FALSE)</f>
        <v>5</v>
      </c>
      <c r="P4" s="12"/>
      <c r="Q4" s="160" t="str">
        <f>VLOOKUP(C4, Sheet1!$B$3:$T$44, 19,FALSE)</f>
        <v/>
      </c>
      <c r="R4" s="12"/>
    </row>
    <row r="5" ht="12.75" customHeight="1">
      <c r="A5" s="154">
        <v>4.0</v>
      </c>
      <c r="B5" s="12"/>
      <c r="C5" s="155">
        <v>174860.0</v>
      </c>
      <c r="D5" s="154" t="s">
        <v>238</v>
      </c>
      <c r="E5" s="11"/>
      <c r="F5" s="156" t="s">
        <v>239</v>
      </c>
      <c r="G5" s="12"/>
      <c r="H5" s="155" t="s">
        <v>22</v>
      </c>
      <c r="K5" s="157"/>
      <c r="L5" s="158">
        <f>VLOOKUP(C5,Sheet1!$B$3:$H$44, 7, FALSE)</f>
        <v>5.5</v>
      </c>
      <c r="M5" s="11"/>
      <c r="N5" s="12"/>
      <c r="O5" s="159">
        <f>VLOOKUP(C5, Sheet1!$B$3:$T$44, 16,FALSE)</f>
        <v>5.5</v>
      </c>
      <c r="P5" s="12"/>
      <c r="Q5" s="160" t="str">
        <f>VLOOKUP(C5, Sheet1!$B$3:$T$44, 19,FALSE)</f>
        <v/>
      </c>
      <c r="R5" s="12"/>
    </row>
    <row r="6" ht="12.75" customHeight="1">
      <c r="A6" s="154">
        <v>5.0</v>
      </c>
      <c r="B6" s="12"/>
      <c r="C6" s="155">
        <v>9460.0</v>
      </c>
      <c r="D6" s="154" t="s">
        <v>240</v>
      </c>
      <c r="E6" s="11"/>
      <c r="F6" s="156" t="s">
        <v>241</v>
      </c>
      <c r="G6" s="12"/>
      <c r="H6" s="155" t="s">
        <v>29</v>
      </c>
      <c r="K6" s="157"/>
      <c r="L6" s="158">
        <f>VLOOKUP(C6,Sheet1!$B$3:$H$44, 7, FALSE)</f>
        <v>8.5</v>
      </c>
      <c r="M6" s="11"/>
      <c r="N6" s="12"/>
      <c r="O6" s="159">
        <f>VLOOKUP(C6, Sheet1!$B$3:$T$44, 16,FALSE)</f>
        <v>9.5</v>
      </c>
      <c r="P6" s="12"/>
      <c r="Q6" s="160" t="str">
        <f>VLOOKUP(C6, Sheet1!$B$3:$T$44, 19,FALSE)</f>
        <v/>
      </c>
      <c r="R6" s="12"/>
    </row>
    <row r="7" ht="12.75" customHeight="1">
      <c r="A7" s="154">
        <v>6.0</v>
      </c>
      <c r="B7" s="12"/>
      <c r="C7" s="155">
        <v>1506260.0</v>
      </c>
      <c r="D7" s="154" t="s">
        <v>242</v>
      </c>
      <c r="E7" s="11"/>
      <c r="F7" s="156" t="s">
        <v>86</v>
      </c>
      <c r="G7" s="12"/>
      <c r="H7" s="155" t="s">
        <v>22</v>
      </c>
      <c r="K7" s="157"/>
      <c r="L7" s="158">
        <f>VLOOKUP(C7,Sheet1!$B$3:$H$44, 7, FALSE)</f>
        <v>9.5</v>
      </c>
      <c r="M7" s="11"/>
      <c r="N7" s="12"/>
      <c r="O7" s="159">
        <f>VLOOKUP(C7, Sheet1!$B$3:$T$44, 16,FALSE)</f>
        <v>8.5</v>
      </c>
      <c r="P7" s="12"/>
      <c r="Q7" s="160" t="str">
        <f>VLOOKUP(C7, Sheet1!$B$3:$T$44, 19,FALSE)</f>
        <v>Đã được nâng điểm chữ</v>
      </c>
      <c r="R7" s="12"/>
    </row>
    <row r="8" ht="12.75" customHeight="1">
      <c r="A8" s="154">
        <v>7.0</v>
      </c>
      <c r="B8" s="12"/>
      <c r="C8" s="155">
        <v>1547360.0</v>
      </c>
      <c r="D8" s="154" t="s">
        <v>243</v>
      </c>
      <c r="E8" s="11"/>
      <c r="F8" s="156" t="s">
        <v>244</v>
      </c>
      <c r="G8" s="12"/>
      <c r="H8" s="155" t="s">
        <v>22</v>
      </c>
      <c r="K8" s="157"/>
      <c r="L8" s="158">
        <f>VLOOKUP(C8,Sheet1!$B$3:$H$44, 7, FALSE)</f>
        <v>7.5</v>
      </c>
      <c r="M8" s="11"/>
      <c r="N8" s="12"/>
      <c r="O8" s="159">
        <f>VLOOKUP(C8, Sheet1!$B$3:$T$44, 16,FALSE)</f>
        <v>8.5</v>
      </c>
      <c r="P8" s="12"/>
      <c r="Q8" s="160" t="str">
        <f>VLOOKUP(C8, Sheet1!$B$3:$T$44, 19,FALSE)</f>
        <v>Đã được nâng điểm chữ</v>
      </c>
      <c r="R8" s="12"/>
    </row>
    <row r="9" ht="12.75" customHeight="1">
      <c r="A9" s="154">
        <v>8.0</v>
      </c>
      <c r="B9" s="12"/>
      <c r="C9" s="155">
        <v>127160.0</v>
      </c>
      <c r="D9" s="154" t="s">
        <v>245</v>
      </c>
      <c r="E9" s="11"/>
      <c r="F9" s="156" t="s">
        <v>246</v>
      </c>
      <c r="G9" s="12"/>
      <c r="H9" s="155" t="s">
        <v>22</v>
      </c>
      <c r="K9" s="157"/>
      <c r="L9" s="158">
        <f>VLOOKUP(C9,Sheet1!$B$3:$H$44, 7, FALSE)</f>
        <v>7.5</v>
      </c>
      <c r="M9" s="11"/>
      <c r="N9" s="12"/>
      <c r="O9" s="159">
        <f>VLOOKUP(C9, Sheet1!$B$3:$T$44, 16,FALSE)</f>
        <v>4</v>
      </c>
      <c r="P9" s="12"/>
      <c r="Q9" s="160" t="str">
        <f>VLOOKUP(C9, Sheet1!$B$3:$T$44, 19,FALSE)</f>
        <v/>
      </c>
      <c r="R9" s="12"/>
    </row>
    <row r="10" ht="12.75" customHeight="1">
      <c r="A10" s="154">
        <v>9.0</v>
      </c>
      <c r="B10" s="12"/>
      <c r="C10" s="155">
        <v>1533860.0</v>
      </c>
      <c r="D10" s="154" t="s">
        <v>247</v>
      </c>
      <c r="E10" s="11"/>
      <c r="F10" s="156" t="s">
        <v>248</v>
      </c>
      <c r="G10" s="12"/>
      <c r="H10" s="155" t="s">
        <v>22</v>
      </c>
      <c r="K10" s="157"/>
      <c r="L10" s="158">
        <f>VLOOKUP(C10,Sheet1!$B$3:$H$44, 7, FALSE)</f>
        <v>7.5</v>
      </c>
      <c r="M10" s="11"/>
      <c r="N10" s="12"/>
      <c r="O10" s="159">
        <f>VLOOKUP(C10, Sheet1!$B$3:$T$44, 16,FALSE)</f>
        <v>2</v>
      </c>
      <c r="P10" s="12"/>
      <c r="Q10" s="160" t="str">
        <f>VLOOKUP(C10, Sheet1!$B$3:$T$44, 19,FALSE)</f>
        <v/>
      </c>
      <c r="R10" s="12"/>
    </row>
    <row r="11" ht="12.75" customHeight="1">
      <c r="A11" s="154">
        <v>10.0</v>
      </c>
      <c r="B11" s="12"/>
      <c r="C11" s="155">
        <v>130260.0</v>
      </c>
      <c r="D11" s="154" t="s">
        <v>249</v>
      </c>
      <c r="E11" s="11"/>
      <c r="F11" s="156" t="s">
        <v>248</v>
      </c>
      <c r="G11" s="12"/>
      <c r="H11" s="155" t="s">
        <v>22</v>
      </c>
      <c r="K11" s="157"/>
      <c r="L11" s="158">
        <f>VLOOKUP(C11,Sheet1!$B$3:$H$44, 7, FALSE)</f>
        <v>8</v>
      </c>
      <c r="M11" s="11"/>
      <c r="N11" s="12"/>
      <c r="O11" s="159">
        <f>VLOOKUP(C11, Sheet1!$B$3:$T$44, 16,FALSE)</f>
        <v>6</v>
      </c>
      <c r="P11" s="12"/>
      <c r="Q11" s="160" t="str">
        <f>VLOOKUP(C11, Sheet1!$B$3:$T$44, 19,FALSE)</f>
        <v/>
      </c>
      <c r="R11" s="12"/>
    </row>
    <row r="12" ht="12.75" customHeight="1">
      <c r="A12" s="154">
        <v>11.0</v>
      </c>
      <c r="B12" s="12"/>
      <c r="C12" s="155">
        <v>111060.0</v>
      </c>
      <c r="D12" s="154" t="s">
        <v>242</v>
      </c>
      <c r="E12" s="11"/>
      <c r="F12" s="156" t="s">
        <v>250</v>
      </c>
      <c r="G12" s="12"/>
      <c r="H12" s="155" t="s">
        <v>22</v>
      </c>
      <c r="K12" s="157"/>
      <c r="L12" s="158">
        <f>VLOOKUP(C12,Sheet1!$B$3:$H$44, 7, FALSE)</f>
        <v>7</v>
      </c>
      <c r="M12" s="11"/>
      <c r="N12" s="12"/>
      <c r="O12" s="159">
        <f>VLOOKUP(C12, Sheet1!$B$3:$T$44, 16,FALSE)</f>
        <v>6.5</v>
      </c>
      <c r="P12" s="12"/>
      <c r="Q12" s="160" t="str">
        <f>VLOOKUP(C12, Sheet1!$B$3:$T$44, 19,FALSE)</f>
        <v>Đã được nâng điểm chữ</v>
      </c>
      <c r="R12" s="12"/>
    </row>
    <row r="13" ht="12.75" customHeight="1">
      <c r="A13" s="154">
        <v>12.0</v>
      </c>
      <c r="B13" s="12"/>
      <c r="C13" s="155">
        <v>1518860.0</v>
      </c>
      <c r="D13" s="154" t="s">
        <v>251</v>
      </c>
      <c r="E13" s="11"/>
      <c r="F13" s="156" t="s">
        <v>252</v>
      </c>
      <c r="G13" s="12"/>
      <c r="H13" s="155" t="s">
        <v>22</v>
      </c>
      <c r="K13" s="157"/>
      <c r="L13" s="158">
        <f>VLOOKUP(C13,Sheet1!$B$3:$H$44, 7, FALSE)</f>
        <v>8.5</v>
      </c>
      <c r="M13" s="11"/>
      <c r="N13" s="12"/>
      <c r="O13" s="159">
        <f>VLOOKUP(C13, Sheet1!$B$3:$T$44, 16,FALSE)</f>
        <v>4.5</v>
      </c>
      <c r="P13" s="12"/>
      <c r="Q13" s="160" t="str">
        <f>VLOOKUP(C13, Sheet1!$B$3:$T$44, 19,FALSE)</f>
        <v/>
      </c>
      <c r="R13" s="12"/>
    </row>
    <row r="14" ht="12.75" customHeight="1">
      <c r="A14" s="154">
        <v>13.0</v>
      </c>
      <c r="B14" s="12"/>
      <c r="C14" s="155">
        <v>1506357.0</v>
      </c>
      <c r="D14" s="154" t="s">
        <v>253</v>
      </c>
      <c r="E14" s="11"/>
      <c r="F14" s="156" t="s">
        <v>252</v>
      </c>
      <c r="G14" s="12"/>
      <c r="H14" s="155" t="s">
        <v>38</v>
      </c>
      <c r="K14" s="157"/>
      <c r="L14" s="158">
        <f>VLOOKUP(C14,Sheet1!$B$3:$H$44, 7, FALSE)</f>
        <v>6.5</v>
      </c>
      <c r="M14" s="11"/>
      <c r="N14" s="12"/>
      <c r="O14" s="159">
        <f>VLOOKUP(C14, Sheet1!$B$3:$T$44, 16,FALSE)</f>
        <v>3</v>
      </c>
      <c r="P14" s="12"/>
      <c r="Q14" s="160" t="str">
        <f>VLOOKUP(C14, Sheet1!$B$3:$T$44, 19,FALSE)</f>
        <v/>
      </c>
      <c r="R14" s="12"/>
    </row>
    <row r="15" ht="12.75" customHeight="1">
      <c r="A15" s="154">
        <v>14.0</v>
      </c>
      <c r="B15" s="12"/>
      <c r="C15" s="155">
        <v>1535160.0</v>
      </c>
      <c r="D15" s="154" t="s">
        <v>254</v>
      </c>
      <c r="E15" s="11"/>
      <c r="F15" s="156" t="s">
        <v>255</v>
      </c>
      <c r="G15" s="12"/>
      <c r="H15" s="155" t="s">
        <v>22</v>
      </c>
      <c r="K15" s="157"/>
      <c r="L15" s="158">
        <f>VLOOKUP(C15,Sheet1!$B$3:$H$44, 7, FALSE)</f>
        <v>8.5</v>
      </c>
      <c r="M15" s="11"/>
      <c r="N15" s="12"/>
      <c r="O15" s="159">
        <f>VLOOKUP(C15, Sheet1!$B$3:$T$44, 16,FALSE)</f>
        <v>4.5</v>
      </c>
      <c r="P15" s="12"/>
      <c r="Q15" s="160" t="str">
        <f>VLOOKUP(C15, Sheet1!$B$3:$T$44, 19,FALSE)</f>
        <v>Đã được nâng điểm chữ</v>
      </c>
      <c r="R15" s="12"/>
    </row>
    <row r="16" ht="12.75" customHeight="1">
      <c r="A16" s="154">
        <v>15.0</v>
      </c>
      <c r="B16" s="12"/>
      <c r="C16" s="155">
        <v>170060.0</v>
      </c>
      <c r="D16" s="154" t="s">
        <v>256</v>
      </c>
      <c r="E16" s="11"/>
      <c r="F16" s="156" t="s">
        <v>255</v>
      </c>
      <c r="G16" s="12"/>
      <c r="H16" s="155" t="s">
        <v>22</v>
      </c>
      <c r="K16" s="157"/>
      <c r="L16" s="158">
        <f>VLOOKUP(C16,Sheet1!$B$3:$H$44, 7, FALSE)</f>
        <v>8.5</v>
      </c>
      <c r="M16" s="11"/>
      <c r="N16" s="12"/>
      <c r="O16" s="159">
        <f>VLOOKUP(C16, Sheet1!$B$3:$T$44, 16,FALSE)</f>
        <v>6</v>
      </c>
      <c r="P16" s="12"/>
      <c r="Q16" s="160" t="str">
        <f>VLOOKUP(C16, Sheet1!$B$3:$T$44, 19,FALSE)</f>
        <v/>
      </c>
      <c r="R16" s="12"/>
    </row>
    <row r="17" ht="12.75" customHeight="1">
      <c r="A17" s="154">
        <v>16.0</v>
      </c>
      <c r="B17" s="12"/>
      <c r="C17" s="155">
        <v>1511460.0</v>
      </c>
      <c r="D17" s="154" t="s">
        <v>257</v>
      </c>
      <c r="E17" s="11"/>
      <c r="F17" s="156" t="s">
        <v>255</v>
      </c>
      <c r="G17" s="12"/>
      <c r="H17" s="155" t="s">
        <v>22</v>
      </c>
      <c r="K17" s="157"/>
      <c r="L17" s="158">
        <f>VLOOKUP(C17,Sheet1!$B$3:$H$44, 7, FALSE)</f>
        <v>9</v>
      </c>
      <c r="M17" s="11"/>
      <c r="N17" s="12"/>
      <c r="O17" s="159">
        <f>VLOOKUP(C17, Sheet1!$B$3:$T$44, 16,FALSE)</f>
        <v>5.5</v>
      </c>
      <c r="P17" s="12"/>
      <c r="Q17" s="160" t="str">
        <f>VLOOKUP(C17, Sheet1!$B$3:$T$44, 19,FALSE)</f>
        <v/>
      </c>
      <c r="R17" s="12"/>
    </row>
    <row r="18" ht="12.75" customHeight="1">
      <c r="A18" s="154">
        <v>17.0</v>
      </c>
      <c r="B18" s="12"/>
      <c r="C18" s="155">
        <v>1565360.0</v>
      </c>
      <c r="D18" s="154" t="s">
        <v>258</v>
      </c>
      <c r="E18" s="11"/>
      <c r="F18" s="156" t="s">
        <v>259</v>
      </c>
      <c r="G18" s="12"/>
      <c r="H18" s="155" t="s">
        <v>22</v>
      </c>
      <c r="K18" s="157"/>
      <c r="L18" s="158">
        <f>VLOOKUP(C18,Sheet1!$B$3:$H$44, 7, FALSE)</f>
        <v>1</v>
      </c>
      <c r="M18" s="11"/>
      <c r="N18" s="12"/>
      <c r="O18" s="159">
        <f>VLOOKUP(C18, Sheet1!$B$3:$T$44, 16,FALSE)</f>
        <v>0</v>
      </c>
      <c r="P18" s="12"/>
      <c r="Q18" s="160" t="str">
        <f>VLOOKUP(C18, Sheet1!$B$3:$T$44, 19,FALSE)</f>
        <v>BỎ HỌC, BỎ THI</v>
      </c>
      <c r="R18" s="12"/>
    </row>
    <row r="19" ht="12.75" customHeight="1">
      <c r="A19" s="154">
        <v>18.0</v>
      </c>
      <c r="B19" s="12"/>
      <c r="C19" s="155">
        <v>1504559.0</v>
      </c>
      <c r="D19" s="154" t="s">
        <v>260</v>
      </c>
      <c r="E19" s="11"/>
      <c r="F19" s="156" t="s">
        <v>261</v>
      </c>
      <c r="G19" s="12"/>
      <c r="H19" s="155" t="s">
        <v>44</v>
      </c>
      <c r="K19" s="157"/>
      <c r="L19" s="158">
        <f>VLOOKUP(C19,Sheet1!$B$3:$H$44, 7, FALSE)</f>
        <v>2</v>
      </c>
      <c r="M19" s="11"/>
      <c r="N19" s="12"/>
      <c r="O19" s="159">
        <f>VLOOKUP(C19, Sheet1!$B$3:$T$44, 16,FALSE)</f>
        <v>0</v>
      </c>
      <c r="P19" s="12"/>
      <c r="Q19" s="160" t="str">
        <f>VLOOKUP(C19, Sheet1!$B$3:$T$44, 19,FALSE)</f>
        <v>BỎ HỌC, BỎ THI</v>
      </c>
      <c r="R19" s="12"/>
    </row>
    <row r="20" ht="12.75" customHeight="1">
      <c r="A20" s="154">
        <v>19.0</v>
      </c>
      <c r="B20" s="12"/>
      <c r="C20" s="155">
        <v>1519760.0</v>
      </c>
      <c r="D20" s="154" t="s">
        <v>262</v>
      </c>
      <c r="E20" s="11"/>
      <c r="F20" s="156" t="s">
        <v>263</v>
      </c>
      <c r="G20" s="12"/>
      <c r="H20" s="155" t="s">
        <v>22</v>
      </c>
      <c r="K20" s="157"/>
      <c r="L20" s="158">
        <f>VLOOKUP(C20,Sheet1!$B$3:$H$44, 7, FALSE)</f>
        <v>8.5</v>
      </c>
      <c r="M20" s="11"/>
      <c r="N20" s="12"/>
      <c r="O20" s="159">
        <f>VLOOKUP(C20, Sheet1!$B$3:$T$44, 16,FALSE)</f>
        <v>6.5</v>
      </c>
      <c r="P20" s="12"/>
      <c r="Q20" s="160" t="str">
        <f>VLOOKUP(C20, Sheet1!$B$3:$T$44, 19,FALSE)</f>
        <v/>
      </c>
      <c r="R20" s="12"/>
    </row>
    <row r="21" ht="12.75" customHeight="1">
      <c r="A21" s="154">
        <v>20.0</v>
      </c>
      <c r="B21" s="12"/>
      <c r="C21" s="155">
        <v>1539760.0</v>
      </c>
      <c r="D21" s="154" t="s">
        <v>242</v>
      </c>
      <c r="E21" s="11"/>
      <c r="F21" s="156" t="s">
        <v>263</v>
      </c>
      <c r="G21" s="12"/>
      <c r="H21" s="155" t="s">
        <v>22</v>
      </c>
      <c r="K21" s="157"/>
      <c r="L21" s="158">
        <f>VLOOKUP(C21,Sheet1!$B$3:$H$44, 7, FALSE)</f>
        <v>9</v>
      </c>
      <c r="M21" s="11"/>
      <c r="N21" s="12"/>
      <c r="O21" s="159">
        <f>VLOOKUP(C21, Sheet1!$B$3:$T$44, 16,FALSE)</f>
        <v>6.5</v>
      </c>
      <c r="P21" s="12"/>
      <c r="Q21" s="160" t="str">
        <f>VLOOKUP(C21, Sheet1!$B$3:$T$44, 19,FALSE)</f>
        <v>Đã được nâng điểm chữ</v>
      </c>
      <c r="R21" s="12"/>
    </row>
    <row r="22" ht="12.75" customHeight="1">
      <c r="A22" s="154">
        <v>21.0</v>
      </c>
      <c r="B22" s="12"/>
      <c r="C22" s="155">
        <v>1512660.0</v>
      </c>
      <c r="D22" s="154" t="s">
        <v>264</v>
      </c>
      <c r="E22" s="11"/>
      <c r="F22" s="156" t="s">
        <v>265</v>
      </c>
      <c r="G22" s="12"/>
      <c r="H22" s="155" t="s">
        <v>22</v>
      </c>
      <c r="K22" s="157"/>
      <c r="L22" s="158">
        <f>VLOOKUP(C22,Sheet1!$B$3:$H$44, 7, FALSE)</f>
        <v>10</v>
      </c>
      <c r="M22" s="11"/>
      <c r="N22" s="12"/>
      <c r="O22" s="159">
        <f>VLOOKUP(C22, Sheet1!$B$3:$T$44, 16,FALSE)</f>
        <v>9.5</v>
      </c>
      <c r="P22" s="12"/>
      <c r="Q22" s="160" t="str">
        <f>VLOOKUP(C22, Sheet1!$B$3:$T$44, 19,FALSE)</f>
        <v/>
      </c>
      <c r="R22" s="12"/>
    </row>
    <row r="23" ht="12.75" customHeight="1">
      <c r="A23" s="154">
        <v>22.0</v>
      </c>
      <c r="B23" s="12"/>
      <c r="C23" s="155">
        <v>1536360.0</v>
      </c>
      <c r="D23" s="154" t="s">
        <v>266</v>
      </c>
      <c r="E23" s="11"/>
      <c r="F23" s="156" t="s">
        <v>267</v>
      </c>
      <c r="G23" s="12"/>
      <c r="H23" s="155" t="s">
        <v>22</v>
      </c>
      <c r="K23" s="157"/>
      <c r="L23" s="158">
        <f>VLOOKUP(C23,Sheet1!$B$3:$H$44, 7, FALSE)</f>
        <v>8</v>
      </c>
      <c r="M23" s="11"/>
      <c r="N23" s="12"/>
      <c r="O23" s="159">
        <f>VLOOKUP(C23, Sheet1!$B$3:$T$44, 16,FALSE)</f>
        <v>9.5</v>
      </c>
      <c r="P23" s="12"/>
      <c r="Q23" s="160" t="str">
        <f>VLOOKUP(C23, Sheet1!$B$3:$T$44, 19,FALSE)</f>
        <v/>
      </c>
      <c r="R23" s="12"/>
    </row>
    <row r="24" ht="12.75" customHeight="1">
      <c r="A24" s="154">
        <v>23.0</v>
      </c>
      <c r="B24" s="12"/>
      <c r="C24" s="155">
        <v>1538660.0</v>
      </c>
      <c r="D24" s="154" t="s">
        <v>268</v>
      </c>
      <c r="E24" s="11"/>
      <c r="F24" s="156" t="s">
        <v>267</v>
      </c>
      <c r="G24" s="12"/>
      <c r="H24" s="155" t="s">
        <v>22</v>
      </c>
      <c r="K24" s="157"/>
      <c r="L24" s="158">
        <f>VLOOKUP(C24,Sheet1!$B$3:$H$44, 7, FALSE)</f>
        <v>9</v>
      </c>
      <c r="M24" s="11"/>
      <c r="N24" s="12"/>
      <c r="O24" s="159">
        <f>VLOOKUP(C24, Sheet1!$B$3:$T$44, 16,FALSE)</f>
        <v>6.5</v>
      </c>
      <c r="P24" s="12"/>
      <c r="Q24" s="160" t="str">
        <f>VLOOKUP(C24, Sheet1!$B$3:$T$44, 19,FALSE)</f>
        <v/>
      </c>
      <c r="R24" s="12"/>
    </row>
    <row r="25" ht="12.75" customHeight="1">
      <c r="A25" s="154">
        <v>24.0</v>
      </c>
      <c r="B25" s="12"/>
      <c r="C25" s="155">
        <v>1520260.0</v>
      </c>
      <c r="D25" s="154" t="s">
        <v>269</v>
      </c>
      <c r="E25" s="11"/>
      <c r="F25" s="156" t="s">
        <v>270</v>
      </c>
      <c r="G25" s="12"/>
      <c r="H25" s="155" t="s">
        <v>22</v>
      </c>
      <c r="K25" s="157"/>
      <c r="L25" s="158">
        <f>VLOOKUP(C25,Sheet1!$B$3:$H$44, 7, FALSE)</f>
        <v>8</v>
      </c>
      <c r="M25" s="11"/>
      <c r="N25" s="12"/>
      <c r="O25" s="159">
        <f>VLOOKUP(C25, Sheet1!$B$3:$T$44, 16,FALSE)</f>
        <v>5.5</v>
      </c>
      <c r="P25" s="12"/>
      <c r="Q25" s="160" t="str">
        <f>VLOOKUP(C25, Sheet1!$B$3:$T$44, 19,FALSE)</f>
        <v/>
      </c>
      <c r="R25" s="12"/>
    </row>
    <row r="26" ht="12.75" customHeight="1">
      <c r="A26" s="154">
        <v>25.0</v>
      </c>
      <c r="B26" s="12"/>
      <c r="C26" s="155">
        <v>119160.0</v>
      </c>
      <c r="D26" s="154" t="s">
        <v>271</v>
      </c>
      <c r="E26" s="11"/>
      <c r="F26" s="156" t="s">
        <v>272</v>
      </c>
      <c r="G26" s="12"/>
      <c r="H26" s="155" t="s">
        <v>22</v>
      </c>
      <c r="K26" s="157"/>
      <c r="L26" s="158">
        <f>VLOOKUP(C26,Sheet1!$B$3:$H$44, 7, FALSE)</f>
        <v>9.5</v>
      </c>
      <c r="M26" s="11"/>
      <c r="N26" s="12"/>
      <c r="O26" s="159">
        <f>VLOOKUP(C26, Sheet1!$B$3:$T$44, 16,FALSE)</f>
        <v>6</v>
      </c>
      <c r="P26" s="12"/>
      <c r="Q26" s="160" t="str">
        <f>VLOOKUP(C26, Sheet1!$B$3:$T$44, 19,FALSE)</f>
        <v/>
      </c>
      <c r="R26" s="12"/>
    </row>
    <row r="27" ht="12.75" customHeight="1">
      <c r="A27" s="154">
        <v>26.0</v>
      </c>
      <c r="B27" s="12"/>
      <c r="C27" s="155">
        <v>1531460.0</v>
      </c>
      <c r="D27" s="154" t="s">
        <v>273</v>
      </c>
      <c r="E27" s="11"/>
      <c r="F27" s="156" t="s">
        <v>274</v>
      </c>
      <c r="G27" s="12"/>
      <c r="H27" s="155" t="s">
        <v>22</v>
      </c>
      <c r="K27" s="157"/>
      <c r="L27" s="158">
        <f>VLOOKUP(C27,Sheet1!$B$3:$H$44, 7, FALSE)</f>
        <v>8.5</v>
      </c>
      <c r="M27" s="11"/>
      <c r="N27" s="12"/>
      <c r="O27" s="159">
        <f>VLOOKUP(C27, Sheet1!$B$3:$T$44, 16,FALSE)</f>
        <v>5</v>
      </c>
      <c r="P27" s="12"/>
      <c r="Q27" s="160" t="str">
        <f>VLOOKUP(C27, Sheet1!$B$3:$T$44, 19,FALSE)</f>
        <v/>
      </c>
      <c r="R27" s="12"/>
    </row>
    <row r="28" ht="12.75" customHeight="1">
      <c r="A28" s="154">
        <v>27.0</v>
      </c>
      <c r="B28" s="12"/>
      <c r="C28" s="155">
        <v>125960.0</v>
      </c>
      <c r="D28" s="154" t="s">
        <v>275</v>
      </c>
      <c r="E28" s="11"/>
      <c r="F28" s="156" t="s">
        <v>274</v>
      </c>
      <c r="G28" s="12"/>
      <c r="H28" s="155" t="s">
        <v>22</v>
      </c>
      <c r="K28" s="157"/>
      <c r="L28" s="158">
        <f>VLOOKUP(C28,Sheet1!$B$3:$H$44, 7, FALSE)</f>
        <v>6.5</v>
      </c>
      <c r="M28" s="11"/>
      <c r="N28" s="12"/>
      <c r="O28" s="159">
        <f>VLOOKUP(C28, Sheet1!$B$3:$T$44, 16,FALSE)</f>
        <v>6</v>
      </c>
      <c r="P28" s="12"/>
      <c r="Q28" s="160" t="str">
        <f>VLOOKUP(C28, Sheet1!$B$3:$T$44, 19,FALSE)</f>
        <v/>
      </c>
      <c r="R28" s="12"/>
    </row>
    <row r="29" ht="12.75" customHeight="1">
      <c r="A29" s="154">
        <v>28.0</v>
      </c>
      <c r="B29" s="12"/>
      <c r="C29" s="155">
        <v>1536260.0</v>
      </c>
      <c r="D29" s="154" t="s">
        <v>276</v>
      </c>
      <c r="E29" s="11"/>
      <c r="F29" s="156" t="s">
        <v>277</v>
      </c>
      <c r="G29" s="12"/>
      <c r="H29" s="155" t="s">
        <v>22</v>
      </c>
      <c r="K29" s="157"/>
      <c r="L29" s="158">
        <f>VLOOKUP(C29,Sheet1!$B$3:$H$44, 7, FALSE)</f>
        <v>2.5</v>
      </c>
      <c r="M29" s="11"/>
      <c r="N29" s="12"/>
      <c r="O29" s="159">
        <f>VLOOKUP(C29, Sheet1!$B$3:$T$44, 16,FALSE)</f>
        <v>1</v>
      </c>
      <c r="P29" s="12"/>
      <c r="Q29" s="160" t="str">
        <f>VLOOKUP(C29, Sheet1!$B$3:$T$44, 19,FALSE)</f>
        <v>BỎ THI GK</v>
      </c>
      <c r="R29" s="12"/>
    </row>
    <row r="30" ht="12.75" customHeight="1">
      <c r="A30" s="154">
        <v>29.0</v>
      </c>
      <c r="B30" s="12"/>
      <c r="C30" s="155">
        <v>1531360.0</v>
      </c>
      <c r="D30" s="154" t="s">
        <v>278</v>
      </c>
      <c r="E30" s="11"/>
      <c r="F30" s="156" t="s">
        <v>277</v>
      </c>
      <c r="G30" s="12"/>
      <c r="H30" s="155" t="s">
        <v>22</v>
      </c>
      <c r="K30" s="155"/>
      <c r="L30" s="158">
        <f>VLOOKUP(C30,Sheet1!$B$3:$H$44, 7, FALSE)</f>
        <v>1</v>
      </c>
      <c r="M30" s="11"/>
      <c r="N30" s="12"/>
      <c r="O30" s="159">
        <f>VLOOKUP(C30, Sheet1!$B$3:$T$44, 16,FALSE)</f>
        <v>0</v>
      </c>
      <c r="P30" s="12"/>
      <c r="Q30" s="160" t="str">
        <f>VLOOKUP(C30, Sheet1!$B$3:$T$44, 19,FALSE)</f>
        <v>BỎ HỌC, BỎ THI</v>
      </c>
      <c r="R30" s="12"/>
    </row>
    <row r="31" ht="12.75" customHeight="1">
      <c r="A31" s="154">
        <v>30.0</v>
      </c>
      <c r="B31" s="12"/>
      <c r="C31" s="155">
        <v>1540760.0</v>
      </c>
      <c r="D31" s="154" t="s">
        <v>279</v>
      </c>
      <c r="E31" s="11"/>
      <c r="F31" s="156" t="s">
        <v>280</v>
      </c>
      <c r="G31" s="12"/>
      <c r="H31" s="155" t="s">
        <v>22</v>
      </c>
      <c r="K31" s="155"/>
      <c r="L31" s="158">
        <f>VLOOKUP(C31,Sheet1!$B$3:$H$44, 7, FALSE)</f>
        <v>9.5</v>
      </c>
      <c r="M31" s="11"/>
      <c r="N31" s="12"/>
      <c r="O31" s="159">
        <f>VLOOKUP(C31, Sheet1!$B$3:$T$44, 16,FALSE)</f>
        <v>7.5</v>
      </c>
      <c r="P31" s="12"/>
      <c r="Q31" s="160" t="str">
        <f>VLOOKUP(C31, Sheet1!$B$3:$T$44, 19,FALSE)</f>
        <v/>
      </c>
      <c r="R31" s="12"/>
    </row>
    <row r="32" ht="12.75" customHeight="1">
      <c r="A32" s="154">
        <v>31.0</v>
      </c>
      <c r="B32" s="12"/>
      <c r="C32" s="155">
        <v>150160.0</v>
      </c>
      <c r="D32" s="154" t="s">
        <v>281</v>
      </c>
      <c r="E32" s="11"/>
      <c r="F32" s="156" t="s">
        <v>282</v>
      </c>
      <c r="G32" s="12"/>
      <c r="H32" s="155" t="s">
        <v>22</v>
      </c>
      <c r="K32" s="155"/>
      <c r="L32" s="158">
        <f>VLOOKUP(C32,Sheet1!$B$3:$H$44, 7, FALSE)</f>
        <v>5</v>
      </c>
      <c r="M32" s="11"/>
      <c r="N32" s="12"/>
      <c r="O32" s="159">
        <f>VLOOKUP(C32, Sheet1!$B$3:$T$44, 16,FALSE)</f>
        <v>4</v>
      </c>
      <c r="P32" s="12"/>
      <c r="Q32" s="160" t="str">
        <f>VLOOKUP(C32, Sheet1!$B$3:$T$44, 19,FALSE)</f>
        <v/>
      </c>
      <c r="R32" s="12"/>
    </row>
    <row r="33" ht="12.75" customHeight="1">
      <c r="A33" s="154">
        <v>32.0</v>
      </c>
      <c r="B33" s="12"/>
      <c r="C33" s="155">
        <v>212360.0</v>
      </c>
      <c r="D33" s="154" t="s">
        <v>283</v>
      </c>
      <c r="E33" s="11"/>
      <c r="F33" s="156" t="s">
        <v>284</v>
      </c>
      <c r="G33" s="12"/>
      <c r="H33" s="155" t="s">
        <v>22</v>
      </c>
      <c r="K33" s="155"/>
      <c r="L33" s="158">
        <f>VLOOKUP(C33,Sheet1!$B$3:$H$44, 7, FALSE)</f>
        <v>8</v>
      </c>
      <c r="M33" s="11"/>
      <c r="N33" s="12"/>
      <c r="O33" s="159">
        <f>VLOOKUP(C33, Sheet1!$B$3:$T$44, 16,FALSE)</f>
        <v>9</v>
      </c>
      <c r="P33" s="12"/>
      <c r="Q33" s="160" t="str">
        <f>VLOOKUP(C33, Sheet1!$B$3:$T$44, 19,FALSE)</f>
        <v/>
      </c>
      <c r="R33" s="12"/>
    </row>
    <row r="34" ht="12.75" customHeight="1">
      <c r="A34" s="154">
        <v>33.0</v>
      </c>
      <c r="B34" s="12"/>
      <c r="C34" s="155">
        <v>134760.0</v>
      </c>
      <c r="D34" s="154" t="s">
        <v>275</v>
      </c>
      <c r="E34" s="11"/>
      <c r="F34" s="156" t="s">
        <v>285</v>
      </c>
      <c r="G34" s="12"/>
      <c r="H34" s="155" t="s">
        <v>22</v>
      </c>
      <c r="K34" s="155"/>
      <c r="L34" s="158">
        <f>VLOOKUP(C34,Sheet1!$B$3:$H$44, 7, FALSE)</f>
        <v>7</v>
      </c>
      <c r="M34" s="11"/>
      <c r="N34" s="12"/>
      <c r="O34" s="159">
        <f>VLOOKUP(C34, Sheet1!$B$3:$T$44, 16,FALSE)</f>
        <v>7</v>
      </c>
      <c r="P34" s="12"/>
      <c r="Q34" s="160" t="str">
        <f>VLOOKUP(C34, Sheet1!$B$3:$T$44, 19,FALSE)</f>
        <v/>
      </c>
      <c r="R34" s="12"/>
    </row>
    <row r="35" ht="12.75" customHeight="1">
      <c r="A35" s="154">
        <v>34.0</v>
      </c>
      <c r="B35" s="12"/>
      <c r="C35" s="155">
        <v>209460.0</v>
      </c>
      <c r="D35" s="154" t="s">
        <v>286</v>
      </c>
      <c r="E35" s="11"/>
      <c r="F35" s="156" t="s">
        <v>287</v>
      </c>
      <c r="G35" s="12"/>
      <c r="H35" s="155" t="s">
        <v>22</v>
      </c>
      <c r="K35" s="155"/>
      <c r="L35" s="158">
        <f>VLOOKUP(C35,Sheet1!$B$3:$H$44, 7, FALSE)</f>
        <v>6.5</v>
      </c>
      <c r="M35" s="11"/>
      <c r="N35" s="12"/>
      <c r="O35" s="159">
        <f>VLOOKUP(C35, Sheet1!$B$3:$T$44, 16,FALSE)</f>
        <v>5.5</v>
      </c>
      <c r="P35" s="12"/>
      <c r="Q35" s="160" t="str">
        <f>VLOOKUP(C35, Sheet1!$B$3:$T$44, 19,FALSE)</f>
        <v>Đã được nâng điểm chữ</v>
      </c>
      <c r="R35" s="12"/>
    </row>
    <row r="36" ht="12.75" customHeight="1">
      <c r="A36" s="154">
        <v>35.0</v>
      </c>
      <c r="B36" s="12"/>
      <c r="C36" s="155">
        <v>92760.0</v>
      </c>
      <c r="D36" s="154" t="s">
        <v>288</v>
      </c>
      <c r="E36" s="11"/>
      <c r="F36" s="156" t="s">
        <v>289</v>
      </c>
      <c r="G36" s="12"/>
      <c r="H36" s="155" t="s">
        <v>22</v>
      </c>
      <c r="K36" s="155"/>
      <c r="L36" s="158">
        <f>VLOOKUP(C36,Sheet1!$B$3:$H$44, 7, FALSE)</f>
        <v>6</v>
      </c>
      <c r="M36" s="11"/>
      <c r="N36" s="12"/>
      <c r="O36" s="159">
        <f>VLOOKUP(C36, Sheet1!$B$3:$T$44, 16,FALSE)</f>
        <v>5</v>
      </c>
      <c r="P36" s="12"/>
      <c r="Q36" s="160" t="str">
        <f>VLOOKUP(C36, Sheet1!$B$3:$T$44, 19,FALSE)</f>
        <v>Đã được nâng điểm chữ</v>
      </c>
      <c r="R36" s="12"/>
    </row>
    <row r="37" ht="12.75" customHeight="1">
      <c r="A37" s="154">
        <v>36.0</v>
      </c>
      <c r="B37" s="12"/>
      <c r="C37" s="155">
        <v>1537160.0</v>
      </c>
      <c r="D37" s="154" t="s">
        <v>290</v>
      </c>
      <c r="E37" s="11"/>
      <c r="F37" s="156" t="s">
        <v>291</v>
      </c>
      <c r="G37" s="12"/>
      <c r="H37" s="155" t="s">
        <v>22</v>
      </c>
      <c r="K37" s="155"/>
      <c r="L37" s="158">
        <f>VLOOKUP(C37,Sheet1!$B$3:$H$44, 7, FALSE)</f>
        <v>5.5</v>
      </c>
      <c r="M37" s="11"/>
      <c r="N37" s="12"/>
      <c r="O37" s="159">
        <f>VLOOKUP(C37, Sheet1!$B$3:$T$44, 16,FALSE)</f>
        <v>6</v>
      </c>
      <c r="P37" s="12"/>
      <c r="Q37" s="160" t="str">
        <f>VLOOKUP(C37, Sheet1!$B$3:$T$44, 19,FALSE)</f>
        <v/>
      </c>
      <c r="R37" s="12"/>
    </row>
    <row r="38" ht="12.75" customHeight="1">
      <c r="A38" s="154">
        <v>37.0</v>
      </c>
      <c r="B38" s="12"/>
      <c r="C38" s="155">
        <v>1509760.0</v>
      </c>
      <c r="D38" s="154" t="s">
        <v>292</v>
      </c>
      <c r="E38" s="11"/>
      <c r="F38" s="156" t="s">
        <v>293</v>
      </c>
      <c r="G38" s="12"/>
      <c r="H38" s="155" t="s">
        <v>22</v>
      </c>
      <c r="K38" s="155"/>
      <c r="L38" s="158">
        <f>VLOOKUP(C38,Sheet1!$B$3:$H$44, 7, FALSE)</f>
        <v>8.5</v>
      </c>
      <c r="M38" s="11"/>
      <c r="N38" s="12"/>
      <c r="O38" s="159">
        <f>VLOOKUP(C38, Sheet1!$B$3:$T$44, 16,FALSE)</f>
        <v>6</v>
      </c>
      <c r="P38" s="12"/>
      <c r="Q38" s="160" t="str">
        <f>VLOOKUP(C38, Sheet1!$B$3:$T$44, 19,FALSE)</f>
        <v/>
      </c>
      <c r="R38" s="12"/>
    </row>
    <row r="39" ht="12.75" customHeight="1">
      <c r="A39" s="154">
        <v>38.0</v>
      </c>
      <c r="B39" s="12"/>
      <c r="C39" s="155">
        <v>1535760.0</v>
      </c>
      <c r="D39" s="154" t="s">
        <v>257</v>
      </c>
      <c r="E39" s="11"/>
      <c r="F39" s="156" t="s">
        <v>294</v>
      </c>
      <c r="G39" s="12"/>
      <c r="H39" s="155" t="s">
        <v>22</v>
      </c>
      <c r="K39" s="155"/>
      <c r="L39" s="158">
        <f>VLOOKUP(C39,Sheet1!$B$3:$H$44, 7, FALSE)</f>
        <v>8</v>
      </c>
      <c r="M39" s="11"/>
      <c r="N39" s="12"/>
      <c r="O39" s="159">
        <f>VLOOKUP(C39, Sheet1!$B$3:$T$44, 16,FALSE)</f>
        <v>6</v>
      </c>
      <c r="P39" s="12"/>
      <c r="Q39" s="160" t="str">
        <f>VLOOKUP(C39, Sheet1!$B$3:$T$44, 19,FALSE)</f>
        <v/>
      </c>
      <c r="R39" s="12"/>
    </row>
    <row r="40" ht="12.75" customHeight="1">
      <c r="A40" s="154">
        <v>39.0</v>
      </c>
      <c r="B40" s="12"/>
      <c r="C40" s="155">
        <v>1534560.0</v>
      </c>
      <c r="D40" s="154" t="s">
        <v>295</v>
      </c>
      <c r="E40" s="11"/>
      <c r="F40" s="156" t="s">
        <v>296</v>
      </c>
      <c r="G40" s="12"/>
      <c r="H40" s="155" t="s">
        <v>22</v>
      </c>
      <c r="K40" s="155"/>
      <c r="L40" s="158">
        <f>VLOOKUP(C40,Sheet1!$B$3:$H$44, 7, FALSE)</f>
        <v>7.5</v>
      </c>
      <c r="M40" s="11"/>
      <c r="N40" s="12"/>
      <c r="O40" s="159">
        <f>VLOOKUP(C40, Sheet1!$B$3:$T$44, 16,FALSE)</f>
        <v>5.5</v>
      </c>
      <c r="P40" s="12"/>
      <c r="Q40" s="160" t="str">
        <f>VLOOKUP(C40, Sheet1!$B$3:$T$44, 19,FALSE)</f>
        <v/>
      </c>
      <c r="R40" s="12"/>
    </row>
    <row r="41" ht="12.75" customHeight="1">
      <c r="A41" s="154">
        <v>40.0</v>
      </c>
      <c r="B41" s="12"/>
      <c r="C41" s="155">
        <v>1510560.0</v>
      </c>
      <c r="D41" s="154" t="s">
        <v>249</v>
      </c>
      <c r="E41" s="11"/>
      <c r="F41" s="156" t="s">
        <v>296</v>
      </c>
      <c r="G41" s="12"/>
      <c r="H41" s="155" t="s">
        <v>22</v>
      </c>
      <c r="K41" s="155"/>
      <c r="L41" s="158">
        <f>VLOOKUP(C41,Sheet1!$B$3:$H$44, 7, FALSE)</f>
        <v>8.5</v>
      </c>
      <c r="M41" s="11"/>
      <c r="N41" s="12"/>
      <c r="O41" s="159">
        <f>VLOOKUP(C41, Sheet1!$B$3:$T$44, 16,FALSE)</f>
        <v>7</v>
      </c>
      <c r="P41" s="12"/>
      <c r="Q41" s="160" t="str">
        <f>VLOOKUP(C41, Sheet1!$B$3:$T$44, 19,FALSE)</f>
        <v/>
      </c>
      <c r="R41" s="12"/>
    </row>
    <row r="42" ht="12.75" customHeight="1">
      <c r="A42" s="154">
        <v>41.0</v>
      </c>
      <c r="B42" s="12"/>
      <c r="C42" s="155">
        <v>122760.0</v>
      </c>
      <c r="D42" s="154" t="s">
        <v>297</v>
      </c>
      <c r="E42" s="11"/>
      <c r="F42" s="156" t="s">
        <v>298</v>
      </c>
      <c r="G42" s="12"/>
      <c r="H42" s="155" t="s">
        <v>22</v>
      </c>
      <c r="K42" s="155"/>
      <c r="L42" s="158">
        <f>VLOOKUP(C42,Sheet1!$B$3:$H$44, 7, FALSE)</f>
        <v>8.5</v>
      </c>
      <c r="M42" s="11"/>
      <c r="N42" s="12"/>
      <c r="O42" s="159">
        <f>VLOOKUP(C42, Sheet1!$B$3:$T$44, 16,FALSE)</f>
        <v>7</v>
      </c>
      <c r="P42" s="12"/>
      <c r="Q42" s="160" t="str">
        <f>VLOOKUP(C42, Sheet1!$B$3:$T$44, 19,FALSE)</f>
        <v/>
      </c>
      <c r="R42" s="12"/>
    </row>
    <row r="43" ht="12.75" customHeight="1">
      <c r="A43" s="154">
        <v>42.0</v>
      </c>
      <c r="B43" s="12"/>
      <c r="C43" s="155">
        <v>1558460.0</v>
      </c>
      <c r="D43" s="154" t="s">
        <v>299</v>
      </c>
      <c r="E43" s="11"/>
      <c r="F43" s="156" t="s">
        <v>300</v>
      </c>
      <c r="G43" s="12"/>
      <c r="H43" s="155" t="s">
        <v>22</v>
      </c>
      <c r="K43" s="155"/>
      <c r="L43" s="158">
        <f>VLOOKUP(C43,Sheet1!$B$3:$H$44, 7, FALSE)</f>
        <v>7</v>
      </c>
      <c r="M43" s="11"/>
      <c r="N43" s="12"/>
      <c r="O43" s="159">
        <f>VLOOKUP(C43, Sheet1!$B$3:$T$44, 16,FALSE)</f>
        <v>7</v>
      </c>
      <c r="P43" s="12"/>
      <c r="Q43" s="160" t="str">
        <f>VLOOKUP(C43, Sheet1!$B$3:$T$44, 19,FALSE)</f>
        <v/>
      </c>
      <c r="R43" s="12"/>
    </row>
  </sheetData>
  <mergeCells count="300">
    <mergeCell ref="O5:P5"/>
    <mergeCell ref="O6:P6"/>
    <mergeCell ref="O7:P7"/>
    <mergeCell ref="O2:P2"/>
    <mergeCell ref="Q2:R2"/>
    <mergeCell ref="O3:P3"/>
    <mergeCell ref="Q3:R3"/>
    <mergeCell ref="O4:P4"/>
    <mergeCell ref="Q4:R4"/>
    <mergeCell ref="Q5:R5"/>
    <mergeCell ref="L8:N8"/>
    <mergeCell ref="L9:N9"/>
    <mergeCell ref="L1:N1"/>
    <mergeCell ref="L2:N2"/>
    <mergeCell ref="L3:N3"/>
    <mergeCell ref="L4:N4"/>
    <mergeCell ref="L5:N5"/>
    <mergeCell ref="L6:N6"/>
    <mergeCell ref="L7:N7"/>
    <mergeCell ref="O10:P10"/>
    <mergeCell ref="Q10:R10"/>
    <mergeCell ref="D9:E9"/>
    <mergeCell ref="F9:G9"/>
    <mergeCell ref="H9:J9"/>
    <mergeCell ref="D10:E10"/>
    <mergeCell ref="F10:G10"/>
    <mergeCell ref="H10:J10"/>
    <mergeCell ref="L10:N10"/>
    <mergeCell ref="D11:E11"/>
    <mergeCell ref="F11:G11"/>
    <mergeCell ref="H11:J11"/>
    <mergeCell ref="L11:N11"/>
    <mergeCell ref="O11:P11"/>
    <mergeCell ref="Q11:R11"/>
    <mergeCell ref="A11:B11"/>
    <mergeCell ref="A12:B12"/>
    <mergeCell ref="F12:G12"/>
    <mergeCell ref="H12:J12"/>
    <mergeCell ref="L12:N12"/>
    <mergeCell ref="O12:P12"/>
    <mergeCell ref="Q12:R12"/>
    <mergeCell ref="D12:E12"/>
    <mergeCell ref="D13:E13"/>
    <mergeCell ref="F13:G13"/>
    <mergeCell ref="H13:J13"/>
    <mergeCell ref="L13:N13"/>
    <mergeCell ref="O13:P13"/>
    <mergeCell ref="Q13:R13"/>
    <mergeCell ref="A13:B13"/>
    <mergeCell ref="A14:B14"/>
    <mergeCell ref="F14:G14"/>
    <mergeCell ref="H14:J14"/>
    <mergeCell ref="L14:N14"/>
    <mergeCell ref="O14:P14"/>
    <mergeCell ref="Q14:R14"/>
    <mergeCell ref="D14:E14"/>
    <mergeCell ref="D15:E15"/>
    <mergeCell ref="F15:G15"/>
    <mergeCell ref="H15:J15"/>
    <mergeCell ref="L15:N15"/>
    <mergeCell ref="O15:P15"/>
    <mergeCell ref="Q15:R15"/>
    <mergeCell ref="A15:B15"/>
    <mergeCell ref="A16:B16"/>
    <mergeCell ref="F16:G16"/>
    <mergeCell ref="H16:J16"/>
    <mergeCell ref="L16:N16"/>
    <mergeCell ref="O16:P16"/>
    <mergeCell ref="Q16:R16"/>
    <mergeCell ref="D16:E16"/>
    <mergeCell ref="D17:E17"/>
    <mergeCell ref="F17:G17"/>
    <mergeCell ref="H17:J17"/>
    <mergeCell ref="L17:N17"/>
    <mergeCell ref="O17:P17"/>
    <mergeCell ref="Q17:R17"/>
    <mergeCell ref="A17:B17"/>
    <mergeCell ref="A18:B18"/>
    <mergeCell ref="F18:G18"/>
    <mergeCell ref="H18:J18"/>
    <mergeCell ref="L18:N18"/>
    <mergeCell ref="O18:P18"/>
    <mergeCell ref="Q18:R18"/>
    <mergeCell ref="A32:B32"/>
    <mergeCell ref="D33:E33"/>
    <mergeCell ref="F33:G33"/>
    <mergeCell ref="H33:J33"/>
    <mergeCell ref="L33:N33"/>
    <mergeCell ref="O33:P33"/>
    <mergeCell ref="Q33:R33"/>
    <mergeCell ref="A33:B33"/>
    <mergeCell ref="D34:E34"/>
    <mergeCell ref="F34:G34"/>
    <mergeCell ref="H34:J34"/>
    <mergeCell ref="L34:N34"/>
    <mergeCell ref="O34:P34"/>
    <mergeCell ref="Q34:R34"/>
    <mergeCell ref="A34:B34"/>
    <mergeCell ref="D35:E35"/>
    <mergeCell ref="F35:G35"/>
    <mergeCell ref="H35:J35"/>
    <mergeCell ref="L35:N35"/>
    <mergeCell ref="O35:P35"/>
    <mergeCell ref="Q35:R35"/>
    <mergeCell ref="A35:B35"/>
    <mergeCell ref="D36:E36"/>
    <mergeCell ref="F36:G36"/>
    <mergeCell ref="H36:J36"/>
    <mergeCell ref="L36:N36"/>
    <mergeCell ref="O36:P36"/>
    <mergeCell ref="Q36:R36"/>
    <mergeCell ref="A36:B36"/>
    <mergeCell ref="D37:E37"/>
    <mergeCell ref="F37:G37"/>
    <mergeCell ref="H37:J37"/>
    <mergeCell ref="L37:N37"/>
    <mergeCell ref="O37:P37"/>
    <mergeCell ref="Q37:R37"/>
    <mergeCell ref="A37:B37"/>
    <mergeCell ref="D38:E38"/>
    <mergeCell ref="F38:G38"/>
    <mergeCell ref="H38:J38"/>
    <mergeCell ref="L38:N38"/>
    <mergeCell ref="O38:P38"/>
    <mergeCell ref="Q38:R38"/>
    <mergeCell ref="A38:B38"/>
    <mergeCell ref="D39:E39"/>
    <mergeCell ref="F39:G39"/>
    <mergeCell ref="H39:J39"/>
    <mergeCell ref="L39:N39"/>
    <mergeCell ref="O39:P39"/>
    <mergeCell ref="Q39:R39"/>
    <mergeCell ref="A39:B39"/>
    <mergeCell ref="D40:E40"/>
    <mergeCell ref="F40:G40"/>
    <mergeCell ref="H40:J40"/>
    <mergeCell ref="L40:N40"/>
    <mergeCell ref="O40:P40"/>
    <mergeCell ref="Q40:R40"/>
    <mergeCell ref="A40:B40"/>
    <mergeCell ref="D41:E41"/>
    <mergeCell ref="F41:G41"/>
    <mergeCell ref="H41:J41"/>
    <mergeCell ref="L41:N41"/>
    <mergeCell ref="O41:P41"/>
    <mergeCell ref="Q41:R41"/>
    <mergeCell ref="A41:B41"/>
    <mergeCell ref="D42:E42"/>
    <mergeCell ref="F42:G42"/>
    <mergeCell ref="H42:J42"/>
    <mergeCell ref="L42:N42"/>
    <mergeCell ref="O42:P42"/>
    <mergeCell ref="Q42:R42"/>
    <mergeCell ref="A1:B1"/>
    <mergeCell ref="D1:H1"/>
    <mergeCell ref="I1:K1"/>
    <mergeCell ref="O1:P1"/>
    <mergeCell ref="Q1:R1"/>
    <mergeCell ref="A2:B2"/>
    <mergeCell ref="H2:J2"/>
    <mergeCell ref="D2:E2"/>
    <mergeCell ref="F2:G2"/>
    <mergeCell ref="A3:B3"/>
    <mergeCell ref="D3:E3"/>
    <mergeCell ref="F3:G3"/>
    <mergeCell ref="H3:J3"/>
    <mergeCell ref="H4:J4"/>
    <mergeCell ref="D4:E4"/>
    <mergeCell ref="F4:G4"/>
    <mergeCell ref="D5:E5"/>
    <mergeCell ref="F5:G5"/>
    <mergeCell ref="H5:J5"/>
    <mergeCell ref="F6:G6"/>
    <mergeCell ref="H6:J6"/>
    <mergeCell ref="Q6:R6"/>
    <mergeCell ref="Q7:R7"/>
    <mergeCell ref="O8:P8"/>
    <mergeCell ref="Q8:R8"/>
    <mergeCell ref="O9:P9"/>
    <mergeCell ref="Q9:R9"/>
    <mergeCell ref="D6:E6"/>
    <mergeCell ref="D7:E7"/>
    <mergeCell ref="F7:G7"/>
    <mergeCell ref="H7:J7"/>
    <mergeCell ref="D8:E8"/>
    <mergeCell ref="F8:G8"/>
    <mergeCell ref="H8:J8"/>
    <mergeCell ref="A4:B4"/>
    <mergeCell ref="A5:B5"/>
    <mergeCell ref="A6:B6"/>
    <mergeCell ref="A7:B7"/>
    <mergeCell ref="A8:B8"/>
    <mergeCell ref="A9:B9"/>
    <mergeCell ref="A10:B10"/>
    <mergeCell ref="A42:B42"/>
    <mergeCell ref="A43:B43"/>
    <mergeCell ref="D43:E43"/>
    <mergeCell ref="F43:G43"/>
    <mergeCell ref="H43:J43"/>
    <mergeCell ref="L43:N43"/>
    <mergeCell ref="O43:P43"/>
    <mergeCell ref="Q43:R43"/>
    <mergeCell ref="D18:E18"/>
    <mergeCell ref="D19:E19"/>
    <mergeCell ref="F19:G19"/>
    <mergeCell ref="H19:J19"/>
    <mergeCell ref="L19:N19"/>
    <mergeCell ref="O19:P19"/>
    <mergeCell ref="Q19:R19"/>
    <mergeCell ref="A19:B19"/>
    <mergeCell ref="D20:E20"/>
    <mergeCell ref="F20:G20"/>
    <mergeCell ref="H20:J20"/>
    <mergeCell ref="L20:N20"/>
    <mergeCell ref="O20:P20"/>
    <mergeCell ref="Q20:R20"/>
    <mergeCell ref="A20:B20"/>
    <mergeCell ref="D21:E21"/>
    <mergeCell ref="F21:G21"/>
    <mergeCell ref="H21:J21"/>
    <mergeCell ref="L21:N21"/>
    <mergeCell ref="O21:P21"/>
    <mergeCell ref="Q21:R21"/>
    <mergeCell ref="A21:B21"/>
    <mergeCell ref="D22:E22"/>
    <mergeCell ref="F22:G22"/>
    <mergeCell ref="H22:J22"/>
    <mergeCell ref="L22:N22"/>
    <mergeCell ref="O22:P22"/>
    <mergeCell ref="Q22:R22"/>
    <mergeCell ref="A22:B22"/>
    <mergeCell ref="D23:E23"/>
    <mergeCell ref="F23:G23"/>
    <mergeCell ref="H23:J23"/>
    <mergeCell ref="L23:N23"/>
    <mergeCell ref="O23:P23"/>
    <mergeCell ref="Q23:R23"/>
    <mergeCell ref="A23:B23"/>
    <mergeCell ref="D24:E24"/>
    <mergeCell ref="F24:G24"/>
    <mergeCell ref="H24:J24"/>
    <mergeCell ref="L24:N24"/>
    <mergeCell ref="O24:P24"/>
    <mergeCell ref="Q24:R24"/>
    <mergeCell ref="A24:B24"/>
    <mergeCell ref="D25:E25"/>
    <mergeCell ref="F25:G25"/>
    <mergeCell ref="H25:J25"/>
    <mergeCell ref="L25:N25"/>
    <mergeCell ref="O25:P25"/>
    <mergeCell ref="Q25:R25"/>
    <mergeCell ref="A25:B25"/>
    <mergeCell ref="D26:E26"/>
    <mergeCell ref="F26:G26"/>
    <mergeCell ref="H26:J26"/>
    <mergeCell ref="L26:N26"/>
    <mergeCell ref="O26:P26"/>
    <mergeCell ref="Q26:R26"/>
    <mergeCell ref="A26:B26"/>
    <mergeCell ref="D27:E27"/>
    <mergeCell ref="F27:G27"/>
    <mergeCell ref="H27:J27"/>
    <mergeCell ref="L27:N27"/>
    <mergeCell ref="O27:P27"/>
    <mergeCell ref="Q27:R27"/>
    <mergeCell ref="A27:B27"/>
    <mergeCell ref="D28:E28"/>
    <mergeCell ref="F28:G28"/>
    <mergeCell ref="H28:J28"/>
    <mergeCell ref="L28:N28"/>
    <mergeCell ref="O28:P28"/>
    <mergeCell ref="Q28:R28"/>
    <mergeCell ref="A28:B28"/>
    <mergeCell ref="D29:E29"/>
    <mergeCell ref="F29:G29"/>
    <mergeCell ref="H29:J29"/>
    <mergeCell ref="L29:N29"/>
    <mergeCell ref="O29:P29"/>
    <mergeCell ref="Q29:R29"/>
    <mergeCell ref="A29:B29"/>
    <mergeCell ref="D30:E30"/>
    <mergeCell ref="F30:G30"/>
    <mergeCell ref="H30:J30"/>
    <mergeCell ref="L30:N30"/>
    <mergeCell ref="O30:P30"/>
    <mergeCell ref="Q30:R30"/>
    <mergeCell ref="A30:B30"/>
    <mergeCell ref="D31:E31"/>
    <mergeCell ref="F31:G31"/>
    <mergeCell ref="H31:J31"/>
    <mergeCell ref="L31:N31"/>
    <mergeCell ref="O31:P31"/>
    <mergeCell ref="Q31:R31"/>
    <mergeCell ref="A31:B31"/>
    <mergeCell ref="D32:E32"/>
    <mergeCell ref="F32:G32"/>
    <mergeCell ref="H32:J32"/>
    <mergeCell ref="L32:N32"/>
    <mergeCell ref="O32:P32"/>
    <mergeCell ref="Q32:R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2" width="7.0"/>
    <col customWidth="1" min="3" max="3" width="13.38"/>
    <col customWidth="1" min="4" max="4" width="3.25"/>
    <col customWidth="1" min="5" max="5" width="1.38"/>
    <col customWidth="1" min="6" max="6" width="6.0"/>
    <col customWidth="1" min="7" max="7" width="1.25"/>
    <col customWidth="1" min="8" max="8" width="8.25"/>
    <col customWidth="1" min="9" max="9" width="0.38"/>
    <col customWidth="1" min="10" max="10" width="8.63"/>
    <col customWidth="1" min="11" max="12" width="24.25"/>
  </cols>
  <sheetData>
    <row r="1" ht="12.75" customHeight="1">
      <c r="A1" s="161" t="s">
        <v>93</v>
      </c>
      <c r="B1" s="161" t="s">
        <v>301</v>
      </c>
      <c r="C1" s="161" t="s">
        <v>302</v>
      </c>
      <c r="G1" s="161" t="s">
        <v>97</v>
      </c>
      <c r="J1" s="161" t="s">
        <v>303</v>
      </c>
      <c r="K1" s="162"/>
      <c r="L1" s="162"/>
    </row>
    <row r="2" ht="12.75" customHeight="1">
      <c r="A2" s="155">
        <v>1.0</v>
      </c>
      <c r="B2" s="155">
        <v>1513460.0</v>
      </c>
      <c r="C2" s="154" t="s">
        <v>233</v>
      </c>
      <c r="D2" s="11"/>
      <c r="E2" s="156" t="s">
        <v>234</v>
      </c>
      <c r="F2" s="12"/>
      <c r="G2" s="155" t="s">
        <v>22</v>
      </c>
      <c r="J2" s="155"/>
      <c r="K2" s="163"/>
      <c r="L2" s="163" t="str">
        <f t="shared" ref="L2:L43" si="1">C2 &amp; " " &amp; E2</f>
        <v>Đoàn Việt Anh</v>
      </c>
    </row>
    <row r="3" ht="12.75" customHeight="1">
      <c r="A3" s="155">
        <v>2.0</v>
      </c>
      <c r="B3" s="155">
        <v>1503561.0</v>
      </c>
      <c r="C3" s="154" t="s">
        <v>235</v>
      </c>
      <c r="D3" s="11"/>
      <c r="E3" s="156" t="s">
        <v>234</v>
      </c>
      <c r="F3" s="12"/>
      <c r="G3" s="155" t="s">
        <v>25</v>
      </c>
      <c r="J3" s="155"/>
      <c r="K3" s="163"/>
      <c r="L3" s="163" t="str">
        <f t="shared" si="1"/>
        <v>Nguyễn Tuấn Anh</v>
      </c>
    </row>
    <row r="4" ht="12.75" customHeight="1">
      <c r="A4" s="155">
        <v>3.0</v>
      </c>
      <c r="B4" s="155">
        <v>1543960.0</v>
      </c>
      <c r="C4" s="154" t="s">
        <v>236</v>
      </c>
      <c r="D4" s="11"/>
      <c r="E4" s="156" t="s">
        <v>237</v>
      </c>
      <c r="F4" s="12"/>
      <c r="G4" s="155" t="s">
        <v>22</v>
      </c>
      <c r="J4" s="155">
        <v>5.0</v>
      </c>
      <c r="K4" s="163"/>
      <c r="L4" s="163" t="str">
        <f t="shared" si="1"/>
        <v>Trần Xuân Ba</v>
      </c>
    </row>
    <row r="5" ht="12.75" customHeight="1">
      <c r="A5" s="155">
        <v>4.0</v>
      </c>
      <c r="B5" s="155">
        <v>174860.0</v>
      </c>
      <c r="C5" s="154" t="s">
        <v>238</v>
      </c>
      <c r="D5" s="11"/>
      <c r="E5" s="156" t="s">
        <v>239</v>
      </c>
      <c r="F5" s="12"/>
      <c r="G5" s="155" t="s">
        <v>22</v>
      </c>
      <c r="J5" s="155">
        <v>5.5</v>
      </c>
      <c r="K5" s="163"/>
      <c r="L5" s="163" t="str">
        <f t="shared" si="1"/>
        <v>Đoàn Quốc Bảo</v>
      </c>
    </row>
    <row r="6" ht="12.75" customHeight="1">
      <c r="A6" s="155">
        <v>5.0</v>
      </c>
      <c r="B6" s="155">
        <v>9460.0</v>
      </c>
      <c r="C6" s="154" t="s">
        <v>240</v>
      </c>
      <c r="D6" s="11"/>
      <c r="E6" s="156" t="s">
        <v>241</v>
      </c>
      <c r="F6" s="12"/>
      <c r="G6" s="155" t="s">
        <v>29</v>
      </c>
      <c r="J6" s="155">
        <v>9.0</v>
      </c>
      <c r="K6" s="163"/>
      <c r="L6" s="163" t="str">
        <f t="shared" si="1"/>
        <v>Nguyễn Mạnh Cường</v>
      </c>
    </row>
    <row r="7" ht="12.75" customHeight="1">
      <c r="A7" s="155">
        <v>6.0</v>
      </c>
      <c r="B7" s="155">
        <v>1506260.0</v>
      </c>
      <c r="C7" s="154" t="s">
        <v>242</v>
      </c>
      <c r="D7" s="11"/>
      <c r="E7" s="156" t="s">
        <v>86</v>
      </c>
      <c r="F7" s="12"/>
      <c r="G7" s="155" t="s">
        <v>22</v>
      </c>
      <c r="J7" s="155">
        <v>7.5</v>
      </c>
      <c r="K7" s="163"/>
      <c r="L7" s="163" t="str">
        <f t="shared" si="1"/>
        <v>Nguyễn Văn Đạt</v>
      </c>
    </row>
    <row r="8" ht="12.75" customHeight="1">
      <c r="A8" s="155">
        <v>7.0</v>
      </c>
      <c r="B8" s="155">
        <v>1547360.0</v>
      </c>
      <c r="C8" s="154" t="s">
        <v>243</v>
      </c>
      <c r="D8" s="11"/>
      <c r="E8" s="156" t="s">
        <v>244</v>
      </c>
      <c r="F8" s="12"/>
      <c r="G8" s="155" t="s">
        <v>22</v>
      </c>
      <c r="J8" s="155">
        <v>7.5</v>
      </c>
      <c r="K8" s="163"/>
      <c r="L8" s="163" t="str">
        <f t="shared" si="1"/>
        <v>Đậu Viết Đức</v>
      </c>
    </row>
    <row r="9" ht="12.75" customHeight="1">
      <c r="A9" s="155">
        <v>8.0</v>
      </c>
      <c r="B9" s="155">
        <v>127160.0</v>
      </c>
      <c r="C9" s="154" t="s">
        <v>245</v>
      </c>
      <c r="D9" s="11"/>
      <c r="E9" s="156" t="s">
        <v>246</v>
      </c>
      <c r="F9" s="12"/>
      <c r="G9" s="155" t="s">
        <v>22</v>
      </c>
      <c r="J9" s="155">
        <v>4.5</v>
      </c>
      <c r="K9" s="163"/>
      <c r="L9" s="163" t="str">
        <f t="shared" si="1"/>
        <v>Lê Đức Giáp</v>
      </c>
    </row>
    <row r="10" ht="12.75" customHeight="1">
      <c r="A10" s="155">
        <v>9.0</v>
      </c>
      <c r="B10" s="155">
        <v>1533860.0</v>
      </c>
      <c r="C10" s="154" t="s">
        <v>247</v>
      </c>
      <c r="D10" s="11"/>
      <c r="E10" s="156" t="s">
        <v>248</v>
      </c>
      <c r="F10" s="12"/>
      <c r="G10" s="155" t="s">
        <v>22</v>
      </c>
      <c r="J10" s="155">
        <v>2.0</v>
      </c>
      <c r="K10" s="163"/>
      <c r="L10" s="163" t="str">
        <f t="shared" si="1"/>
        <v>Lê Trung Hiếu</v>
      </c>
    </row>
    <row r="11" ht="12.75" customHeight="1">
      <c r="A11" s="155">
        <v>10.0</v>
      </c>
      <c r="B11" s="155">
        <v>130260.0</v>
      </c>
      <c r="C11" s="154" t="s">
        <v>249</v>
      </c>
      <c r="D11" s="11"/>
      <c r="E11" s="156" t="s">
        <v>248</v>
      </c>
      <c r="F11" s="12"/>
      <c r="G11" s="155" t="s">
        <v>22</v>
      </c>
      <c r="J11" s="155">
        <v>6.0</v>
      </c>
      <c r="K11" s="163"/>
      <c r="L11" s="163" t="str">
        <f t="shared" si="1"/>
        <v>Trần Văn Hiếu</v>
      </c>
    </row>
    <row r="12" ht="12.75" customHeight="1">
      <c r="A12" s="155">
        <v>11.0</v>
      </c>
      <c r="B12" s="155">
        <v>111060.0</v>
      </c>
      <c r="C12" s="154" t="s">
        <v>242</v>
      </c>
      <c r="D12" s="11"/>
      <c r="E12" s="156" t="s">
        <v>250</v>
      </c>
      <c r="F12" s="12"/>
      <c r="G12" s="155" t="s">
        <v>22</v>
      </c>
      <c r="J12" s="155">
        <v>5.5</v>
      </c>
      <c r="K12" s="163"/>
      <c r="L12" s="163" t="str">
        <f t="shared" si="1"/>
        <v>Nguyễn Văn Hĩu</v>
      </c>
    </row>
    <row r="13" ht="12.75" customHeight="1">
      <c r="A13" s="155">
        <v>12.0</v>
      </c>
      <c r="B13" s="155">
        <v>1518860.0</v>
      </c>
      <c r="C13" s="154" t="s">
        <v>251</v>
      </c>
      <c r="D13" s="11"/>
      <c r="E13" s="156" t="s">
        <v>252</v>
      </c>
      <c r="F13" s="12"/>
      <c r="G13" s="155" t="s">
        <v>22</v>
      </c>
      <c r="J13" s="155">
        <v>4.0</v>
      </c>
      <c r="K13" s="163"/>
      <c r="L13" s="163" t="str">
        <f t="shared" si="1"/>
        <v>Nguyễn Hữu Hoàng</v>
      </c>
    </row>
    <row r="14" ht="12.75" customHeight="1">
      <c r="A14" s="155">
        <v>13.0</v>
      </c>
      <c r="B14" s="155">
        <v>1506357.0</v>
      </c>
      <c r="C14" s="154" t="s">
        <v>253</v>
      </c>
      <c r="D14" s="11"/>
      <c r="E14" s="156" t="s">
        <v>252</v>
      </c>
      <c r="F14" s="12"/>
      <c r="G14" s="155" t="s">
        <v>38</v>
      </c>
      <c r="J14" s="155">
        <v>3.0</v>
      </c>
      <c r="K14" s="163"/>
      <c r="L14" s="163" t="str">
        <f t="shared" si="1"/>
        <v>Vũ Minh Hoàng</v>
      </c>
    </row>
    <row r="15" ht="12.75" customHeight="1">
      <c r="A15" s="155">
        <v>14.0</v>
      </c>
      <c r="B15" s="155">
        <v>1535160.0</v>
      </c>
      <c r="C15" s="154" t="s">
        <v>254</v>
      </c>
      <c r="D15" s="11"/>
      <c r="E15" s="156" t="s">
        <v>255</v>
      </c>
      <c r="F15" s="12"/>
      <c r="G15" s="155" t="s">
        <v>22</v>
      </c>
      <c r="J15" s="155">
        <v>4.0</v>
      </c>
      <c r="K15" s="163"/>
      <c r="L15" s="163" t="str">
        <f t="shared" si="1"/>
        <v>Khúc Gia Huy</v>
      </c>
    </row>
    <row r="16" ht="12.75" customHeight="1">
      <c r="A16" s="155">
        <v>15.0</v>
      </c>
      <c r="B16" s="155">
        <v>170060.0</v>
      </c>
      <c r="C16" s="154" t="s">
        <v>256</v>
      </c>
      <c r="D16" s="11"/>
      <c r="E16" s="156" t="s">
        <v>255</v>
      </c>
      <c r="F16" s="12"/>
      <c r="G16" s="155" t="s">
        <v>22</v>
      </c>
      <c r="J16" s="155">
        <v>5.5</v>
      </c>
      <c r="K16" s="163"/>
      <c r="L16" s="163" t="str">
        <f t="shared" si="1"/>
        <v>Lê Minh Huy</v>
      </c>
    </row>
    <row r="17" ht="12.75" customHeight="1">
      <c r="A17" s="155">
        <v>16.0</v>
      </c>
      <c r="B17" s="155">
        <v>1511460.0</v>
      </c>
      <c r="C17" s="154" t="s">
        <v>257</v>
      </c>
      <c r="D17" s="11"/>
      <c r="E17" s="156" t="s">
        <v>255</v>
      </c>
      <c r="F17" s="12"/>
      <c r="G17" s="155" t="s">
        <v>22</v>
      </c>
      <c r="J17" s="155">
        <v>5.5</v>
      </c>
      <c r="K17" s="163"/>
      <c r="L17" s="163" t="str">
        <f t="shared" si="1"/>
        <v>Phạm Ngọc Huy</v>
      </c>
    </row>
    <row r="18" ht="12.75" customHeight="1">
      <c r="A18" s="155">
        <v>17.0</v>
      </c>
      <c r="B18" s="155">
        <v>1565360.0</v>
      </c>
      <c r="C18" s="154" t="s">
        <v>258</v>
      </c>
      <c r="D18" s="11"/>
      <c r="E18" s="156" t="s">
        <v>259</v>
      </c>
      <c r="F18" s="12"/>
      <c r="G18" s="155" t="s">
        <v>22</v>
      </c>
      <c r="J18" s="155"/>
      <c r="K18" s="163"/>
      <c r="L18" s="163" t="str">
        <f t="shared" si="1"/>
        <v>Hoàng Việt Hưng</v>
      </c>
    </row>
    <row r="19" ht="12.75" customHeight="1">
      <c r="A19" s="155">
        <v>18.0</v>
      </c>
      <c r="B19" s="155">
        <v>1504559.0</v>
      </c>
      <c r="C19" s="154" t="s">
        <v>260</v>
      </c>
      <c r="D19" s="11"/>
      <c r="E19" s="156" t="s">
        <v>261</v>
      </c>
      <c r="F19" s="12"/>
      <c r="G19" s="155" t="s">
        <v>44</v>
      </c>
      <c r="J19" s="155"/>
      <c r="K19" s="164"/>
      <c r="L19" s="163" t="str">
        <f t="shared" si="1"/>
        <v>Hà Bảo Khánh</v>
      </c>
    </row>
    <row r="20" ht="12.75" customHeight="1">
      <c r="A20" s="155">
        <v>19.0</v>
      </c>
      <c r="B20" s="155">
        <v>1519760.0</v>
      </c>
      <c r="C20" s="154" t="s">
        <v>262</v>
      </c>
      <c r="D20" s="11"/>
      <c r="E20" s="156" t="s">
        <v>263</v>
      </c>
      <c r="F20" s="12"/>
      <c r="G20" s="155" t="s">
        <v>22</v>
      </c>
      <c r="J20" s="155">
        <v>6.0</v>
      </c>
      <c r="K20" s="163"/>
      <c r="L20" s="163" t="str">
        <f t="shared" si="1"/>
        <v>Nguyễn Kim Lâm</v>
      </c>
    </row>
    <row r="21" ht="12.75" customHeight="1">
      <c r="A21" s="155">
        <v>20.0</v>
      </c>
      <c r="B21" s="155">
        <v>1539760.0</v>
      </c>
      <c r="C21" s="154" t="s">
        <v>242</v>
      </c>
      <c r="D21" s="11"/>
      <c r="E21" s="156" t="s">
        <v>263</v>
      </c>
      <c r="F21" s="12"/>
      <c r="G21" s="155" t="s">
        <v>22</v>
      </c>
      <c r="J21" s="155">
        <v>5.5</v>
      </c>
      <c r="K21" s="163"/>
      <c r="L21" s="163" t="str">
        <f t="shared" si="1"/>
        <v>Nguyễn Văn Lâm</v>
      </c>
    </row>
    <row r="22" ht="12.75" customHeight="1">
      <c r="A22" s="155">
        <v>21.0</v>
      </c>
      <c r="B22" s="155">
        <v>1512660.0</v>
      </c>
      <c r="C22" s="154" t="s">
        <v>264</v>
      </c>
      <c r="D22" s="11"/>
      <c r="E22" s="156" t="s">
        <v>265</v>
      </c>
      <c r="F22" s="12"/>
      <c r="G22" s="155" t="s">
        <v>22</v>
      </c>
      <c r="J22" s="155">
        <v>9.0</v>
      </c>
      <c r="K22" s="163"/>
      <c r="L22" s="163" t="str">
        <f t="shared" si="1"/>
        <v>Lại Hoàng Lê</v>
      </c>
    </row>
    <row r="23" ht="12.75" customHeight="1">
      <c r="A23" s="155">
        <v>22.0</v>
      </c>
      <c r="B23" s="155">
        <v>1536360.0</v>
      </c>
      <c r="C23" s="154" t="s">
        <v>266</v>
      </c>
      <c r="D23" s="11"/>
      <c r="E23" s="156" t="s">
        <v>267</v>
      </c>
      <c r="F23" s="12"/>
      <c r="G23" s="155" t="s">
        <v>22</v>
      </c>
      <c r="J23" s="155">
        <v>9.0</v>
      </c>
      <c r="K23" s="163"/>
      <c r="L23" s="163" t="str">
        <f t="shared" si="1"/>
        <v>Đoàn Bảo Linh</v>
      </c>
    </row>
    <row r="24" ht="12.75" customHeight="1">
      <c r="A24" s="155">
        <v>23.0</v>
      </c>
      <c r="B24" s="155">
        <v>1538660.0</v>
      </c>
      <c r="C24" s="154" t="s">
        <v>268</v>
      </c>
      <c r="D24" s="11"/>
      <c r="E24" s="156" t="s">
        <v>267</v>
      </c>
      <c r="F24" s="12"/>
      <c r="G24" s="155" t="s">
        <v>22</v>
      </c>
      <c r="J24" s="155">
        <v>6.0</v>
      </c>
      <c r="K24" s="163"/>
      <c r="L24" s="163" t="str">
        <f t="shared" si="1"/>
        <v>Nguyễn Mỹ Linh</v>
      </c>
    </row>
    <row r="25" ht="12.75" customHeight="1">
      <c r="A25" s="155">
        <v>24.0</v>
      </c>
      <c r="B25" s="155">
        <v>1520260.0</v>
      </c>
      <c r="C25" s="154" t="s">
        <v>269</v>
      </c>
      <c r="D25" s="11"/>
      <c r="E25" s="156" t="s">
        <v>270</v>
      </c>
      <c r="F25" s="12"/>
      <c r="G25" s="155" t="s">
        <v>22</v>
      </c>
      <c r="J25" s="155">
        <v>5.0</v>
      </c>
      <c r="K25" s="163"/>
      <c r="L25" s="163" t="str">
        <f t="shared" si="1"/>
        <v>Nguyễn Thành Long</v>
      </c>
    </row>
    <row r="26" ht="12.75" customHeight="1">
      <c r="A26" s="155">
        <v>25.0</v>
      </c>
      <c r="B26" s="155">
        <v>119160.0</v>
      </c>
      <c r="C26" s="154" t="s">
        <v>271</v>
      </c>
      <c r="D26" s="11"/>
      <c r="E26" s="156" t="s">
        <v>272</v>
      </c>
      <c r="F26" s="12"/>
      <c r="G26" s="155" t="s">
        <v>22</v>
      </c>
      <c r="J26" s="155">
        <v>5.5</v>
      </c>
      <c r="K26" s="163"/>
      <c r="L26" s="163" t="str">
        <f t="shared" si="1"/>
        <v>Ngô Văn Luân</v>
      </c>
    </row>
    <row r="27" ht="12.75" customHeight="1">
      <c r="A27" s="155">
        <v>26.0</v>
      </c>
      <c r="B27" s="155">
        <v>1531460.0</v>
      </c>
      <c r="C27" s="154" t="s">
        <v>273</v>
      </c>
      <c r="D27" s="11"/>
      <c r="E27" s="156" t="s">
        <v>274</v>
      </c>
      <c r="F27" s="12"/>
      <c r="G27" s="155" t="s">
        <v>22</v>
      </c>
      <c r="J27" s="155">
        <v>4.5</v>
      </c>
      <c r="K27" s="163"/>
      <c r="L27" s="163" t="str">
        <f t="shared" si="1"/>
        <v>Đào Quang Minh</v>
      </c>
    </row>
    <row r="28" ht="12.75" customHeight="1">
      <c r="A28" s="155">
        <v>27.0</v>
      </c>
      <c r="B28" s="155">
        <v>125960.0</v>
      </c>
      <c r="C28" s="154" t="s">
        <v>275</v>
      </c>
      <c r="D28" s="11"/>
      <c r="E28" s="156" t="s">
        <v>274</v>
      </c>
      <c r="F28" s="12"/>
      <c r="G28" s="155" t="s">
        <v>22</v>
      </c>
      <c r="J28" s="155">
        <v>6.0</v>
      </c>
      <c r="K28" s="163"/>
      <c r="L28" s="163" t="str">
        <f t="shared" si="1"/>
        <v>Phạm Văn Minh</v>
      </c>
    </row>
    <row r="29" ht="12.75" customHeight="1">
      <c r="A29" s="155">
        <v>28.0</v>
      </c>
      <c r="B29" s="155">
        <v>1536260.0</v>
      </c>
      <c r="C29" s="154" t="s">
        <v>276</v>
      </c>
      <c r="D29" s="11"/>
      <c r="E29" s="156" t="s">
        <v>277</v>
      </c>
      <c r="F29" s="12"/>
      <c r="G29" s="155" t="s">
        <v>22</v>
      </c>
      <c r="J29" s="155">
        <v>1.0</v>
      </c>
      <c r="K29" s="163"/>
      <c r="L29" s="163" t="str">
        <f t="shared" si="1"/>
        <v>Huỳnh Hoàng Nam</v>
      </c>
    </row>
    <row r="30" ht="12.75" customHeight="1">
      <c r="A30" s="155">
        <v>29.0</v>
      </c>
      <c r="B30" s="155">
        <v>1531360.0</v>
      </c>
      <c r="C30" s="154" t="s">
        <v>278</v>
      </c>
      <c r="D30" s="11"/>
      <c r="E30" s="156" t="s">
        <v>277</v>
      </c>
      <c r="F30" s="12"/>
      <c r="G30" s="155" t="s">
        <v>22</v>
      </c>
      <c r="J30" s="155"/>
      <c r="K30" s="163"/>
      <c r="L30" s="163" t="str">
        <f t="shared" si="1"/>
        <v>Nguyễn Sơn Nam</v>
      </c>
    </row>
    <row r="31" ht="12.75" customHeight="1">
      <c r="A31" s="155">
        <v>30.0</v>
      </c>
      <c r="B31" s="155">
        <v>1540760.0</v>
      </c>
      <c r="C31" s="154" t="s">
        <v>279</v>
      </c>
      <c r="D31" s="11"/>
      <c r="E31" s="156" t="s">
        <v>280</v>
      </c>
      <c r="F31" s="12"/>
      <c r="G31" s="155" t="s">
        <v>22</v>
      </c>
      <c r="J31" s="155">
        <v>7.0</v>
      </c>
      <c r="K31" s="163"/>
      <c r="L31" s="163" t="str">
        <f t="shared" si="1"/>
        <v>Mai Thị Kim Ngân</v>
      </c>
    </row>
    <row r="32" ht="12.75" customHeight="1">
      <c r="A32" s="155">
        <v>31.0</v>
      </c>
      <c r="B32" s="155">
        <v>150160.0</v>
      </c>
      <c r="C32" s="154" t="s">
        <v>281</v>
      </c>
      <c r="D32" s="11"/>
      <c r="E32" s="156" t="s">
        <v>282</v>
      </c>
      <c r="F32" s="12"/>
      <c r="G32" s="155" t="s">
        <v>22</v>
      </c>
      <c r="J32" s="155">
        <v>4.0</v>
      </c>
      <c r="K32" s="163"/>
      <c r="L32" s="163" t="str">
        <f t="shared" si="1"/>
        <v>Đỗ Văn Phiêu</v>
      </c>
    </row>
    <row r="33" ht="12.75" customHeight="1">
      <c r="A33" s="155">
        <v>32.0</v>
      </c>
      <c r="B33" s="155">
        <v>212360.0</v>
      </c>
      <c r="C33" s="154" t="s">
        <v>283</v>
      </c>
      <c r="D33" s="11"/>
      <c r="E33" s="156" t="s">
        <v>284</v>
      </c>
      <c r="F33" s="12"/>
      <c r="G33" s="155" t="s">
        <v>22</v>
      </c>
      <c r="J33" s="155">
        <v>8.5</v>
      </c>
      <c r="K33" s="163"/>
      <c r="L33" s="163" t="str">
        <f t="shared" si="1"/>
        <v>Nguyễn Viết Quân</v>
      </c>
    </row>
    <row r="34" ht="12.75" customHeight="1">
      <c r="A34" s="155">
        <v>33.0</v>
      </c>
      <c r="B34" s="155">
        <v>134760.0</v>
      </c>
      <c r="C34" s="154" t="s">
        <v>275</v>
      </c>
      <c r="D34" s="11"/>
      <c r="E34" s="156" t="s">
        <v>285</v>
      </c>
      <c r="F34" s="12"/>
      <c r="G34" s="155" t="s">
        <v>22</v>
      </c>
      <c r="J34" s="155">
        <v>7.0</v>
      </c>
      <c r="K34" s="163"/>
      <c r="L34" s="163" t="str">
        <f t="shared" si="1"/>
        <v>Phạm Văn Tâm</v>
      </c>
    </row>
    <row r="35" ht="12.75" customHeight="1">
      <c r="A35" s="155">
        <v>34.0</v>
      </c>
      <c r="B35" s="155">
        <v>209460.0</v>
      </c>
      <c r="C35" s="154" t="s">
        <v>286</v>
      </c>
      <c r="D35" s="11"/>
      <c r="E35" s="156" t="s">
        <v>287</v>
      </c>
      <c r="F35" s="12"/>
      <c r="G35" s="155" t="s">
        <v>22</v>
      </c>
      <c r="J35" s="155">
        <v>4.5</v>
      </c>
      <c r="K35" s="163"/>
      <c r="L35" s="163" t="str">
        <f t="shared" si="1"/>
        <v>Nguyễn Thanh Thản</v>
      </c>
    </row>
    <row r="36" ht="12.75" customHeight="1">
      <c r="A36" s="155">
        <v>35.0</v>
      </c>
      <c r="B36" s="155">
        <v>92760.0</v>
      </c>
      <c r="C36" s="154" t="s">
        <v>288</v>
      </c>
      <c r="D36" s="11"/>
      <c r="E36" s="156" t="s">
        <v>289</v>
      </c>
      <c r="F36" s="12"/>
      <c r="G36" s="155" t="s">
        <v>22</v>
      </c>
      <c r="J36" s="155">
        <v>4.0</v>
      </c>
      <c r="K36" s="163"/>
      <c r="L36" s="163" t="str">
        <f t="shared" si="1"/>
        <v>Nguyễn Quốc Thắng</v>
      </c>
    </row>
    <row r="37" ht="12.75" customHeight="1">
      <c r="A37" s="155">
        <v>36.0</v>
      </c>
      <c r="B37" s="155">
        <v>1537160.0</v>
      </c>
      <c r="C37" s="154" t="s">
        <v>290</v>
      </c>
      <c r="D37" s="11"/>
      <c r="E37" s="156" t="s">
        <v>291</v>
      </c>
      <c r="F37" s="12"/>
      <c r="G37" s="155" t="s">
        <v>22</v>
      </c>
      <c r="J37" s="155">
        <v>6.0</v>
      </c>
      <c r="K37" s="163"/>
      <c r="L37" s="163" t="str">
        <f t="shared" si="1"/>
        <v>Trần Hữu Tòng</v>
      </c>
    </row>
    <row r="38" ht="12.75" customHeight="1">
      <c r="A38" s="155">
        <v>37.0</v>
      </c>
      <c r="B38" s="155">
        <v>1509760.0</v>
      </c>
      <c r="C38" s="154" t="s">
        <v>292</v>
      </c>
      <c r="D38" s="11"/>
      <c r="E38" s="156" t="s">
        <v>293</v>
      </c>
      <c r="F38" s="12"/>
      <c r="G38" s="155" t="s">
        <v>22</v>
      </c>
      <c r="J38" s="155">
        <v>6.0</v>
      </c>
      <c r="K38" s="163"/>
      <c r="L38" s="163" t="str">
        <f t="shared" si="1"/>
        <v>Đặng Trường Trúc</v>
      </c>
    </row>
    <row r="39" ht="12.75" customHeight="1">
      <c r="A39" s="155">
        <v>38.0</v>
      </c>
      <c r="B39" s="155">
        <v>1535760.0</v>
      </c>
      <c r="C39" s="154" t="s">
        <v>257</v>
      </c>
      <c r="D39" s="11"/>
      <c r="E39" s="156" t="s">
        <v>294</v>
      </c>
      <c r="F39" s="12"/>
      <c r="G39" s="155" t="s">
        <v>22</v>
      </c>
      <c r="J39" s="155">
        <v>5.5</v>
      </c>
      <c r="K39" s="163"/>
      <c r="L39" s="163" t="str">
        <f t="shared" si="1"/>
        <v>Phạm Ngọc Trung</v>
      </c>
    </row>
    <row r="40" ht="12.75" customHeight="1">
      <c r="A40" s="155">
        <v>39.0</v>
      </c>
      <c r="B40" s="155">
        <v>1534560.0</v>
      </c>
      <c r="C40" s="154" t="s">
        <v>295</v>
      </c>
      <c r="D40" s="11"/>
      <c r="E40" s="156" t="s">
        <v>296</v>
      </c>
      <c r="F40" s="12"/>
      <c r="G40" s="155" t="s">
        <v>22</v>
      </c>
      <c r="J40" s="155">
        <v>5.0</v>
      </c>
      <c r="K40" s="163"/>
      <c r="L40" s="163" t="str">
        <f t="shared" si="1"/>
        <v>Đinh Minh Tuấn</v>
      </c>
    </row>
    <row r="41" ht="12.75" customHeight="1">
      <c r="A41" s="155">
        <v>40.0</v>
      </c>
      <c r="B41" s="155">
        <v>1510560.0</v>
      </c>
      <c r="C41" s="154" t="s">
        <v>249</v>
      </c>
      <c r="D41" s="11"/>
      <c r="E41" s="156" t="s">
        <v>296</v>
      </c>
      <c r="F41" s="12"/>
      <c r="G41" s="155" t="s">
        <v>22</v>
      </c>
      <c r="J41" s="155">
        <v>6.5</v>
      </c>
      <c r="K41" s="163"/>
      <c r="L41" s="163" t="str">
        <f t="shared" si="1"/>
        <v>Trần Văn Tuấn</v>
      </c>
    </row>
    <row r="42" ht="12.75" customHeight="1">
      <c r="A42" s="155">
        <v>41.0</v>
      </c>
      <c r="B42" s="155">
        <v>122760.0</v>
      </c>
      <c r="C42" s="154" t="s">
        <v>297</v>
      </c>
      <c r="D42" s="11"/>
      <c r="E42" s="156" t="s">
        <v>298</v>
      </c>
      <c r="F42" s="12"/>
      <c r="G42" s="155" t="s">
        <v>22</v>
      </c>
      <c r="J42" s="155">
        <v>6.5</v>
      </c>
      <c r="K42" s="163"/>
      <c r="L42" s="163" t="str">
        <f t="shared" si="1"/>
        <v>Phan Bá Tuyến</v>
      </c>
    </row>
    <row r="43" ht="12.75" customHeight="1">
      <c r="A43" s="155">
        <v>42.0</v>
      </c>
      <c r="B43" s="155">
        <v>1558460.0</v>
      </c>
      <c r="C43" s="154" t="s">
        <v>299</v>
      </c>
      <c r="D43" s="11"/>
      <c r="E43" s="156" t="s">
        <v>300</v>
      </c>
      <c r="F43" s="12"/>
      <c r="G43" s="155" t="s">
        <v>22</v>
      </c>
      <c r="J43" s="155">
        <v>6.5</v>
      </c>
      <c r="K43" s="163"/>
      <c r="L43" s="163" t="str">
        <f t="shared" si="1"/>
        <v>Trương Hải Yến</v>
      </c>
    </row>
    <row r="44" ht="12.75" customHeight="1">
      <c r="A44" s="155"/>
      <c r="B44" s="155"/>
      <c r="C44" s="156"/>
      <c r="D44" s="11"/>
      <c r="E44" s="11"/>
      <c r="F44" s="156"/>
      <c r="G44" s="12"/>
      <c r="H44" s="155"/>
      <c r="I44" s="155"/>
      <c r="J44" s="155"/>
      <c r="K44" s="163"/>
      <c r="L44" s="163"/>
    </row>
    <row r="45" ht="12.75" customHeight="1">
      <c r="A45" s="155"/>
      <c r="B45" s="155"/>
      <c r="C45" s="156"/>
      <c r="D45" s="11"/>
      <c r="E45" s="11"/>
      <c r="F45" s="156"/>
      <c r="G45" s="12"/>
      <c r="H45" s="155"/>
      <c r="I45" s="155"/>
      <c r="J45" s="155"/>
      <c r="K45" s="163"/>
      <c r="L45" s="163"/>
    </row>
    <row r="46" ht="12.75" customHeight="1">
      <c r="A46" s="155"/>
      <c r="B46" s="155"/>
      <c r="C46" s="156"/>
      <c r="D46" s="11"/>
      <c r="E46" s="11"/>
      <c r="F46" s="156"/>
      <c r="G46" s="12"/>
      <c r="H46" s="155"/>
      <c r="I46" s="155"/>
      <c r="J46" s="155"/>
      <c r="K46" s="163"/>
      <c r="L46" s="163"/>
    </row>
    <row r="47" ht="12.75" customHeight="1">
      <c r="A47" s="155"/>
      <c r="B47" s="155"/>
      <c r="C47" s="156"/>
      <c r="D47" s="11"/>
      <c r="E47" s="11"/>
      <c r="F47" s="156"/>
      <c r="G47" s="12"/>
      <c r="H47" s="155"/>
      <c r="I47" s="155"/>
      <c r="J47" s="155"/>
      <c r="K47" s="165"/>
      <c r="L47" s="163"/>
    </row>
    <row r="48" ht="12.75" customHeight="1">
      <c r="A48" s="155"/>
      <c r="B48" s="155"/>
      <c r="C48" s="155"/>
      <c r="D48" s="155"/>
      <c r="E48" s="155"/>
      <c r="F48" s="155"/>
      <c r="G48" s="155"/>
      <c r="H48" s="155" t="s">
        <v>304</v>
      </c>
      <c r="J48" s="155">
        <f>counta(J2:J47)</f>
        <v>37</v>
      </c>
      <c r="K48" s="165"/>
      <c r="L48" s="163" t="str">
        <f>C48 &amp; " " &amp; F48</f>
        <v> </v>
      </c>
    </row>
  </sheetData>
  <mergeCells count="137">
    <mergeCell ref="E35:F35"/>
    <mergeCell ref="G35:I35"/>
    <mergeCell ref="C33:D33"/>
    <mergeCell ref="E33:F33"/>
    <mergeCell ref="G33:I33"/>
    <mergeCell ref="C34:D34"/>
    <mergeCell ref="E34:F34"/>
    <mergeCell ref="G34:I34"/>
    <mergeCell ref="C35:D35"/>
    <mergeCell ref="E38:F38"/>
    <mergeCell ref="G38:I38"/>
    <mergeCell ref="C36:D36"/>
    <mergeCell ref="E36:F36"/>
    <mergeCell ref="G36:I36"/>
    <mergeCell ref="C37:D37"/>
    <mergeCell ref="E37:F37"/>
    <mergeCell ref="G37:I37"/>
    <mergeCell ref="C38:D38"/>
    <mergeCell ref="E41:F41"/>
    <mergeCell ref="G41:I41"/>
    <mergeCell ref="C39:D39"/>
    <mergeCell ref="E39:F39"/>
    <mergeCell ref="G39:I39"/>
    <mergeCell ref="C40:D40"/>
    <mergeCell ref="E40:F40"/>
    <mergeCell ref="G40:I40"/>
    <mergeCell ref="C41:D41"/>
    <mergeCell ref="C1:F1"/>
    <mergeCell ref="G1:I1"/>
    <mergeCell ref="C2:D2"/>
    <mergeCell ref="E2:F2"/>
    <mergeCell ref="G2:I2"/>
    <mergeCell ref="E3:F3"/>
    <mergeCell ref="G3:I3"/>
    <mergeCell ref="C3:D3"/>
    <mergeCell ref="C4:D4"/>
    <mergeCell ref="E4:F4"/>
    <mergeCell ref="G4:I4"/>
    <mergeCell ref="C5:D5"/>
    <mergeCell ref="E5:F5"/>
    <mergeCell ref="G5:I5"/>
    <mergeCell ref="E8:F8"/>
    <mergeCell ref="G8:I8"/>
    <mergeCell ref="C6:D6"/>
    <mergeCell ref="E6:F6"/>
    <mergeCell ref="G6:I6"/>
    <mergeCell ref="C7:D7"/>
    <mergeCell ref="E7:F7"/>
    <mergeCell ref="G7:I7"/>
    <mergeCell ref="C8:D8"/>
    <mergeCell ref="E11:F11"/>
    <mergeCell ref="G11:I11"/>
    <mergeCell ref="C9:D9"/>
    <mergeCell ref="E9:F9"/>
    <mergeCell ref="G9:I9"/>
    <mergeCell ref="C10:D10"/>
    <mergeCell ref="E10:F10"/>
    <mergeCell ref="G10:I10"/>
    <mergeCell ref="C11:D11"/>
    <mergeCell ref="C44:E44"/>
    <mergeCell ref="C45:E45"/>
    <mergeCell ref="F45:G45"/>
    <mergeCell ref="C46:E46"/>
    <mergeCell ref="F46:G46"/>
    <mergeCell ref="C47:E47"/>
    <mergeCell ref="F47:G47"/>
    <mergeCell ref="H48:I48"/>
    <mergeCell ref="C42:D42"/>
    <mergeCell ref="E42:F42"/>
    <mergeCell ref="G42:I42"/>
    <mergeCell ref="C43:D43"/>
    <mergeCell ref="E43:F43"/>
    <mergeCell ref="G43:I43"/>
    <mergeCell ref="F44:G44"/>
    <mergeCell ref="E14:F14"/>
    <mergeCell ref="G14:I14"/>
    <mergeCell ref="C12:D12"/>
    <mergeCell ref="E12:F12"/>
    <mergeCell ref="G12:I12"/>
    <mergeCell ref="C13:D13"/>
    <mergeCell ref="E13:F13"/>
    <mergeCell ref="G13:I13"/>
    <mergeCell ref="C14:D14"/>
    <mergeCell ref="E17:F17"/>
    <mergeCell ref="G17:I17"/>
    <mergeCell ref="C15:D15"/>
    <mergeCell ref="E15:F15"/>
    <mergeCell ref="G15:I15"/>
    <mergeCell ref="C16:D16"/>
    <mergeCell ref="E16:F16"/>
    <mergeCell ref="G16:I16"/>
    <mergeCell ref="C17:D17"/>
    <mergeCell ref="E20:F20"/>
    <mergeCell ref="G20:I20"/>
    <mergeCell ref="C18:D18"/>
    <mergeCell ref="E18:F18"/>
    <mergeCell ref="G18:I18"/>
    <mergeCell ref="C19:D19"/>
    <mergeCell ref="E19:F19"/>
    <mergeCell ref="G19:I19"/>
    <mergeCell ref="C20:D20"/>
    <mergeCell ref="E23:F23"/>
    <mergeCell ref="G23:I23"/>
    <mergeCell ref="C21:D21"/>
    <mergeCell ref="E21:F21"/>
    <mergeCell ref="G21:I21"/>
    <mergeCell ref="C22:D22"/>
    <mergeCell ref="E22:F22"/>
    <mergeCell ref="G22:I22"/>
    <mergeCell ref="C23:D23"/>
    <mergeCell ref="E26:F26"/>
    <mergeCell ref="G26:I26"/>
    <mergeCell ref="C24:D24"/>
    <mergeCell ref="E24:F24"/>
    <mergeCell ref="G24:I24"/>
    <mergeCell ref="C25:D25"/>
    <mergeCell ref="E25:F25"/>
    <mergeCell ref="G25:I25"/>
    <mergeCell ref="C26:D26"/>
    <mergeCell ref="E29:F29"/>
    <mergeCell ref="G29:I29"/>
    <mergeCell ref="C27:D27"/>
    <mergeCell ref="E27:F27"/>
    <mergeCell ref="G27:I27"/>
    <mergeCell ref="C28:D28"/>
    <mergeCell ref="E28:F28"/>
    <mergeCell ref="G28:I28"/>
    <mergeCell ref="C29:D29"/>
    <mergeCell ref="E32:F32"/>
    <mergeCell ref="G32:I32"/>
    <mergeCell ref="C30:D30"/>
    <mergeCell ref="E30:F30"/>
    <mergeCell ref="G30:I30"/>
    <mergeCell ref="C31:D31"/>
    <mergeCell ref="E31:F31"/>
    <mergeCell ref="G31:I31"/>
    <mergeCell ref="C32:D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7.0"/>
    <col customWidth="1" min="3" max="3" width="12.25"/>
    <col customWidth="1" min="4" max="12" width="7.0"/>
    <col customWidth="1" min="13" max="13" width="21.38"/>
  </cols>
  <sheetData>
    <row r="1" ht="12.75" customHeight="1">
      <c r="A1" s="166" t="s">
        <v>0</v>
      </c>
      <c r="B1" s="166" t="s">
        <v>1</v>
      </c>
      <c r="C1" s="166" t="s">
        <v>305</v>
      </c>
      <c r="D1" s="166" t="s">
        <v>306</v>
      </c>
      <c r="E1" s="166" t="s">
        <v>3</v>
      </c>
      <c r="F1" s="166" t="s">
        <v>307</v>
      </c>
      <c r="G1" s="166" t="s">
        <v>308</v>
      </c>
      <c r="H1" s="166" t="s">
        <v>309</v>
      </c>
      <c r="I1" s="166" t="s">
        <v>310</v>
      </c>
      <c r="J1" s="166" t="s">
        <v>311</v>
      </c>
      <c r="K1" s="166" t="s">
        <v>312</v>
      </c>
      <c r="L1" s="166" t="s">
        <v>313</v>
      </c>
      <c r="M1" s="166" t="s">
        <v>5</v>
      </c>
    </row>
    <row r="2" ht="12.75" customHeight="1">
      <c r="A2" s="167">
        <v>1.0</v>
      </c>
      <c r="B2" s="167">
        <v>1513460.0</v>
      </c>
      <c r="C2" s="167" t="s">
        <v>233</v>
      </c>
      <c r="D2" s="167" t="s">
        <v>234</v>
      </c>
      <c r="E2" s="167" t="s">
        <v>22</v>
      </c>
      <c r="F2" s="168"/>
      <c r="G2" s="168"/>
      <c r="H2" s="169"/>
      <c r="I2" s="170"/>
      <c r="J2" s="170"/>
      <c r="K2" s="170"/>
      <c r="L2" s="170"/>
      <c r="M2" s="171">
        <f t="shared" ref="M2:M43" si="1">countif(F2:L2,"v") + countif(F2:L2,"p") * 0.5 - COUNTIF(F2:L2, "bv") * 2</f>
        <v>0</v>
      </c>
    </row>
    <row r="3" ht="12.75" customHeight="1">
      <c r="A3" s="167">
        <v>2.0</v>
      </c>
      <c r="B3" s="167">
        <v>1503561.0</v>
      </c>
      <c r="C3" s="167" t="s">
        <v>235</v>
      </c>
      <c r="D3" s="167" t="s">
        <v>234</v>
      </c>
      <c r="E3" s="167" t="s">
        <v>25</v>
      </c>
      <c r="F3" s="168"/>
      <c r="G3" s="168"/>
      <c r="H3" s="169"/>
      <c r="I3" s="170"/>
      <c r="J3" s="170"/>
      <c r="K3" s="170"/>
      <c r="L3" s="170"/>
      <c r="M3" s="171">
        <f t="shared" si="1"/>
        <v>0</v>
      </c>
    </row>
    <row r="4" ht="12.75" customHeight="1">
      <c r="A4" s="167">
        <v>3.0</v>
      </c>
      <c r="B4" s="167">
        <v>1543960.0</v>
      </c>
      <c r="C4" s="167" t="s">
        <v>236</v>
      </c>
      <c r="D4" s="167" t="s">
        <v>237</v>
      </c>
      <c r="E4" s="167" t="s">
        <v>22</v>
      </c>
      <c r="F4" s="167" t="s">
        <v>314</v>
      </c>
      <c r="G4" s="167" t="s">
        <v>314</v>
      </c>
      <c r="H4" s="172" t="s">
        <v>315</v>
      </c>
      <c r="I4" s="150" t="s">
        <v>314</v>
      </c>
      <c r="J4" s="170"/>
      <c r="K4" s="150" t="s">
        <v>314</v>
      </c>
      <c r="L4" s="150" t="s">
        <v>314</v>
      </c>
      <c r="M4" s="171">
        <f t="shared" si="1"/>
        <v>5.5</v>
      </c>
    </row>
    <row r="5" ht="12.75" customHeight="1">
      <c r="A5" s="167">
        <v>4.0</v>
      </c>
      <c r="B5" s="167">
        <v>174860.0</v>
      </c>
      <c r="C5" s="167" t="s">
        <v>238</v>
      </c>
      <c r="D5" s="167" t="s">
        <v>239</v>
      </c>
      <c r="E5" s="167" t="s">
        <v>22</v>
      </c>
      <c r="F5" s="168"/>
      <c r="G5" s="167" t="s">
        <v>315</v>
      </c>
      <c r="H5" s="172" t="s">
        <v>314</v>
      </c>
      <c r="I5" s="150" t="s">
        <v>315</v>
      </c>
      <c r="J5" s="170"/>
      <c r="K5" s="150" t="s">
        <v>314</v>
      </c>
      <c r="L5" s="150" t="s">
        <v>314</v>
      </c>
      <c r="M5" s="171">
        <f t="shared" si="1"/>
        <v>4</v>
      </c>
    </row>
    <row r="6" ht="12.75" customHeight="1">
      <c r="A6" s="167">
        <v>5.0</v>
      </c>
      <c r="B6" s="167">
        <v>9460.0</v>
      </c>
      <c r="C6" s="167" t="s">
        <v>240</v>
      </c>
      <c r="D6" s="167" t="s">
        <v>241</v>
      </c>
      <c r="E6" s="167" t="s">
        <v>29</v>
      </c>
      <c r="F6" s="167" t="s">
        <v>314</v>
      </c>
      <c r="G6" s="167" t="s">
        <v>314</v>
      </c>
      <c r="H6" s="172" t="s">
        <v>314</v>
      </c>
      <c r="I6" s="150" t="s">
        <v>314</v>
      </c>
      <c r="J6" s="150" t="s">
        <v>314</v>
      </c>
      <c r="K6" s="150" t="s">
        <v>314</v>
      </c>
      <c r="L6" s="150" t="s">
        <v>314</v>
      </c>
      <c r="M6" s="171">
        <f t="shared" si="1"/>
        <v>7</v>
      </c>
    </row>
    <row r="7" ht="12.75" customHeight="1">
      <c r="A7" s="167">
        <v>6.0</v>
      </c>
      <c r="B7" s="167">
        <v>1506260.0</v>
      </c>
      <c r="C7" s="167" t="s">
        <v>242</v>
      </c>
      <c r="D7" s="167" t="s">
        <v>86</v>
      </c>
      <c r="E7" s="167" t="s">
        <v>22</v>
      </c>
      <c r="F7" s="167" t="s">
        <v>314</v>
      </c>
      <c r="G7" s="167" t="s">
        <v>314</v>
      </c>
      <c r="H7" s="172" t="s">
        <v>314</v>
      </c>
      <c r="I7" s="150" t="s">
        <v>314</v>
      </c>
      <c r="J7" s="150" t="s">
        <v>314</v>
      </c>
      <c r="K7" s="150" t="s">
        <v>314</v>
      </c>
      <c r="L7" s="150" t="s">
        <v>314</v>
      </c>
      <c r="M7" s="171">
        <f t="shared" si="1"/>
        <v>7</v>
      </c>
    </row>
    <row r="8" ht="12.75" customHeight="1">
      <c r="A8" s="167">
        <v>7.0</v>
      </c>
      <c r="B8" s="167">
        <v>1547360.0</v>
      </c>
      <c r="C8" s="167" t="s">
        <v>243</v>
      </c>
      <c r="D8" s="167" t="s">
        <v>244</v>
      </c>
      <c r="E8" s="167" t="s">
        <v>22</v>
      </c>
      <c r="F8" s="167" t="s">
        <v>314</v>
      </c>
      <c r="G8" s="167" t="s">
        <v>314</v>
      </c>
      <c r="H8" s="172" t="s">
        <v>314</v>
      </c>
      <c r="I8" s="150" t="s">
        <v>314</v>
      </c>
      <c r="J8" s="150" t="s">
        <v>314</v>
      </c>
      <c r="K8" s="150" t="s">
        <v>314</v>
      </c>
      <c r="L8" s="150" t="s">
        <v>314</v>
      </c>
      <c r="M8" s="171">
        <f t="shared" si="1"/>
        <v>7</v>
      </c>
    </row>
    <row r="9" ht="12.75" customHeight="1">
      <c r="A9" s="167">
        <v>8.0</v>
      </c>
      <c r="B9" s="167">
        <v>127160.0</v>
      </c>
      <c r="C9" s="167" t="s">
        <v>245</v>
      </c>
      <c r="D9" s="167" t="s">
        <v>246</v>
      </c>
      <c r="E9" s="167" t="s">
        <v>22</v>
      </c>
      <c r="F9" s="167" t="s">
        <v>314</v>
      </c>
      <c r="G9" s="167" t="s">
        <v>314</v>
      </c>
      <c r="H9" s="169"/>
      <c r="I9" s="170"/>
      <c r="J9" s="150" t="s">
        <v>314</v>
      </c>
      <c r="K9" s="170"/>
      <c r="L9" s="170"/>
      <c r="M9" s="171">
        <f t="shared" si="1"/>
        <v>3</v>
      </c>
    </row>
    <row r="10" ht="12.75" customHeight="1">
      <c r="A10" s="167">
        <v>9.0</v>
      </c>
      <c r="B10" s="167">
        <v>1533860.0</v>
      </c>
      <c r="C10" s="167" t="s">
        <v>247</v>
      </c>
      <c r="D10" s="167" t="s">
        <v>248</v>
      </c>
      <c r="E10" s="167" t="s">
        <v>22</v>
      </c>
      <c r="F10" s="167" t="s">
        <v>314</v>
      </c>
      <c r="G10" s="167" t="s">
        <v>314</v>
      </c>
      <c r="H10" s="169"/>
      <c r="I10" s="150" t="s">
        <v>314</v>
      </c>
      <c r="J10" s="150" t="s">
        <v>315</v>
      </c>
      <c r="K10" s="150" t="s">
        <v>314</v>
      </c>
      <c r="L10" s="150" t="s">
        <v>314</v>
      </c>
      <c r="M10" s="171">
        <f t="shared" si="1"/>
        <v>5.5</v>
      </c>
    </row>
    <row r="11" ht="12.75" customHeight="1">
      <c r="A11" s="167">
        <v>10.0</v>
      </c>
      <c r="B11" s="167">
        <v>130260.0</v>
      </c>
      <c r="C11" s="167" t="s">
        <v>249</v>
      </c>
      <c r="D11" s="167" t="s">
        <v>248</v>
      </c>
      <c r="E11" s="167" t="s">
        <v>22</v>
      </c>
      <c r="F11" s="167" t="s">
        <v>314</v>
      </c>
      <c r="G11" s="167" t="s">
        <v>314</v>
      </c>
      <c r="H11" s="172" t="s">
        <v>314</v>
      </c>
      <c r="I11" s="170"/>
      <c r="J11" s="150" t="s">
        <v>314</v>
      </c>
      <c r="K11" s="150" t="s">
        <v>314</v>
      </c>
      <c r="L11" s="150" t="s">
        <v>314</v>
      </c>
      <c r="M11" s="171">
        <f t="shared" si="1"/>
        <v>6</v>
      </c>
    </row>
    <row r="12" ht="12.75" customHeight="1">
      <c r="A12" s="167">
        <v>11.0</v>
      </c>
      <c r="B12" s="167">
        <v>111060.0</v>
      </c>
      <c r="C12" s="167" t="s">
        <v>242</v>
      </c>
      <c r="D12" s="167" t="s">
        <v>250</v>
      </c>
      <c r="E12" s="167" t="s">
        <v>22</v>
      </c>
      <c r="F12" s="167" t="s">
        <v>314</v>
      </c>
      <c r="G12" s="167" t="s">
        <v>314</v>
      </c>
      <c r="H12" s="172" t="s">
        <v>314</v>
      </c>
      <c r="I12" s="150" t="s">
        <v>314</v>
      </c>
      <c r="J12" s="150" t="s">
        <v>314</v>
      </c>
      <c r="K12" s="150" t="s">
        <v>314</v>
      </c>
      <c r="L12" s="150" t="s">
        <v>314</v>
      </c>
      <c r="M12" s="171">
        <f t="shared" si="1"/>
        <v>7</v>
      </c>
    </row>
    <row r="13" ht="12.75" customHeight="1">
      <c r="A13" s="167">
        <v>12.0</v>
      </c>
      <c r="B13" s="167">
        <v>1518860.0</v>
      </c>
      <c r="C13" s="167" t="s">
        <v>251</v>
      </c>
      <c r="D13" s="167" t="s">
        <v>252</v>
      </c>
      <c r="E13" s="167" t="s">
        <v>22</v>
      </c>
      <c r="F13" s="167" t="s">
        <v>314</v>
      </c>
      <c r="G13" s="167" t="s">
        <v>314</v>
      </c>
      <c r="H13" s="172" t="s">
        <v>314</v>
      </c>
      <c r="I13" s="150" t="s">
        <v>314</v>
      </c>
      <c r="J13" s="150" t="s">
        <v>314</v>
      </c>
      <c r="K13" s="150" t="s">
        <v>314</v>
      </c>
      <c r="L13" s="150" t="s">
        <v>314</v>
      </c>
      <c r="M13" s="171">
        <f t="shared" si="1"/>
        <v>7</v>
      </c>
    </row>
    <row r="14" ht="12.75" customHeight="1">
      <c r="A14" s="167">
        <v>13.0</v>
      </c>
      <c r="B14" s="167">
        <v>1506357.0</v>
      </c>
      <c r="C14" s="167" t="s">
        <v>253</v>
      </c>
      <c r="D14" s="167" t="s">
        <v>252</v>
      </c>
      <c r="E14" s="167" t="s">
        <v>38</v>
      </c>
      <c r="F14" s="167" t="s">
        <v>314</v>
      </c>
      <c r="G14" s="167" t="s">
        <v>314</v>
      </c>
      <c r="H14" s="172" t="s">
        <v>314</v>
      </c>
      <c r="I14" s="150" t="s">
        <v>315</v>
      </c>
      <c r="J14" s="170"/>
      <c r="K14" s="170"/>
      <c r="L14" s="170"/>
      <c r="M14" s="171">
        <f t="shared" si="1"/>
        <v>3.5</v>
      </c>
    </row>
    <row r="15" ht="12.75" customHeight="1">
      <c r="A15" s="167">
        <v>14.0</v>
      </c>
      <c r="B15" s="167">
        <v>1535160.0</v>
      </c>
      <c r="C15" s="167" t="s">
        <v>254</v>
      </c>
      <c r="D15" s="167" t="s">
        <v>255</v>
      </c>
      <c r="E15" s="167" t="s">
        <v>22</v>
      </c>
      <c r="F15" s="167" t="s">
        <v>314</v>
      </c>
      <c r="G15" s="173"/>
      <c r="H15" s="172" t="s">
        <v>314</v>
      </c>
      <c r="I15" s="150" t="s">
        <v>314</v>
      </c>
      <c r="J15" s="150" t="s">
        <v>314</v>
      </c>
      <c r="K15" s="150" t="s">
        <v>314</v>
      </c>
      <c r="L15" s="150" t="s">
        <v>314</v>
      </c>
      <c r="M15" s="171">
        <f t="shared" si="1"/>
        <v>6</v>
      </c>
    </row>
    <row r="16" ht="12.75" customHeight="1">
      <c r="A16" s="167">
        <v>15.0</v>
      </c>
      <c r="B16" s="167">
        <v>170060.0</v>
      </c>
      <c r="C16" s="167" t="s">
        <v>256</v>
      </c>
      <c r="D16" s="167" t="s">
        <v>255</v>
      </c>
      <c r="E16" s="167" t="s">
        <v>22</v>
      </c>
      <c r="F16" s="167" t="s">
        <v>314</v>
      </c>
      <c r="G16" s="167" t="s">
        <v>314</v>
      </c>
      <c r="H16" s="172" t="s">
        <v>314</v>
      </c>
      <c r="I16" s="150" t="s">
        <v>314</v>
      </c>
      <c r="J16" s="150" t="s">
        <v>314</v>
      </c>
      <c r="K16" s="150" t="s">
        <v>314</v>
      </c>
      <c r="L16" s="150" t="s">
        <v>314</v>
      </c>
      <c r="M16" s="171">
        <f t="shared" si="1"/>
        <v>7</v>
      </c>
    </row>
    <row r="17" ht="12.75" customHeight="1">
      <c r="A17" s="167">
        <v>16.0</v>
      </c>
      <c r="B17" s="167">
        <v>1511460.0</v>
      </c>
      <c r="C17" s="167" t="s">
        <v>257</v>
      </c>
      <c r="D17" s="167" t="s">
        <v>255</v>
      </c>
      <c r="E17" s="167" t="s">
        <v>22</v>
      </c>
      <c r="F17" s="167" t="s">
        <v>314</v>
      </c>
      <c r="G17" s="167" t="s">
        <v>314</v>
      </c>
      <c r="H17" s="172" t="s">
        <v>314</v>
      </c>
      <c r="I17" s="150" t="s">
        <v>314</v>
      </c>
      <c r="J17" s="150" t="s">
        <v>315</v>
      </c>
      <c r="K17" s="150" t="s">
        <v>314</v>
      </c>
      <c r="L17" s="150" t="s">
        <v>314</v>
      </c>
      <c r="M17" s="171">
        <f t="shared" si="1"/>
        <v>6.5</v>
      </c>
    </row>
    <row r="18" ht="12.75" customHeight="1">
      <c r="A18" s="167">
        <v>17.0</v>
      </c>
      <c r="B18" s="167">
        <v>1565360.0</v>
      </c>
      <c r="C18" s="167" t="s">
        <v>258</v>
      </c>
      <c r="D18" s="167" t="s">
        <v>259</v>
      </c>
      <c r="E18" s="167" t="s">
        <v>22</v>
      </c>
      <c r="F18" s="173"/>
      <c r="G18" s="173"/>
      <c r="H18" s="169"/>
      <c r="I18" s="170"/>
      <c r="J18" s="170"/>
      <c r="K18" s="170"/>
      <c r="L18" s="170"/>
      <c r="M18" s="171">
        <f t="shared" si="1"/>
        <v>0</v>
      </c>
    </row>
    <row r="19" ht="12.75" customHeight="1">
      <c r="A19" s="167">
        <v>18.0</v>
      </c>
      <c r="B19" s="167">
        <v>1504559.0</v>
      </c>
      <c r="C19" s="167" t="s">
        <v>260</v>
      </c>
      <c r="D19" s="167" t="s">
        <v>261</v>
      </c>
      <c r="E19" s="167" t="s">
        <v>44</v>
      </c>
      <c r="F19" s="168"/>
      <c r="G19" s="167" t="s">
        <v>314</v>
      </c>
      <c r="H19" s="172" t="s">
        <v>314</v>
      </c>
      <c r="I19" s="170"/>
      <c r="J19" s="170"/>
      <c r="K19" s="170"/>
      <c r="L19" s="170"/>
      <c r="M19" s="171">
        <f t="shared" si="1"/>
        <v>2</v>
      </c>
    </row>
    <row r="20" ht="12.75" customHeight="1">
      <c r="A20" s="167">
        <v>19.0</v>
      </c>
      <c r="B20" s="167">
        <v>1519760.0</v>
      </c>
      <c r="C20" s="167" t="s">
        <v>262</v>
      </c>
      <c r="D20" s="167" t="s">
        <v>263</v>
      </c>
      <c r="E20" s="167" t="s">
        <v>22</v>
      </c>
      <c r="F20" s="167" t="s">
        <v>314</v>
      </c>
      <c r="G20" s="167" t="s">
        <v>314</v>
      </c>
      <c r="H20" s="172" t="s">
        <v>314</v>
      </c>
      <c r="I20" s="150" t="s">
        <v>314</v>
      </c>
      <c r="J20" s="150" t="s">
        <v>314</v>
      </c>
      <c r="K20" s="150" t="s">
        <v>314</v>
      </c>
      <c r="L20" s="150" t="s">
        <v>314</v>
      </c>
      <c r="M20" s="171">
        <f t="shared" si="1"/>
        <v>7</v>
      </c>
    </row>
    <row r="21" ht="12.75" customHeight="1">
      <c r="A21" s="167">
        <v>20.0</v>
      </c>
      <c r="B21" s="167">
        <v>1539760.0</v>
      </c>
      <c r="C21" s="167" t="s">
        <v>242</v>
      </c>
      <c r="D21" s="167" t="s">
        <v>263</v>
      </c>
      <c r="E21" s="167" t="s">
        <v>22</v>
      </c>
      <c r="F21" s="167" t="s">
        <v>314</v>
      </c>
      <c r="G21" s="167" t="s">
        <v>314</v>
      </c>
      <c r="H21" s="172" t="s">
        <v>314</v>
      </c>
      <c r="I21" s="150" t="s">
        <v>314</v>
      </c>
      <c r="J21" s="150" t="s">
        <v>314</v>
      </c>
      <c r="K21" s="150" t="s">
        <v>314</v>
      </c>
      <c r="L21" s="150" t="s">
        <v>314</v>
      </c>
      <c r="M21" s="171">
        <f t="shared" si="1"/>
        <v>7</v>
      </c>
    </row>
    <row r="22" ht="12.75" customHeight="1">
      <c r="A22" s="167">
        <v>21.0</v>
      </c>
      <c r="B22" s="167">
        <v>1512660.0</v>
      </c>
      <c r="C22" s="167" t="s">
        <v>264</v>
      </c>
      <c r="D22" s="167" t="s">
        <v>265</v>
      </c>
      <c r="E22" s="167" t="s">
        <v>22</v>
      </c>
      <c r="F22" s="167" t="s">
        <v>314</v>
      </c>
      <c r="G22" s="167" t="s">
        <v>314</v>
      </c>
      <c r="H22" s="172" t="s">
        <v>314</v>
      </c>
      <c r="I22" s="150" t="s">
        <v>314</v>
      </c>
      <c r="J22" s="150" t="s">
        <v>314</v>
      </c>
      <c r="K22" s="150" t="s">
        <v>314</v>
      </c>
      <c r="L22" s="150" t="s">
        <v>314</v>
      </c>
      <c r="M22" s="171">
        <f t="shared" si="1"/>
        <v>7</v>
      </c>
    </row>
    <row r="23" ht="12.75" customHeight="1">
      <c r="A23" s="167">
        <v>22.0</v>
      </c>
      <c r="B23" s="167">
        <v>1536360.0</v>
      </c>
      <c r="C23" s="167" t="s">
        <v>266</v>
      </c>
      <c r="D23" s="167" t="s">
        <v>267</v>
      </c>
      <c r="E23" s="167" t="s">
        <v>22</v>
      </c>
      <c r="F23" s="167" t="s">
        <v>314</v>
      </c>
      <c r="G23" s="167" t="s">
        <v>314</v>
      </c>
      <c r="H23" s="172" t="s">
        <v>314</v>
      </c>
      <c r="I23" s="150" t="s">
        <v>314</v>
      </c>
      <c r="J23" s="150" t="s">
        <v>314</v>
      </c>
      <c r="K23" s="150" t="s">
        <v>314</v>
      </c>
      <c r="L23" s="150" t="s">
        <v>314</v>
      </c>
      <c r="M23" s="171">
        <f t="shared" si="1"/>
        <v>7</v>
      </c>
    </row>
    <row r="24" ht="12.75" customHeight="1">
      <c r="A24" s="167">
        <v>23.0</v>
      </c>
      <c r="B24" s="167">
        <v>1538660.0</v>
      </c>
      <c r="C24" s="167" t="s">
        <v>268</v>
      </c>
      <c r="D24" s="167" t="s">
        <v>267</v>
      </c>
      <c r="E24" s="167" t="s">
        <v>22</v>
      </c>
      <c r="F24" s="167" t="s">
        <v>314</v>
      </c>
      <c r="G24" s="167" t="s">
        <v>314</v>
      </c>
      <c r="H24" s="172" t="s">
        <v>314</v>
      </c>
      <c r="I24" s="150" t="s">
        <v>314</v>
      </c>
      <c r="J24" s="150" t="s">
        <v>314</v>
      </c>
      <c r="K24" s="150" t="s">
        <v>314</v>
      </c>
      <c r="L24" s="150" t="s">
        <v>314</v>
      </c>
      <c r="M24" s="171">
        <f t="shared" si="1"/>
        <v>7</v>
      </c>
    </row>
    <row r="25" ht="12.75" customHeight="1">
      <c r="A25" s="167">
        <v>24.0</v>
      </c>
      <c r="B25" s="167">
        <v>1520260.0</v>
      </c>
      <c r="C25" s="167" t="s">
        <v>269</v>
      </c>
      <c r="D25" s="167" t="s">
        <v>270</v>
      </c>
      <c r="E25" s="167" t="s">
        <v>22</v>
      </c>
      <c r="F25" s="167" t="s">
        <v>314</v>
      </c>
      <c r="G25" s="167" t="s">
        <v>314</v>
      </c>
      <c r="H25" s="172" t="s">
        <v>314</v>
      </c>
      <c r="I25" s="150" t="s">
        <v>314</v>
      </c>
      <c r="J25" s="150" t="s">
        <v>314</v>
      </c>
      <c r="K25" s="150" t="s">
        <v>314</v>
      </c>
      <c r="L25" s="150" t="s">
        <v>314</v>
      </c>
      <c r="M25" s="171">
        <f t="shared" si="1"/>
        <v>7</v>
      </c>
    </row>
    <row r="26" ht="12.75" customHeight="1">
      <c r="A26" s="167">
        <v>25.0</v>
      </c>
      <c r="B26" s="167">
        <v>119160.0</v>
      </c>
      <c r="C26" s="167" t="s">
        <v>271</v>
      </c>
      <c r="D26" s="167" t="s">
        <v>272</v>
      </c>
      <c r="E26" s="167" t="s">
        <v>22</v>
      </c>
      <c r="F26" s="167" t="s">
        <v>314</v>
      </c>
      <c r="G26" s="167" t="s">
        <v>314</v>
      </c>
      <c r="H26" s="172" t="s">
        <v>314</v>
      </c>
      <c r="I26" s="150" t="s">
        <v>314</v>
      </c>
      <c r="J26" s="150" t="s">
        <v>314</v>
      </c>
      <c r="K26" s="150" t="s">
        <v>314</v>
      </c>
      <c r="L26" s="150" t="s">
        <v>314</v>
      </c>
      <c r="M26" s="171">
        <f t="shared" si="1"/>
        <v>7</v>
      </c>
    </row>
    <row r="27" ht="12.75" customHeight="1">
      <c r="A27" s="167">
        <v>26.0</v>
      </c>
      <c r="B27" s="167">
        <v>1531460.0</v>
      </c>
      <c r="C27" s="167" t="s">
        <v>273</v>
      </c>
      <c r="D27" s="167" t="s">
        <v>274</v>
      </c>
      <c r="E27" s="167" t="s">
        <v>22</v>
      </c>
      <c r="F27" s="167" t="s">
        <v>314</v>
      </c>
      <c r="G27" s="167" t="s">
        <v>314</v>
      </c>
      <c r="H27" s="172" t="s">
        <v>314</v>
      </c>
      <c r="I27" s="150" t="s">
        <v>314</v>
      </c>
      <c r="J27" s="150" t="s">
        <v>314</v>
      </c>
      <c r="K27" s="150" t="s">
        <v>314</v>
      </c>
      <c r="L27" s="150" t="s">
        <v>314</v>
      </c>
      <c r="M27" s="171">
        <f t="shared" si="1"/>
        <v>7</v>
      </c>
    </row>
    <row r="28" ht="12.75" customHeight="1">
      <c r="A28" s="167">
        <v>27.0</v>
      </c>
      <c r="B28" s="167">
        <v>125960.0</v>
      </c>
      <c r="C28" s="167" t="s">
        <v>275</v>
      </c>
      <c r="D28" s="167" t="s">
        <v>274</v>
      </c>
      <c r="E28" s="167" t="s">
        <v>22</v>
      </c>
      <c r="F28" s="167" t="s">
        <v>314</v>
      </c>
      <c r="G28" s="168"/>
      <c r="H28" s="172" t="s">
        <v>314</v>
      </c>
      <c r="I28" s="170"/>
      <c r="J28" s="150" t="s">
        <v>314</v>
      </c>
      <c r="K28" s="150" t="s">
        <v>314</v>
      </c>
      <c r="L28" s="150" t="s">
        <v>314</v>
      </c>
      <c r="M28" s="171">
        <f t="shared" si="1"/>
        <v>5</v>
      </c>
    </row>
    <row r="29" ht="12.75" customHeight="1">
      <c r="A29" s="167">
        <v>28.0</v>
      </c>
      <c r="B29" s="167">
        <v>1536260.0</v>
      </c>
      <c r="C29" s="167" t="s">
        <v>276</v>
      </c>
      <c r="D29" s="167" t="s">
        <v>277</v>
      </c>
      <c r="E29" s="167" t="s">
        <v>22</v>
      </c>
      <c r="F29" s="167" t="s">
        <v>314</v>
      </c>
      <c r="G29" s="168"/>
      <c r="H29" s="169"/>
      <c r="I29" s="150" t="s">
        <v>314</v>
      </c>
      <c r="J29" s="170"/>
      <c r="K29" s="170"/>
      <c r="L29" s="150" t="s">
        <v>314</v>
      </c>
      <c r="M29" s="171">
        <f t="shared" si="1"/>
        <v>3</v>
      </c>
    </row>
    <row r="30" ht="12.75" customHeight="1">
      <c r="A30" s="167">
        <v>29.0</v>
      </c>
      <c r="B30" s="167">
        <v>1531360.0</v>
      </c>
      <c r="C30" s="167" t="s">
        <v>278</v>
      </c>
      <c r="D30" s="167" t="s">
        <v>277</v>
      </c>
      <c r="E30" s="167" t="s">
        <v>22</v>
      </c>
      <c r="F30" s="168"/>
      <c r="G30" s="168"/>
      <c r="H30" s="169"/>
      <c r="I30" s="170"/>
      <c r="J30" s="170"/>
      <c r="K30" s="170"/>
      <c r="L30" s="170"/>
      <c r="M30" s="171">
        <f t="shared" si="1"/>
        <v>0</v>
      </c>
    </row>
    <row r="31" ht="12.75" customHeight="1">
      <c r="A31" s="167">
        <v>30.0</v>
      </c>
      <c r="B31" s="167">
        <v>1540760.0</v>
      </c>
      <c r="C31" s="167" t="s">
        <v>279</v>
      </c>
      <c r="D31" s="167" t="s">
        <v>280</v>
      </c>
      <c r="E31" s="167" t="s">
        <v>22</v>
      </c>
      <c r="F31" s="167" t="s">
        <v>314</v>
      </c>
      <c r="G31" s="167" t="s">
        <v>314</v>
      </c>
      <c r="H31" s="172" t="s">
        <v>314</v>
      </c>
      <c r="I31" s="150" t="s">
        <v>314</v>
      </c>
      <c r="J31" s="150" t="s">
        <v>314</v>
      </c>
      <c r="K31" s="150" t="s">
        <v>314</v>
      </c>
      <c r="L31" s="150" t="s">
        <v>314</v>
      </c>
      <c r="M31" s="171">
        <f t="shared" si="1"/>
        <v>7</v>
      </c>
    </row>
    <row r="32" ht="12.75" customHeight="1">
      <c r="A32" s="167">
        <v>31.0</v>
      </c>
      <c r="B32" s="167">
        <v>150160.0</v>
      </c>
      <c r="C32" s="167" t="s">
        <v>281</v>
      </c>
      <c r="D32" s="167" t="s">
        <v>282</v>
      </c>
      <c r="E32" s="167" t="s">
        <v>22</v>
      </c>
      <c r="F32" s="167" t="s">
        <v>316</v>
      </c>
      <c r="G32" s="167" t="s">
        <v>314</v>
      </c>
      <c r="H32" s="172" t="s">
        <v>314</v>
      </c>
      <c r="I32" s="170"/>
      <c r="J32" s="150" t="s">
        <v>314</v>
      </c>
      <c r="K32" s="150" t="s">
        <v>315</v>
      </c>
      <c r="L32" s="150" t="s">
        <v>314</v>
      </c>
      <c r="M32" s="171">
        <f t="shared" si="1"/>
        <v>2.5</v>
      </c>
    </row>
    <row r="33" ht="12.75" customHeight="1">
      <c r="A33" s="167">
        <v>32.0</v>
      </c>
      <c r="B33" s="167">
        <v>212360.0</v>
      </c>
      <c r="C33" s="167" t="s">
        <v>283</v>
      </c>
      <c r="D33" s="167" t="s">
        <v>284</v>
      </c>
      <c r="E33" s="167" t="s">
        <v>22</v>
      </c>
      <c r="F33" s="167" t="s">
        <v>314</v>
      </c>
      <c r="G33" s="167" t="s">
        <v>314</v>
      </c>
      <c r="H33" s="172" t="s">
        <v>314</v>
      </c>
      <c r="I33" s="150" t="s">
        <v>314</v>
      </c>
      <c r="J33" s="150" t="s">
        <v>314</v>
      </c>
      <c r="K33" s="150" t="s">
        <v>314</v>
      </c>
      <c r="L33" s="150" t="s">
        <v>314</v>
      </c>
      <c r="M33" s="171">
        <f t="shared" si="1"/>
        <v>7</v>
      </c>
    </row>
    <row r="34" ht="12.75" customHeight="1">
      <c r="A34" s="167">
        <v>33.0</v>
      </c>
      <c r="B34" s="167">
        <v>134760.0</v>
      </c>
      <c r="C34" s="167" t="s">
        <v>275</v>
      </c>
      <c r="D34" s="167" t="s">
        <v>285</v>
      </c>
      <c r="E34" s="167" t="s">
        <v>22</v>
      </c>
      <c r="F34" s="167" t="s">
        <v>314</v>
      </c>
      <c r="G34" s="168"/>
      <c r="H34" s="172" t="s">
        <v>314</v>
      </c>
      <c r="I34" s="150" t="s">
        <v>314</v>
      </c>
      <c r="J34" s="150" t="s">
        <v>314</v>
      </c>
      <c r="K34" s="150" t="s">
        <v>314</v>
      </c>
      <c r="L34" s="150" t="s">
        <v>314</v>
      </c>
      <c r="M34" s="171">
        <f t="shared" si="1"/>
        <v>6</v>
      </c>
    </row>
    <row r="35" ht="12.75" customHeight="1">
      <c r="A35" s="167">
        <v>34.0</v>
      </c>
      <c r="B35" s="167">
        <v>209460.0</v>
      </c>
      <c r="C35" s="167" t="s">
        <v>286</v>
      </c>
      <c r="D35" s="167" t="s">
        <v>287</v>
      </c>
      <c r="E35" s="167" t="s">
        <v>22</v>
      </c>
      <c r="F35" s="167" t="s">
        <v>314</v>
      </c>
      <c r="G35" s="167" t="s">
        <v>314</v>
      </c>
      <c r="H35" s="172" t="s">
        <v>314</v>
      </c>
      <c r="I35" s="150" t="s">
        <v>314</v>
      </c>
      <c r="J35" s="150" t="s">
        <v>314</v>
      </c>
      <c r="K35" s="150" t="s">
        <v>314</v>
      </c>
      <c r="L35" s="150" t="s">
        <v>314</v>
      </c>
      <c r="M35" s="171">
        <f t="shared" si="1"/>
        <v>7</v>
      </c>
    </row>
    <row r="36" ht="12.75" customHeight="1">
      <c r="A36" s="167">
        <v>35.0</v>
      </c>
      <c r="B36" s="167">
        <v>92760.0</v>
      </c>
      <c r="C36" s="167" t="s">
        <v>288</v>
      </c>
      <c r="D36" s="167" t="s">
        <v>289</v>
      </c>
      <c r="E36" s="167" t="s">
        <v>22</v>
      </c>
      <c r="F36" s="167" t="s">
        <v>314</v>
      </c>
      <c r="G36" s="167" t="s">
        <v>314</v>
      </c>
      <c r="H36" s="172" t="s">
        <v>314</v>
      </c>
      <c r="I36" s="150" t="s">
        <v>314</v>
      </c>
      <c r="J36" s="150" t="s">
        <v>314</v>
      </c>
      <c r="K36" s="150" t="s">
        <v>314</v>
      </c>
      <c r="L36" s="150" t="s">
        <v>314</v>
      </c>
      <c r="M36" s="171">
        <f t="shared" si="1"/>
        <v>7</v>
      </c>
    </row>
    <row r="37" ht="12.75" customHeight="1">
      <c r="A37" s="167">
        <v>36.0</v>
      </c>
      <c r="B37" s="167">
        <v>1537160.0</v>
      </c>
      <c r="C37" s="167" t="s">
        <v>290</v>
      </c>
      <c r="D37" s="167" t="s">
        <v>291</v>
      </c>
      <c r="E37" s="167" t="s">
        <v>22</v>
      </c>
      <c r="F37" s="168"/>
      <c r="G37" s="168"/>
      <c r="H37" s="169"/>
      <c r="I37" s="170"/>
      <c r="J37" s="170"/>
      <c r="K37" s="150" t="s">
        <v>315</v>
      </c>
      <c r="L37" s="150" t="s">
        <v>315</v>
      </c>
      <c r="M37" s="171">
        <f t="shared" si="1"/>
        <v>1</v>
      </c>
    </row>
    <row r="38" ht="12.75" customHeight="1">
      <c r="A38" s="167">
        <v>37.0</v>
      </c>
      <c r="B38" s="167">
        <v>1509760.0</v>
      </c>
      <c r="C38" s="167" t="s">
        <v>292</v>
      </c>
      <c r="D38" s="167" t="s">
        <v>293</v>
      </c>
      <c r="E38" s="167" t="s">
        <v>22</v>
      </c>
      <c r="F38" s="167" t="s">
        <v>314</v>
      </c>
      <c r="G38" s="167" t="s">
        <v>314</v>
      </c>
      <c r="H38" s="172" t="s">
        <v>314</v>
      </c>
      <c r="I38" s="150" t="s">
        <v>314</v>
      </c>
      <c r="J38" s="170"/>
      <c r="K38" s="150" t="s">
        <v>314</v>
      </c>
      <c r="L38" s="150" t="s">
        <v>314</v>
      </c>
      <c r="M38" s="171">
        <f t="shared" si="1"/>
        <v>6</v>
      </c>
    </row>
    <row r="39" ht="12.75" customHeight="1">
      <c r="A39" s="167">
        <v>38.0</v>
      </c>
      <c r="B39" s="167">
        <v>1535760.0</v>
      </c>
      <c r="C39" s="167" t="s">
        <v>257</v>
      </c>
      <c r="D39" s="167" t="s">
        <v>294</v>
      </c>
      <c r="E39" s="167" t="s">
        <v>22</v>
      </c>
      <c r="F39" s="167" t="s">
        <v>314</v>
      </c>
      <c r="G39" s="167" t="s">
        <v>314</v>
      </c>
      <c r="H39" s="172" t="s">
        <v>314</v>
      </c>
      <c r="I39" s="150" t="s">
        <v>314</v>
      </c>
      <c r="J39" s="150" t="s">
        <v>314</v>
      </c>
      <c r="K39" s="150" t="s">
        <v>314</v>
      </c>
      <c r="L39" s="150" t="s">
        <v>314</v>
      </c>
      <c r="M39" s="171">
        <f t="shared" si="1"/>
        <v>7</v>
      </c>
    </row>
    <row r="40" ht="12.75" customHeight="1">
      <c r="A40" s="167">
        <v>39.0</v>
      </c>
      <c r="B40" s="167">
        <v>1534560.0</v>
      </c>
      <c r="C40" s="167" t="s">
        <v>295</v>
      </c>
      <c r="D40" s="167" t="s">
        <v>296</v>
      </c>
      <c r="E40" s="167" t="s">
        <v>22</v>
      </c>
      <c r="F40" s="167" t="s">
        <v>314</v>
      </c>
      <c r="G40" s="167" t="s">
        <v>314</v>
      </c>
      <c r="H40" s="172" t="s">
        <v>314</v>
      </c>
      <c r="I40" s="150" t="s">
        <v>314</v>
      </c>
      <c r="J40" s="150" t="s">
        <v>314</v>
      </c>
      <c r="K40" s="150" t="s">
        <v>314</v>
      </c>
      <c r="L40" s="150" t="s">
        <v>314</v>
      </c>
      <c r="M40" s="171">
        <f t="shared" si="1"/>
        <v>7</v>
      </c>
    </row>
    <row r="41" ht="12.75" customHeight="1">
      <c r="A41" s="167">
        <v>40.0</v>
      </c>
      <c r="B41" s="167">
        <v>1510560.0</v>
      </c>
      <c r="C41" s="167" t="s">
        <v>249</v>
      </c>
      <c r="D41" s="167" t="s">
        <v>296</v>
      </c>
      <c r="E41" s="167" t="s">
        <v>22</v>
      </c>
      <c r="F41" s="167" t="s">
        <v>314</v>
      </c>
      <c r="G41" s="167" t="s">
        <v>314</v>
      </c>
      <c r="H41" s="172" t="s">
        <v>314</v>
      </c>
      <c r="I41" s="150" t="s">
        <v>314</v>
      </c>
      <c r="J41" s="150" t="s">
        <v>314</v>
      </c>
      <c r="K41" s="150" t="s">
        <v>314</v>
      </c>
      <c r="L41" s="150" t="s">
        <v>314</v>
      </c>
      <c r="M41" s="171">
        <f t="shared" si="1"/>
        <v>7</v>
      </c>
    </row>
    <row r="42" ht="12.75" customHeight="1">
      <c r="A42" s="167">
        <v>41.0</v>
      </c>
      <c r="B42" s="167">
        <v>122760.0</v>
      </c>
      <c r="C42" s="167" t="s">
        <v>297</v>
      </c>
      <c r="D42" s="167" t="s">
        <v>298</v>
      </c>
      <c r="E42" s="167" t="s">
        <v>22</v>
      </c>
      <c r="F42" s="167" t="s">
        <v>314</v>
      </c>
      <c r="G42" s="167" t="s">
        <v>314</v>
      </c>
      <c r="H42" s="172" t="s">
        <v>314</v>
      </c>
      <c r="I42" s="150" t="s">
        <v>314</v>
      </c>
      <c r="J42" s="150" t="s">
        <v>314</v>
      </c>
      <c r="K42" s="150" t="s">
        <v>314</v>
      </c>
      <c r="L42" s="150" t="s">
        <v>314</v>
      </c>
      <c r="M42" s="171">
        <f t="shared" si="1"/>
        <v>7</v>
      </c>
    </row>
    <row r="43" ht="12.75" customHeight="1">
      <c r="A43" s="167">
        <v>42.0</v>
      </c>
      <c r="B43" s="167">
        <v>1558460.0</v>
      </c>
      <c r="C43" s="167" t="s">
        <v>299</v>
      </c>
      <c r="D43" s="167" t="s">
        <v>300</v>
      </c>
      <c r="E43" s="167" t="s">
        <v>22</v>
      </c>
      <c r="F43" s="167" t="s">
        <v>314</v>
      </c>
      <c r="G43" s="167" t="s">
        <v>314</v>
      </c>
      <c r="H43" s="172" t="s">
        <v>314</v>
      </c>
      <c r="I43" s="150" t="s">
        <v>314</v>
      </c>
      <c r="J43" s="150" t="s">
        <v>314</v>
      </c>
      <c r="K43" s="150" t="s">
        <v>314</v>
      </c>
      <c r="L43" s="150" t="s">
        <v>314</v>
      </c>
      <c r="M43" s="171">
        <f t="shared" si="1"/>
        <v>7</v>
      </c>
    </row>
    <row r="44" ht="12.7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</row>
    <row r="45" ht="12.7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</row>
    <row r="46" ht="12.7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</row>
    <row r="47" ht="12.75" customHeight="1">
      <c r="A47" s="171"/>
      <c r="B47" s="171"/>
      <c r="C47" s="171"/>
      <c r="D47" s="171"/>
      <c r="E47" s="171"/>
      <c r="F47" s="174"/>
      <c r="G47" s="171"/>
      <c r="H47" s="174"/>
      <c r="I47" s="174"/>
      <c r="J47" s="174"/>
      <c r="K47" s="174"/>
      <c r="L47" s="171"/>
      <c r="M47" s="171"/>
    </row>
  </sheetData>
  <drawing r:id="rId1"/>
</worksheet>
</file>